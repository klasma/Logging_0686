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46274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46274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46274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46274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46274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46274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46274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46274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32830-2025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46274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Spindelblomster</t>
        </is>
      </c>
      <c r="W29">
        <f>HYPERLINK("https://klasma.github.io/Logging_0686/artfynd/A 32830-2025 artfynd.xlsx", "A 32830-2025")</f>
        <v/>
      </c>
      <c r="X29">
        <f>HYPERLINK("https://klasma.github.io/Logging_0686/kartor/A 32830-2025 karta.png", "A 32830-2025")</f>
        <v/>
      </c>
      <c r="Y29">
        <f>HYPERLINK("https://klasma.github.io/Logging_0686/kartor_geotiff/A 32830-2025 georefererad karta.tif", "A 32830-2025")</f>
        <v/>
      </c>
      <c r="AA29">
        <f>HYPERLINK("https://klasma.github.io/Logging_0686/klagomål/A 32830-2025 FSC-klagomål.docx", "A 32830-2025")</f>
        <v/>
      </c>
      <c r="AB29">
        <f>HYPERLINK("https://klasma.github.io/Logging_0686/klagomålsmail/A 32830-2025 FSC-klagomål mail.docx", "A 32830-2025")</f>
        <v/>
      </c>
      <c r="AC29">
        <f>HYPERLINK("https://klasma.github.io/Logging_0686/tillsyn/A 32830-2025 tillsynsbegäran.docx", "A 32830-2025")</f>
        <v/>
      </c>
      <c r="AD29">
        <f>HYPERLINK("https://klasma.github.io/Logging_0686/tillsynsmail/A 32830-2025 tillsynsbegäran mail.docx", "A 32830-2025")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46274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46274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46274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23519-2026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46163</v>
      </c>
      <c r="E33" s="1" t="n">
        <v>46274</v>
      </c>
      <c r="F33" t="inlineStr">
        <is>
          <t>JÖNKÖPINGS LÄN</t>
        </is>
      </c>
      <c r="G33" t="inlineStr">
        <is>
          <t>EKSJÖ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Svartvit flugsnappare</t>
        </is>
      </c>
      <c r="W33">
        <f>HYPERLINK("https://klasma.github.io/Logging_0686/artfynd/A 23519-2026 artfynd.xlsx", "A 23519-2026")</f>
        <v/>
      </c>
      <c r="X33">
        <f>HYPERLINK("https://klasma.github.io/Logging_0686/kartor/A 23519-2026 karta.png", "A 23519-2026")</f>
        <v/>
      </c>
      <c r="Y33">
        <f>HYPERLINK("https://klasma.github.io/Logging_0686/kartor_geotiff/A 23519-2026 georefererad karta.tif", "A 23519-2026")</f>
        <v/>
      </c>
      <c r="AA33">
        <f>HYPERLINK("https://klasma.github.io/Logging_0686/klagomål/A 23519-2026 FSC-klagomål.docx", "A 23519-2026")</f>
        <v/>
      </c>
      <c r="AB33">
        <f>HYPERLINK("https://klasma.github.io/Logging_0686/klagomålsmail/A 23519-2026 FSC-klagomål mail.docx", "A 23519-2026")</f>
        <v/>
      </c>
      <c r="AC33">
        <f>HYPERLINK("https://klasma.github.io/Logging_0686/tillsyn/A 23519-2026 tillsynsbegäran.docx", "A 23519-2026")</f>
        <v/>
      </c>
      <c r="AD33">
        <f>HYPERLINK("https://klasma.github.io/Logging_0686/tillsynsmail/A 23519-2026 tillsynsbegäran mail.docx", "A 23519-2026")</f>
        <v/>
      </c>
    </row>
    <row r="34" ht="15" customHeight="1">
      <c r="A34" t="inlineStr">
        <is>
          <t>A 23536-2026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46274</v>
      </c>
      <c r="F34" t="inlineStr">
        <is>
          <t>JÖNKÖPINGS LÄN</t>
        </is>
      </c>
      <c r="G34" t="inlineStr">
        <is>
          <t>EKSJÖ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Spindelört</t>
        </is>
      </c>
      <c r="W34">
        <f>HYPERLINK("https://klasma.github.io/Logging_0686/artfynd/A 23536-2026 artfynd.xlsx", "A 23536-2026")</f>
        <v/>
      </c>
      <c r="X34">
        <f>HYPERLINK("https://klasma.github.io/Logging_0686/kartor/A 23536-2026 karta.png", "A 23536-2026")</f>
        <v/>
      </c>
      <c r="Y34">
        <f>HYPERLINK("https://klasma.github.io/Logging_0686/kartor_geotiff/A 23536-2026 georefererad karta.tif", "A 23536-2026")</f>
        <v/>
      </c>
      <c r="AA34">
        <f>HYPERLINK("https://klasma.github.io/Logging_0686/klagomål/A 23536-2026 FSC-klagomål.docx", "A 23536-2026")</f>
        <v/>
      </c>
      <c r="AB34">
        <f>HYPERLINK("https://klasma.github.io/Logging_0686/klagomålsmail/A 23536-2026 FSC-klagomål mail.docx", "A 23536-2026")</f>
        <v/>
      </c>
      <c r="AC34">
        <f>HYPERLINK("https://klasma.github.io/Logging_0686/tillsyn/A 23536-2026 tillsynsbegäran.docx", "A 23536-2026")</f>
        <v/>
      </c>
      <c r="AD34">
        <f>HYPERLINK("https://klasma.github.io/Logging_0686/tillsynsmail/A 23536-2026 tillsynsbegäran mail.docx", "A 23536-2026")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46274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46274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29121-2026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46202</v>
      </c>
      <c r="E37" s="1" t="n">
        <v>46274</v>
      </c>
      <c r="F37" t="inlineStr">
        <is>
          <t>JÖNKÖPINGS LÄN</t>
        </is>
      </c>
      <c r="G37" t="inlineStr">
        <is>
          <t>EKSJÖ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HYPERLINK("https://klasma.github.io/Logging_0686/artfynd/A 29121-2026 artfynd.xlsx", "A 29121-2026")</f>
        <v/>
      </c>
      <c r="X37">
        <f>HYPERLINK("https://klasma.github.io/Logging_0686/kartor/A 29121-2026 karta.png", "A 29121-2026")</f>
        <v/>
      </c>
      <c r="Y37">
        <f>HYPERLINK("https://klasma.github.io/Logging_0686/kartor_geotiff/A 29121-2026 georefererad karta.tif", "A 29121-2026")</f>
        <v/>
      </c>
      <c r="AA37">
        <f>HYPERLINK("https://klasma.github.io/Logging_0686/klagomål/A 29121-2026 FSC-klagomål.docx", "A 29121-2026")</f>
        <v/>
      </c>
      <c r="AB37">
        <f>HYPERLINK("https://klasma.github.io/Logging_0686/klagomålsmail/A 29121-2026 FSC-klagomål mail.docx", "A 29121-2026")</f>
        <v/>
      </c>
      <c r="AC37">
        <f>HYPERLINK("https://klasma.github.io/Logging_0686/tillsyn/A 29121-2026 tillsynsbegäran.docx", "A 29121-2026")</f>
        <v/>
      </c>
      <c r="AD37">
        <f>HYPERLINK("https://klasma.github.io/Logging_0686/tillsynsmail/A 29121-2026 tillsynsbegäran mail.docx", "A 29121-2026")</f>
        <v/>
      </c>
    </row>
    <row r="38" ht="15" customHeight="1">
      <c r="A38" t="inlineStr">
        <is>
          <t>A 15419-2026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46274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HYPERLINK("https://klasma.github.io/Logging_0686/artfynd/A 15419-2026 artfynd.xlsx", "A 15419-2026")</f>
        <v/>
      </c>
      <c r="X38">
        <f>HYPERLINK("https://klasma.github.io/Logging_0686/kartor/A 15419-2026 karta.png", "A 15419-2026")</f>
        <v/>
      </c>
      <c r="Y38">
        <f>HYPERLINK("https://klasma.github.io/Logging_0686/kartor_geotiff/A 15419-2026 georefererad karta.tif", "A 15419-2026")</f>
        <v/>
      </c>
      <c r="AA38">
        <f>HYPERLINK("https://klasma.github.io/Logging_0686/klagomål/A 15419-2026 FSC-klagomål.docx", "A 15419-2026")</f>
        <v/>
      </c>
      <c r="AB38">
        <f>HYPERLINK("https://klasma.github.io/Logging_0686/klagomålsmail/A 15419-2026 FSC-klagomål mail.docx", "A 15419-2026")</f>
        <v/>
      </c>
      <c r="AC38">
        <f>HYPERLINK("https://klasma.github.io/Logging_0686/tillsyn/A 15419-2026 tillsynsbegäran.docx", "A 15419-2026")</f>
        <v/>
      </c>
      <c r="AD38">
        <f>HYPERLINK("https://klasma.github.io/Logging_0686/tillsynsmail/A 15419-2026 tillsynsbegäran mail.docx", "A 15419-2026")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46274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46274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Ladusvala</t>
        </is>
      </c>
      <c r="W40">
        <f>HYPERLINK("https://klasma.github.io/Logging_0686/artfynd/A 49412-2021 artfynd.xlsx", "A 49412-2021")</f>
        <v/>
      </c>
      <c r="X40">
        <f>HYPERLINK("https://klasma.github.io/Logging_0686/kartor/A 49412-2021 karta.png", "A 49412-2021")</f>
        <v/>
      </c>
      <c r="Y40">
        <f>HYPERLINK("https://klasma.github.io/Logging_0686/kartor_geotiff/A 49412-2021 georefererad karta.tif", "A 49412-2021")</f>
        <v/>
      </c>
      <c r="AA40">
        <f>HYPERLINK("https://klasma.github.io/Logging_0686/klagomål/A 49412-2021 FSC-klagomål.docx", "A 49412-2021")</f>
        <v/>
      </c>
      <c r="AB40">
        <f>HYPERLINK("https://klasma.github.io/Logging_0686/klagomålsmail/A 49412-2021 FSC-klagomål mail.docx", "A 49412-2021")</f>
        <v/>
      </c>
      <c r="AC40">
        <f>HYPERLINK("https://klasma.github.io/Logging_0686/tillsyn/A 49412-2021 tillsynsbegäran.docx", "A 49412-2021")</f>
        <v/>
      </c>
      <c r="AD40">
        <f>HYPERLINK("https://klasma.github.io/Logging_0686/tillsynsmail/A 49412-2021 tillsynsbegäran mail.docx", "A 49412-2021")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46274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46274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46274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46274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46274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46274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46274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46274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46274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46274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46274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46274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46274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46274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46274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46274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46274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46274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46274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46274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46274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46274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46274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46274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46274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46274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46274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46274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46274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46274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46274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46274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46274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46274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46274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46274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46274</v>
      </c>
      <c r="F86" t="inlineStr">
        <is>
          <t>JÖNKÖPINGS LÄN</t>
        </is>
      </c>
      <c r="G86" t="inlineStr">
        <is>
          <t>EKSJÖ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46274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46274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46274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46274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46274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46274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46274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46274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46274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46274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46274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46274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46274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46274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46274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46274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46274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46274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46274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46274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46274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46274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46274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46274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46274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46274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46274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44942</v>
      </c>
      <c r="E114" s="1" t="n">
        <v>46274</v>
      </c>
      <c r="F114" t="inlineStr">
        <is>
          <t>JÖNKÖPINGS LÄN</t>
        </is>
      </c>
      <c r="G114" t="inlineStr">
        <is>
          <t>EKSJÖ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46274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46274</v>
      </c>
      <c r="F116" t="inlineStr">
        <is>
          <t>JÖNKÖPINGS LÄN</t>
        </is>
      </c>
      <c r="G116" t="inlineStr">
        <is>
          <t>EKSJÖ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46274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44861</v>
      </c>
      <c r="E118" s="1" t="n">
        <v>46274</v>
      </c>
      <c r="F118" t="inlineStr">
        <is>
          <t>JÖNKÖPINGS LÄN</t>
        </is>
      </c>
      <c r="G118" t="inlineStr">
        <is>
          <t>EKSJÖ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46274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46274</v>
      </c>
      <c r="F120" t="inlineStr">
        <is>
          <t>JÖNKÖPINGS LÄN</t>
        </is>
      </c>
      <c r="G120" t="inlineStr">
        <is>
          <t>EKSJÖ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46274</v>
      </c>
      <c r="F121" t="inlineStr">
        <is>
          <t>JÖNKÖPINGS LÄN</t>
        </is>
      </c>
      <c r="G121" t="inlineStr">
        <is>
          <t>EKSJÖ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46274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46274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44940</v>
      </c>
      <c r="E124" s="1" t="n">
        <v>46274</v>
      </c>
      <c r="F124" t="inlineStr">
        <is>
          <t>JÖNKÖPINGS LÄN</t>
        </is>
      </c>
      <c r="G124" t="inlineStr">
        <is>
          <t>EKSJÖ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44941</v>
      </c>
      <c r="E125" s="1" t="n">
        <v>46274</v>
      </c>
      <c r="F125" t="inlineStr">
        <is>
          <t>JÖNKÖPINGS LÄN</t>
        </is>
      </c>
      <c r="G125" t="inlineStr">
        <is>
          <t>EKSJÖ</t>
        </is>
      </c>
      <c r="H125" t="inlineStr">
        <is>
          <t>Övriga Aktiebolag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46274</v>
      </c>
      <c r="F126" t="inlineStr">
        <is>
          <t>JÖNKÖPINGS LÄN</t>
        </is>
      </c>
      <c r="G126" t="inlineStr">
        <is>
          <t>EKSJÖ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45057</v>
      </c>
      <c r="E127" s="1" t="n">
        <v>46274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46274</v>
      </c>
      <c r="F128" t="inlineStr">
        <is>
          <t>JÖNKÖPINGS LÄN</t>
        </is>
      </c>
      <c r="G128" t="inlineStr">
        <is>
          <t>EKSJÖ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46274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45345</v>
      </c>
      <c r="E130" s="1" t="n">
        <v>46274</v>
      </c>
      <c r="F130" t="inlineStr">
        <is>
          <t>JÖNKÖPINGS LÄN</t>
        </is>
      </c>
      <c r="G130" t="inlineStr">
        <is>
          <t>EKSJÖ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46274</v>
      </c>
      <c r="F131" t="inlineStr">
        <is>
          <t>JÖNKÖPINGS LÄN</t>
        </is>
      </c>
      <c r="G131" t="inlineStr">
        <is>
          <t>EKSJÖ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46274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46274</v>
      </c>
      <c r="F133" t="inlineStr">
        <is>
          <t>JÖNKÖPINGS LÄN</t>
        </is>
      </c>
      <c r="G133" t="inlineStr">
        <is>
          <t>EKSJÖ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45523</v>
      </c>
      <c r="E134" s="1" t="n">
        <v>46274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46274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46274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46274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45097</v>
      </c>
      <c r="E138" s="1" t="n">
        <v>46274</v>
      </c>
      <c r="F138" t="inlineStr">
        <is>
          <t>JÖNKÖPINGS LÄN</t>
        </is>
      </c>
      <c r="G138" t="inlineStr">
        <is>
          <t>EKSJÖ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46274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46274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46274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46274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46274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46274</v>
      </c>
      <c r="F144" t="inlineStr">
        <is>
          <t>JÖNKÖPINGS LÄN</t>
        </is>
      </c>
      <c r="G144" t="inlineStr">
        <is>
          <t>EKSJÖ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46274</v>
      </c>
      <c r="F145" t="inlineStr">
        <is>
          <t>JÖNKÖPINGS LÄN</t>
        </is>
      </c>
      <c r="G145" t="inlineStr">
        <is>
          <t>EKSJÖ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46274</v>
      </c>
      <c r="F146" t="inlineStr">
        <is>
          <t>JÖNKÖPINGS LÄN</t>
        </is>
      </c>
      <c r="G146" t="inlineStr">
        <is>
          <t>EKSJÖ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46274</v>
      </c>
      <c r="F147" t="inlineStr">
        <is>
          <t>JÖNKÖPINGS LÄN</t>
        </is>
      </c>
      <c r="G147" t="inlineStr">
        <is>
          <t>EKSJÖ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46274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46274</v>
      </c>
      <c r="F149" t="inlineStr">
        <is>
          <t>JÖNKÖPINGS LÄN</t>
        </is>
      </c>
      <c r="G149" t="inlineStr">
        <is>
          <t>EKSJÖ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46274</v>
      </c>
      <c r="F150" t="inlineStr">
        <is>
          <t>JÖNKÖPINGS LÄN</t>
        </is>
      </c>
      <c r="G150" t="inlineStr">
        <is>
          <t>EKSJÖ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46274</v>
      </c>
      <c r="F151" t="inlineStr">
        <is>
          <t>JÖNKÖPINGS LÄN</t>
        </is>
      </c>
      <c r="G151" t="inlineStr">
        <is>
          <t>EKSJÖ</t>
        </is>
      </c>
      <c r="H151" t="inlineStr">
        <is>
          <t>Övriga Aktiebolag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45076</v>
      </c>
      <c r="E152" s="1" t="n">
        <v>46274</v>
      </c>
      <c r="F152" t="inlineStr">
        <is>
          <t>JÖNKÖPINGS LÄN</t>
        </is>
      </c>
      <c r="G152" t="inlineStr">
        <is>
          <t>EKSJÖ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46274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46274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45716</v>
      </c>
      <c r="E155" s="1" t="n">
        <v>46274</v>
      </c>
      <c r="F155" t="inlineStr">
        <is>
          <t>JÖNKÖPINGS LÄN</t>
        </is>
      </c>
      <c r="G155" t="inlineStr">
        <is>
          <t>EKSJÖ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46274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46274</v>
      </c>
      <c r="F157" t="inlineStr">
        <is>
          <t>JÖNKÖPINGS LÄN</t>
        </is>
      </c>
      <c r="G157" t="inlineStr">
        <is>
          <t>EKSJÖ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46274</v>
      </c>
      <c r="F158" t="inlineStr">
        <is>
          <t>JÖNKÖPINGS LÄN</t>
        </is>
      </c>
      <c r="G158" t="inlineStr">
        <is>
          <t>EKSJÖ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46274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46274</v>
      </c>
      <c r="F160" t="inlineStr">
        <is>
          <t>JÖNKÖPINGS LÄN</t>
        </is>
      </c>
      <c r="G160" t="inlineStr">
        <is>
          <t>EKSJÖ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46274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46274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46274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44574</v>
      </c>
      <c r="E164" s="1" t="n">
        <v>46274</v>
      </c>
      <c r="F164" t="inlineStr">
        <is>
          <t>JÖNKÖPINGS LÄN</t>
        </is>
      </c>
      <c r="G164" t="inlineStr">
        <is>
          <t>EKSJÖ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46274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46274</v>
      </c>
      <c r="F166" t="inlineStr">
        <is>
          <t>JÖNKÖPINGS LÄN</t>
        </is>
      </c>
      <c r="G166" t="inlineStr">
        <is>
          <t>EKSJÖ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46274</v>
      </c>
      <c r="F167" t="inlineStr">
        <is>
          <t>JÖNKÖPINGS LÄN</t>
        </is>
      </c>
      <c r="G167" t="inlineStr">
        <is>
          <t>EKSJÖ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46274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45601</v>
      </c>
      <c r="E169" s="1" t="n">
        <v>46274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46274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46274</v>
      </c>
      <c r="F171" t="inlineStr">
        <is>
          <t>JÖNKÖPINGS LÄN</t>
        </is>
      </c>
      <c r="G171" t="inlineStr">
        <is>
          <t>EKSJÖ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46274</v>
      </c>
      <c r="F172" t="inlineStr">
        <is>
          <t>JÖNKÖPINGS LÄN</t>
        </is>
      </c>
      <c r="G172" t="inlineStr">
        <is>
          <t>EKSJÖ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46274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46274</v>
      </c>
      <c r="F174" t="inlineStr">
        <is>
          <t>JÖNKÖPINGS LÄN</t>
        </is>
      </c>
      <c r="G174" t="inlineStr">
        <is>
          <t>EKSJÖ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46274</v>
      </c>
      <c r="F175" t="inlineStr">
        <is>
          <t>JÖNKÖPINGS LÄN</t>
        </is>
      </c>
      <c r="G175" t="inlineStr">
        <is>
          <t>EKSJÖ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46274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46274</v>
      </c>
      <c r="F177" t="inlineStr">
        <is>
          <t>JÖNKÖPINGS LÄN</t>
        </is>
      </c>
      <c r="G177" t="inlineStr">
        <is>
          <t>EKSJÖ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46274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46274</v>
      </c>
      <c r="F179" t="inlineStr">
        <is>
          <t>JÖNKÖPINGS LÄN</t>
        </is>
      </c>
      <c r="G179" t="inlineStr">
        <is>
          <t>EKSJÖ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46274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46274</v>
      </c>
      <c r="F181" t="inlineStr">
        <is>
          <t>JÖNKÖPINGS LÄN</t>
        </is>
      </c>
      <c r="G181" t="inlineStr">
        <is>
          <t>EKSJÖ</t>
        </is>
      </c>
      <c r="H181" t="inlineStr">
        <is>
          <t>Övriga Aktiebolag</t>
        </is>
      </c>
      <c r="I181" t="n">
        <v>17.5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45866</v>
      </c>
      <c r="E182" s="1" t="n">
        <v>46274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46274</v>
      </c>
      <c r="F183" t="inlineStr">
        <is>
          <t>JÖNKÖPINGS LÄN</t>
        </is>
      </c>
      <c r="G183" t="inlineStr">
        <is>
          <t>EKSJÖ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44580</v>
      </c>
      <c r="E184" s="1" t="n">
        <v>46274</v>
      </c>
      <c r="F184" t="inlineStr">
        <is>
          <t>JÖNKÖPINGS LÄN</t>
        </is>
      </c>
      <c r="G184" t="inlineStr">
        <is>
          <t>EKSJÖ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46274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46274</v>
      </c>
      <c r="F186" t="inlineStr">
        <is>
          <t>JÖNKÖPINGS LÄN</t>
        </is>
      </c>
      <c r="G186" t="inlineStr">
        <is>
          <t>EKSJÖ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46274</v>
      </c>
      <c r="F187" t="inlineStr">
        <is>
          <t>JÖNKÖPINGS LÄN</t>
        </is>
      </c>
      <c r="G187" t="inlineStr">
        <is>
          <t>EKSJÖ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46274</v>
      </c>
      <c r="F188" t="inlineStr">
        <is>
          <t>JÖNKÖPINGS LÄN</t>
        </is>
      </c>
      <c r="G188" t="inlineStr">
        <is>
          <t>EKSJÖ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46274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46274</v>
      </c>
      <c r="F190" t="inlineStr">
        <is>
          <t>JÖNKÖPINGS LÄN</t>
        </is>
      </c>
      <c r="G190" t="inlineStr">
        <is>
          <t>EKSJÖ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46274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46274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46274</v>
      </c>
      <c r="F193" t="inlineStr">
        <is>
          <t>JÖNKÖPINGS LÄN</t>
        </is>
      </c>
      <c r="G193" t="inlineStr">
        <is>
          <t>EKSJÖ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46274</v>
      </c>
      <c r="F194" t="inlineStr">
        <is>
          <t>JÖNKÖPINGS LÄN</t>
        </is>
      </c>
      <c r="G194" t="inlineStr">
        <is>
          <t>EKSJÖ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46274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46274</v>
      </c>
      <c r="F196" t="inlineStr">
        <is>
          <t>JÖNKÖPINGS LÄN</t>
        </is>
      </c>
      <c r="G196" t="inlineStr">
        <is>
          <t>EKSJÖ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45036</v>
      </c>
      <c r="E197" s="1" t="n">
        <v>46274</v>
      </c>
      <c r="F197" t="inlineStr">
        <is>
          <t>JÖNKÖPINGS LÄN</t>
        </is>
      </c>
      <c r="G197" t="inlineStr">
        <is>
          <t>EKSJÖ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46274</v>
      </c>
      <c r="F198" t="inlineStr">
        <is>
          <t>JÖNKÖPINGS LÄN</t>
        </is>
      </c>
      <c r="G198" t="inlineStr">
        <is>
          <t>EKSJÖ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45875</v>
      </c>
      <c r="E199" s="1" t="n">
        <v>46274</v>
      </c>
      <c r="F199" t="inlineStr">
        <is>
          <t>JÖNKÖPINGS LÄN</t>
        </is>
      </c>
      <c r="G199" t="inlineStr">
        <is>
          <t>EKSJÖ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46274</v>
      </c>
      <c r="F200" t="inlineStr">
        <is>
          <t>JÖNKÖPINGS LÄN</t>
        </is>
      </c>
      <c r="G200" t="inlineStr">
        <is>
          <t>EKSJÖ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45877</v>
      </c>
      <c r="E201" s="1" t="n">
        <v>46274</v>
      </c>
      <c r="F201" t="inlineStr">
        <is>
          <t>JÖNKÖPINGS LÄN</t>
        </is>
      </c>
      <c r="G201" t="inlineStr">
        <is>
          <t>EKSJÖ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46274</v>
      </c>
      <c r="F202" t="inlineStr">
        <is>
          <t>JÖNKÖPINGS LÄN</t>
        </is>
      </c>
      <c r="G202" t="inlineStr">
        <is>
          <t>EKSJÖ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46274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45328</v>
      </c>
      <c r="E204" s="1" t="n">
        <v>46274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46274</v>
      </c>
      <c r="F205" t="inlineStr">
        <is>
          <t>JÖNKÖPINGS LÄN</t>
        </is>
      </c>
      <c r="G205" t="inlineStr">
        <is>
          <t>EKSJÖ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64419-2021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46274</v>
      </c>
      <c r="F206" t="inlineStr">
        <is>
          <t>JÖNKÖPINGS LÄN</t>
        </is>
      </c>
      <c r="G206" t="inlineStr">
        <is>
          <t>EKSJÖ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46274</v>
      </c>
      <c r="F207" t="inlineStr">
        <is>
          <t>JÖNKÖPINGS LÄN</t>
        </is>
      </c>
      <c r="G207" t="inlineStr">
        <is>
          <t>EKSJÖ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46274</v>
      </c>
      <c r="F208" t="inlineStr">
        <is>
          <t>JÖNKÖPINGS LÄN</t>
        </is>
      </c>
      <c r="G208" t="inlineStr">
        <is>
          <t>EKSJÖ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46274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44781</v>
      </c>
      <c r="E210" s="1" t="n">
        <v>46274</v>
      </c>
      <c r="F210" t="inlineStr">
        <is>
          <t>JÖNKÖPINGS LÄN</t>
        </is>
      </c>
      <c r="G210" t="inlineStr">
        <is>
          <t>EKSJÖ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44781</v>
      </c>
      <c r="E211" s="1" t="n">
        <v>46274</v>
      </c>
      <c r="F211" t="inlineStr">
        <is>
          <t>JÖNKÖPINGS LÄN</t>
        </is>
      </c>
      <c r="G211" t="inlineStr">
        <is>
          <t>EKSJÖ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46274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45195</v>
      </c>
      <c r="E213" s="1" t="n">
        <v>46274</v>
      </c>
      <c r="F213" t="inlineStr">
        <is>
          <t>JÖNKÖPINGS LÄN</t>
        </is>
      </c>
      <c r="G213" t="inlineStr">
        <is>
          <t>EKSJÖ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46274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19469-2025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45770</v>
      </c>
      <c r="E215" s="1" t="n">
        <v>46274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46274</v>
      </c>
      <c r="F216" t="inlineStr">
        <is>
          <t>JÖNKÖPINGS LÄN</t>
        </is>
      </c>
      <c r="G216" t="inlineStr">
        <is>
          <t>EKSJÖ</t>
        </is>
      </c>
      <c r="I216" t="n">
        <v>7.9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45232</v>
      </c>
      <c r="E217" s="1" t="n">
        <v>46274</v>
      </c>
      <c r="F217" t="inlineStr">
        <is>
          <t>JÖNKÖPINGS LÄN</t>
        </is>
      </c>
      <c r="G217" t="inlineStr">
        <is>
          <t>EKSJÖ</t>
        </is>
      </c>
      <c r="I217" t="n">
        <v>18.3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46274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46274</v>
      </c>
      <c r="F219" t="inlineStr">
        <is>
          <t>JÖNKÖPINGS LÄN</t>
        </is>
      </c>
      <c r="G219" t="inlineStr">
        <is>
          <t>EKSJÖ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46274</v>
      </c>
      <c r="F220" t="inlineStr">
        <is>
          <t>JÖNKÖPINGS LÄN</t>
        </is>
      </c>
      <c r="G220" t="inlineStr">
        <is>
          <t>EKSJÖ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46274</v>
      </c>
      <c r="F221" t="inlineStr">
        <is>
          <t>JÖNKÖPINGS LÄN</t>
        </is>
      </c>
      <c r="G221" t="inlineStr">
        <is>
          <t>EKSJÖ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46274</v>
      </c>
      <c r="F222" t="inlineStr">
        <is>
          <t>JÖNKÖPINGS LÄN</t>
        </is>
      </c>
      <c r="G222" t="inlineStr">
        <is>
          <t>EKSJÖ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46274</v>
      </c>
      <c r="F223" t="inlineStr">
        <is>
          <t>JÖNKÖPINGS LÄN</t>
        </is>
      </c>
      <c r="G223" t="inlineStr">
        <is>
          <t>EKSJÖ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56322-2021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44477</v>
      </c>
      <c r="E224" s="1" t="n">
        <v>46274</v>
      </c>
      <c r="F224" t="inlineStr">
        <is>
          <t>JÖNKÖPINGS LÄN</t>
        </is>
      </c>
      <c r="G224" t="inlineStr">
        <is>
          <t>EKSJÖ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46274</v>
      </c>
      <c r="F225" t="inlineStr">
        <is>
          <t>JÖNKÖPINGS LÄN</t>
        </is>
      </c>
      <c r="G225" t="inlineStr">
        <is>
          <t>EKSJÖ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46274</v>
      </c>
      <c r="F226" t="inlineStr">
        <is>
          <t>JÖNKÖPINGS LÄN</t>
        </is>
      </c>
      <c r="G226" t="inlineStr">
        <is>
          <t>EKSJÖ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46274</v>
      </c>
      <c r="F227" t="inlineStr">
        <is>
          <t>JÖNKÖPINGS LÄN</t>
        </is>
      </c>
      <c r="G227" t="inlineStr">
        <is>
          <t>EKSJÖ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46274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46274</v>
      </c>
      <c r="F229" t="inlineStr">
        <is>
          <t>JÖNKÖPINGS LÄN</t>
        </is>
      </c>
      <c r="G229" t="inlineStr">
        <is>
          <t>EKSJÖ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46274</v>
      </c>
      <c r="F230" t="inlineStr">
        <is>
          <t>JÖNKÖPINGS LÄN</t>
        </is>
      </c>
      <c r="G230" t="inlineStr">
        <is>
          <t>EKSJÖ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54292-2023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45232</v>
      </c>
      <c r="E231" s="1" t="n">
        <v>46274</v>
      </c>
      <c r="F231" t="inlineStr">
        <is>
          <t>JÖNKÖPINGS LÄN</t>
        </is>
      </c>
      <c r="G231" t="inlineStr">
        <is>
          <t>EKSJÖ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46274</v>
      </c>
      <c r="F232" t="inlineStr">
        <is>
          <t>JÖNKÖPINGS LÄN</t>
        </is>
      </c>
      <c r="G232" t="inlineStr">
        <is>
          <t>EKSJÖ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20480-2026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46274</v>
      </c>
      <c r="F233" t="inlineStr">
        <is>
          <t>JÖNKÖPINGS LÄN</t>
        </is>
      </c>
      <c r="G233" t="inlineStr">
        <is>
          <t>EKSJÖ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46918-2023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46274</v>
      </c>
      <c r="F234" t="inlineStr">
        <is>
          <t>JÖNKÖPINGS LÄN</t>
        </is>
      </c>
      <c r="G234" t="inlineStr">
        <is>
          <t>EKSJÖ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46274</v>
      </c>
      <c r="F235" t="inlineStr">
        <is>
          <t>JÖNKÖPINGS LÄN</t>
        </is>
      </c>
      <c r="G235" t="inlineStr">
        <is>
          <t>EKSJÖ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44526-2025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45916</v>
      </c>
      <c r="E236" s="1" t="n">
        <v>46274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46274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45334</v>
      </c>
      <c r="E238" s="1" t="n">
        <v>46274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46274</v>
      </c>
      <c r="F239" t="inlineStr">
        <is>
          <t>JÖNKÖPINGS LÄN</t>
        </is>
      </c>
      <c r="G239" t="inlineStr">
        <is>
          <t>EKSJÖ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46274</v>
      </c>
      <c r="F240" t="inlineStr">
        <is>
          <t>JÖNKÖPINGS LÄN</t>
        </is>
      </c>
      <c r="G240" t="inlineStr">
        <is>
          <t>EKSJÖ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44991</v>
      </c>
      <c r="E241" s="1" t="n">
        <v>46274</v>
      </c>
      <c r="F241" t="inlineStr">
        <is>
          <t>JÖNKÖPINGS LÄN</t>
        </is>
      </c>
      <c r="G241" t="inlineStr">
        <is>
          <t>EKSJÖ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46274</v>
      </c>
      <c r="F242" t="inlineStr">
        <is>
          <t>JÖNKÖPINGS LÄN</t>
        </is>
      </c>
      <c r="G242" t="inlineStr">
        <is>
          <t>EKSJÖ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46274</v>
      </c>
      <c r="F243" t="inlineStr">
        <is>
          <t>JÖNKÖPINGS LÄN</t>
        </is>
      </c>
      <c r="G243" t="inlineStr">
        <is>
          <t>EKSJÖ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46274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46274</v>
      </c>
      <c r="F245" t="inlineStr">
        <is>
          <t>JÖNKÖPINGS LÄN</t>
        </is>
      </c>
      <c r="G245" t="inlineStr">
        <is>
          <t>EKSJÖ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44991</v>
      </c>
      <c r="E246" s="1" t="n">
        <v>46274</v>
      </c>
      <c r="F246" t="inlineStr">
        <is>
          <t>JÖNKÖPINGS LÄN</t>
        </is>
      </c>
      <c r="G246" t="inlineStr">
        <is>
          <t>EKSJÖ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46274</v>
      </c>
      <c r="F247" t="inlineStr">
        <is>
          <t>JÖNKÖPINGS LÄN</t>
        </is>
      </c>
      <c r="G247" t="inlineStr">
        <is>
          <t>EKSJÖ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45757</v>
      </c>
      <c r="E248" s="1" t="n">
        <v>46274</v>
      </c>
      <c r="F248" t="inlineStr">
        <is>
          <t>JÖNKÖPINGS LÄN</t>
        </is>
      </c>
      <c r="G248" t="inlineStr">
        <is>
          <t>EKSJÖ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46274</v>
      </c>
      <c r="F249" t="inlineStr">
        <is>
          <t>JÖNKÖPINGS LÄN</t>
        </is>
      </c>
      <c r="G249" t="inlineStr">
        <is>
          <t>EKSJÖ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46274</v>
      </c>
      <c r="F250" t="inlineStr">
        <is>
          <t>JÖNKÖPINGS LÄN</t>
        </is>
      </c>
      <c r="G250" t="inlineStr">
        <is>
          <t>EKSJÖ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46146</v>
      </c>
      <c r="E251" s="1" t="n">
        <v>46274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45391</v>
      </c>
      <c r="E252" s="1" t="n">
        <v>46274</v>
      </c>
      <c r="F252" t="inlineStr">
        <is>
          <t>JÖNKÖPINGS LÄN</t>
        </is>
      </c>
      <c r="G252" t="inlineStr">
        <is>
          <t>EKSJÖ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46274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45334</v>
      </c>
      <c r="E254" s="1" t="n">
        <v>46274</v>
      </c>
      <c r="F254" t="inlineStr">
        <is>
          <t>JÖNKÖPINGS LÄN</t>
        </is>
      </c>
      <c r="G254" t="inlineStr">
        <is>
          <t>EKSJÖ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46274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45334</v>
      </c>
      <c r="E256" s="1" t="n">
        <v>46274</v>
      </c>
      <c r="F256" t="inlineStr">
        <is>
          <t>JÖNKÖPINGS LÄN</t>
        </is>
      </c>
      <c r="G256" t="inlineStr">
        <is>
          <t>EKSJÖ</t>
        </is>
      </c>
      <c r="H256" t="inlineStr">
        <is>
          <t>Kommuner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46274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46274</v>
      </c>
      <c r="F258" t="inlineStr">
        <is>
          <t>JÖNKÖPINGS LÄN</t>
        </is>
      </c>
      <c r="G258" t="inlineStr">
        <is>
          <t>EKSJÖ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46274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46274</v>
      </c>
      <c r="F260" t="inlineStr">
        <is>
          <t>JÖNKÖPINGS LÄN</t>
        </is>
      </c>
      <c r="G260" t="inlineStr">
        <is>
          <t>EKSJÖ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46274</v>
      </c>
      <c r="F261" t="inlineStr">
        <is>
          <t>JÖNKÖPINGS LÄN</t>
        </is>
      </c>
      <c r="G261" t="inlineStr">
        <is>
          <t>EKSJÖ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45195</v>
      </c>
      <c r="E262" s="1" t="n">
        <v>46274</v>
      </c>
      <c r="F262" t="inlineStr">
        <is>
          <t>JÖNKÖPINGS LÄN</t>
        </is>
      </c>
      <c r="G262" t="inlineStr">
        <is>
          <t>EKSJÖ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46274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46274</v>
      </c>
      <c r="F264" t="inlineStr">
        <is>
          <t>JÖNKÖPINGS LÄN</t>
        </is>
      </c>
      <c r="G264" t="inlineStr">
        <is>
          <t>EKSJÖ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46274</v>
      </c>
      <c r="F265" t="inlineStr">
        <is>
          <t>JÖNKÖPINGS LÄN</t>
        </is>
      </c>
      <c r="G265" t="inlineStr">
        <is>
          <t>EKSJÖ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46274</v>
      </c>
      <c r="F266" t="inlineStr">
        <is>
          <t>JÖNKÖPINGS LÄN</t>
        </is>
      </c>
      <c r="G266" t="inlineStr">
        <is>
          <t>EKSJÖ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46274</v>
      </c>
      <c r="F267" t="inlineStr">
        <is>
          <t>JÖNKÖPINGS LÄN</t>
        </is>
      </c>
      <c r="G267" t="inlineStr">
        <is>
          <t>EKSJÖ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46274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45173</v>
      </c>
      <c r="E269" s="1" t="n">
        <v>46274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46274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45954</v>
      </c>
      <c r="E271" s="1" t="n">
        <v>46274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46274</v>
      </c>
      <c r="F272" t="inlineStr">
        <is>
          <t>JÖNKÖPINGS LÄN</t>
        </is>
      </c>
      <c r="G272" t="inlineStr">
        <is>
          <t>EKSJÖ</t>
        </is>
      </c>
      <c r="H272" t="inlineStr">
        <is>
          <t>Kyrkan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46274</v>
      </c>
      <c r="F273" t="inlineStr">
        <is>
          <t>JÖNKÖPINGS LÄN</t>
        </is>
      </c>
      <c r="G273" t="inlineStr">
        <is>
          <t>EKSJÖ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46274</v>
      </c>
      <c r="F274" t="inlineStr">
        <is>
          <t>JÖNKÖPINGS LÄN</t>
        </is>
      </c>
      <c r="G274" t="inlineStr">
        <is>
          <t>EKSJÖ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60920-2025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45996</v>
      </c>
      <c r="E275" s="1" t="n">
        <v>46274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46274</v>
      </c>
      <c r="F276" t="inlineStr">
        <is>
          <t>JÖNKÖPINGS LÄN</t>
        </is>
      </c>
      <c r="G276" t="inlineStr">
        <is>
          <t>EKSJÖ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46274</v>
      </c>
      <c r="F277" t="inlineStr">
        <is>
          <t>JÖNKÖPINGS LÄN</t>
        </is>
      </c>
      <c r="G277" t="inlineStr">
        <is>
          <t>EKSJÖ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46274</v>
      </c>
      <c r="F278" t="inlineStr">
        <is>
          <t>JÖNKÖPINGS LÄN</t>
        </is>
      </c>
      <c r="G278" t="inlineStr">
        <is>
          <t>EKSJÖ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45334</v>
      </c>
      <c r="E279" s="1" t="n">
        <v>46274</v>
      </c>
      <c r="F279" t="inlineStr">
        <is>
          <t>JÖNKÖPINGS LÄN</t>
        </is>
      </c>
      <c r="G279" t="inlineStr">
        <is>
          <t>EKSJÖ</t>
        </is>
      </c>
      <c r="H279" t="inlineStr">
        <is>
          <t>Kommuner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46274</v>
      </c>
      <c r="F280" t="inlineStr">
        <is>
          <t>JÖNKÖPINGS LÄN</t>
        </is>
      </c>
      <c r="G280" t="inlineStr">
        <is>
          <t>EKSJÖ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46274</v>
      </c>
      <c r="F281" t="inlineStr">
        <is>
          <t>JÖNKÖPINGS LÄN</t>
        </is>
      </c>
      <c r="G281" t="inlineStr">
        <is>
          <t>EKSJÖ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46274</v>
      </c>
      <c r="F282" t="inlineStr">
        <is>
          <t>JÖNKÖPINGS LÄN</t>
        </is>
      </c>
      <c r="G282" t="inlineStr">
        <is>
          <t>EKSJÖ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46274</v>
      </c>
      <c r="F283" t="inlineStr">
        <is>
          <t>JÖNKÖPINGS LÄN</t>
        </is>
      </c>
      <c r="G283" t="inlineStr">
        <is>
          <t>EKSJÖ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46274</v>
      </c>
      <c r="F284" t="inlineStr">
        <is>
          <t>JÖNKÖPINGS LÄN</t>
        </is>
      </c>
      <c r="G284" t="inlineStr">
        <is>
          <t>EKSJÖ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46274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46274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46274</v>
      </c>
      <c r="F287" t="inlineStr">
        <is>
          <t>JÖNKÖPINGS LÄN</t>
        </is>
      </c>
      <c r="G287" t="inlineStr">
        <is>
          <t>EKSJÖ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46274</v>
      </c>
      <c r="F288" t="inlineStr">
        <is>
          <t>JÖNKÖPINGS LÄN</t>
        </is>
      </c>
      <c r="G288" t="inlineStr">
        <is>
          <t>EKSJÖ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46274</v>
      </c>
      <c r="F289" t="inlineStr">
        <is>
          <t>JÖNKÖPINGS LÄN</t>
        </is>
      </c>
      <c r="G289" t="inlineStr">
        <is>
          <t>EKSJÖ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46274</v>
      </c>
      <c r="F290" t="inlineStr">
        <is>
          <t>JÖNKÖPINGS LÄN</t>
        </is>
      </c>
      <c r="G290" t="inlineStr">
        <is>
          <t>EKSJÖ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56469-2021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46274</v>
      </c>
      <c r="F291" t="inlineStr">
        <is>
          <t>JÖNKÖPINGS LÄN</t>
        </is>
      </c>
      <c r="G291" t="inlineStr">
        <is>
          <t>EKSJÖ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46274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46274</v>
      </c>
      <c r="F293" t="inlineStr">
        <is>
          <t>JÖNKÖPINGS LÄN</t>
        </is>
      </c>
      <c r="G293" t="inlineStr">
        <is>
          <t>EKSJÖ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46274</v>
      </c>
      <c r="F294" t="inlineStr">
        <is>
          <t>JÖNKÖPINGS LÄN</t>
        </is>
      </c>
      <c r="G294" t="inlineStr">
        <is>
          <t>EKSJÖ</t>
        </is>
      </c>
      <c r="H294" t="inlineStr">
        <is>
          <t>Kyrkan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45677</v>
      </c>
      <c r="E295" s="1" t="n">
        <v>46274</v>
      </c>
      <c r="F295" t="inlineStr">
        <is>
          <t>JÖNKÖPINGS LÄN</t>
        </is>
      </c>
      <c r="G295" t="inlineStr">
        <is>
          <t>EKSJÖ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46274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45666</v>
      </c>
      <c r="E297" s="1" t="n">
        <v>46274</v>
      </c>
      <c r="F297" t="inlineStr">
        <is>
          <t>JÖNKÖPINGS LÄN</t>
        </is>
      </c>
      <c r="G297" t="inlineStr">
        <is>
          <t>EKSJÖ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45680</v>
      </c>
      <c r="E298" s="1" t="n">
        <v>46274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11381-2022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44630</v>
      </c>
      <c r="E299" s="1" t="n">
        <v>46274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64993-2023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45286</v>
      </c>
      <c r="E300" s="1" t="n">
        <v>46274</v>
      </c>
      <c r="F300" t="inlineStr">
        <is>
          <t>JÖNKÖPINGS LÄN</t>
        </is>
      </c>
      <c r="G300" t="inlineStr">
        <is>
          <t>EKSJÖ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32344-2024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45512</v>
      </c>
      <c r="E301" s="1" t="n">
        <v>46274</v>
      </c>
      <c r="F301" t="inlineStr">
        <is>
          <t>JÖNKÖPINGS LÄN</t>
        </is>
      </c>
      <c r="G301" t="inlineStr">
        <is>
          <t>EKSJÖ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46274</v>
      </c>
      <c r="F302" t="inlineStr">
        <is>
          <t>JÖNKÖPINGS LÄN</t>
        </is>
      </c>
      <c r="G302" t="inlineStr">
        <is>
          <t>EKSJÖ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46274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46274</v>
      </c>
      <c r="F304" t="inlineStr">
        <is>
          <t>JÖNKÖPINGS LÄN</t>
        </is>
      </c>
      <c r="G304" t="inlineStr">
        <is>
          <t>EKSJÖ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45086</v>
      </c>
      <c r="E305" s="1" t="n">
        <v>46274</v>
      </c>
      <c r="F305" t="inlineStr">
        <is>
          <t>JÖNKÖPINGS LÄN</t>
        </is>
      </c>
      <c r="G305" t="inlineStr">
        <is>
          <t>EKSJÖ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46274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46274</v>
      </c>
      <c r="F307" t="inlineStr">
        <is>
          <t>JÖNKÖPINGS LÄN</t>
        </is>
      </c>
      <c r="G307" t="inlineStr">
        <is>
          <t>EKSJÖ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25140-2026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46175</v>
      </c>
      <c r="E308" s="1" t="n">
        <v>46274</v>
      </c>
      <c r="F308" t="inlineStr">
        <is>
          <t>JÖNKÖPINGS LÄN</t>
        </is>
      </c>
      <c r="G308" t="inlineStr">
        <is>
          <t>EKSJÖ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25783-2026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46274</v>
      </c>
      <c r="F309" t="inlineStr">
        <is>
          <t>JÖNKÖPINGS LÄN</t>
        </is>
      </c>
      <c r="G309" t="inlineStr">
        <is>
          <t>EKSJÖ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12821-2024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45384</v>
      </c>
      <c r="E310" s="1" t="n">
        <v>46274</v>
      </c>
      <c r="F310" t="inlineStr">
        <is>
          <t>JÖNKÖPINGS LÄN</t>
        </is>
      </c>
      <c r="G310" t="inlineStr">
        <is>
          <t>EKSJÖ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46274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46274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46274</v>
      </c>
      <c r="F313" t="inlineStr">
        <is>
          <t>JÖNKÖPINGS LÄN</t>
        </is>
      </c>
      <c r="G313" t="inlineStr">
        <is>
          <t>EKSJÖ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46274</v>
      </c>
      <c r="F314" t="inlineStr">
        <is>
          <t>JÖNKÖPINGS LÄN</t>
        </is>
      </c>
      <c r="G314" t="inlineStr">
        <is>
          <t>EKSJÖ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46274</v>
      </c>
      <c r="F315" t="inlineStr">
        <is>
          <t>JÖNKÖPINGS LÄN</t>
        </is>
      </c>
      <c r="G315" t="inlineStr">
        <is>
          <t>EKSJÖ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45991</v>
      </c>
      <c r="E316" s="1" t="n">
        <v>46274</v>
      </c>
      <c r="F316" t="inlineStr">
        <is>
          <t>JÖNKÖPINGS LÄN</t>
        </is>
      </c>
      <c r="G316" t="inlineStr">
        <is>
          <t>EKSJÖ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46274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45513</v>
      </c>
      <c r="E318" s="1" t="n">
        <v>46274</v>
      </c>
      <c r="F318" t="inlineStr">
        <is>
          <t>JÖNKÖPINGS LÄN</t>
        </is>
      </c>
      <c r="G318" t="inlineStr">
        <is>
          <t>EKSJÖ</t>
        </is>
      </c>
      <c r="H318" t="inlineStr">
        <is>
          <t>Kyrkan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46274</v>
      </c>
      <c r="F319" t="inlineStr">
        <is>
          <t>JÖNKÖPINGS LÄN</t>
        </is>
      </c>
      <c r="G319" t="inlineStr">
        <is>
          <t>EKSJÖ</t>
        </is>
      </c>
      <c r="H319" t="inlineStr">
        <is>
          <t>Kyrkan</t>
        </is>
      </c>
      <c r="I319" t="n">
        <v>15.2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46274</v>
      </c>
      <c r="F320" t="inlineStr">
        <is>
          <t>JÖNKÖPINGS LÄN</t>
        </is>
      </c>
      <c r="G320" t="inlineStr">
        <is>
          <t>EKSJÖ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46274</v>
      </c>
      <c r="F321" t="inlineStr">
        <is>
          <t>JÖNKÖPINGS LÄN</t>
        </is>
      </c>
      <c r="G321" t="inlineStr">
        <is>
          <t>EKSJÖ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46274</v>
      </c>
      <c r="F322" t="inlineStr">
        <is>
          <t>JÖNKÖPINGS LÄN</t>
        </is>
      </c>
      <c r="G322" t="inlineStr">
        <is>
          <t>EKSJÖ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46274</v>
      </c>
      <c r="F323" t="inlineStr">
        <is>
          <t>JÖNKÖPINGS LÄN</t>
        </is>
      </c>
      <c r="G323" t="inlineStr">
        <is>
          <t>EKSJÖ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46274</v>
      </c>
      <c r="F324" t="inlineStr">
        <is>
          <t>JÖNKÖPINGS LÄN</t>
        </is>
      </c>
      <c r="G324" t="inlineStr">
        <is>
          <t>EKSJÖ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46274</v>
      </c>
      <c r="F325" t="inlineStr">
        <is>
          <t>JÖNKÖPINGS LÄN</t>
        </is>
      </c>
      <c r="G325" t="inlineStr">
        <is>
          <t>EKSJÖ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46274</v>
      </c>
      <c r="F326" t="inlineStr">
        <is>
          <t>JÖNKÖPINGS LÄN</t>
        </is>
      </c>
      <c r="G326" t="inlineStr">
        <is>
          <t>EKSJÖ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62892-2025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46274</v>
      </c>
      <c r="F327" t="inlineStr">
        <is>
          <t>JÖNKÖPINGS LÄN</t>
        </is>
      </c>
      <c r="G327" t="inlineStr">
        <is>
          <t>EKSJÖ</t>
        </is>
      </c>
      <c r="H327" t="inlineStr">
        <is>
          <t>Kommuner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46274</v>
      </c>
      <c r="F328" t="inlineStr">
        <is>
          <t>JÖNKÖPINGS LÄN</t>
        </is>
      </c>
      <c r="G328" t="inlineStr">
        <is>
          <t>EKSJÖ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46274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46274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46274</v>
      </c>
      <c r="F331" t="inlineStr">
        <is>
          <t>JÖNKÖPINGS LÄN</t>
        </is>
      </c>
      <c r="G331" t="inlineStr">
        <is>
          <t>EKSJÖ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46274</v>
      </c>
      <c r="F332" t="inlineStr">
        <is>
          <t>JÖNKÖPINGS LÄN</t>
        </is>
      </c>
      <c r="G332" t="inlineStr">
        <is>
          <t>EKSJÖ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65554-2021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46274</v>
      </c>
      <c r="F333" t="inlineStr">
        <is>
          <t>JÖNKÖPINGS LÄN</t>
        </is>
      </c>
      <c r="G333" t="inlineStr">
        <is>
          <t>EKSJÖ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45370-2024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45576</v>
      </c>
      <c r="E334" s="1" t="n">
        <v>46274</v>
      </c>
      <c r="F334" t="inlineStr">
        <is>
          <t>JÖNKÖPINGS LÄN</t>
        </is>
      </c>
      <c r="G334" t="inlineStr">
        <is>
          <t>EKSJÖ</t>
        </is>
      </c>
      <c r="H334" t="inlineStr">
        <is>
          <t>Övriga Aktiebolag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61913-2022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46274</v>
      </c>
      <c r="F335" t="inlineStr">
        <is>
          <t>JÖNKÖPINGS LÄN</t>
        </is>
      </c>
      <c r="G335" t="inlineStr">
        <is>
          <t>EKSJÖ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46274</v>
      </c>
      <c r="F336" t="inlineStr">
        <is>
          <t>JÖNKÖPINGS LÄN</t>
        </is>
      </c>
      <c r="G336" t="inlineStr">
        <is>
          <t>EKSJÖ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46274</v>
      </c>
      <c r="F337" t="inlineStr">
        <is>
          <t>JÖNKÖPINGS LÄN</t>
        </is>
      </c>
      <c r="G337" t="inlineStr">
        <is>
          <t>EKSJÖ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46274</v>
      </c>
      <c r="F338" t="inlineStr">
        <is>
          <t>JÖNKÖPINGS LÄN</t>
        </is>
      </c>
      <c r="G338" t="inlineStr">
        <is>
          <t>EKSJÖ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44846</v>
      </c>
      <c r="E339" s="1" t="n">
        <v>46274</v>
      </c>
      <c r="F339" t="inlineStr">
        <is>
          <t>JÖNKÖPINGS LÄN</t>
        </is>
      </c>
      <c r="G339" t="inlineStr">
        <is>
          <t>EKSJÖ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44846</v>
      </c>
      <c r="E340" s="1" t="n">
        <v>46274</v>
      </c>
      <c r="F340" t="inlineStr">
        <is>
          <t>JÖNKÖPINGS LÄN</t>
        </is>
      </c>
      <c r="G340" t="inlineStr">
        <is>
          <t>EKSJÖ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45365</v>
      </c>
      <c r="E341" s="1" t="n">
        <v>46274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46274</v>
      </c>
      <c r="F342" t="inlineStr">
        <is>
          <t>JÖNKÖPINGS LÄN</t>
        </is>
      </c>
      <c r="G342" t="inlineStr">
        <is>
          <t>EKSJÖ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46274</v>
      </c>
      <c r="F343" t="inlineStr">
        <is>
          <t>JÖNKÖPINGS LÄN</t>
        </is>
      </c>
      <c r="G343" t="inlineStr">
        <is>
          <t>EKSJÖ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46274</v>
      </c>
      <c r="F344" t="inlineStr">
        <is>
          <t>JÖNKÖPINGS LÄN</t>
        </is>
      </c>
      <c r="G344" t="inlineStr">
        <is>
          <t>EKSJÖ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46274</v>
      </c>
      <c r="F345" t="inlineStr">
        <is>
          <t>JÖNKÖPINGS LÄN</t>
        </is>
      </c>
      <c r="G345" t="inlineStr">
        <is>
          <t>EKSJÖ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46274</v>
      </c>
      <c r="F346" t="inlineStr">
        <is>
          <t>JÖNKÖPINGS LÄN</t>
        </is>
      </c>
      <c r="G346" t="inlineStr">
        <is>
          <t>EKSJÖ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46274</v>
      </c>
      <c r="F347" t="inlineStr">
        <is>
          <t>JÖNKÖPINGS LÄN</t>
        </is>
      </c>
      <c r="G347" t="inlineStr">
        <is>
          <t>EKSJÖ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46274</v>
      </c>
      <c r="F348" t="inlineStr">
        <is>
          <t>JÖNKÖPINGS LÄN</t>
        </is>
      </c>
      <c r="G348" t="inlineStr">
        <is>
          <t>EKSJÖ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46197</v>
      </c>
      <c r="E349" s="1" t="n">
        <v>46274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46274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46274</v>
      </c>
      <c r="F351" t="inlineStr">
        <is>
          <t>JÖNKÖPINGS LÄN</t>
        </is>
      </c>
      <c r="G351" t="inlineStr">
        <is>
          <t>EKSJÖ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46197</v>
      </c>
      <c r="E352" s="1" t="n">
        <v>46274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46274</v>
      </c>
      <c r="F353" t="inlineStr">
        <is>
          <t>JÖNKÖPINGS LÄN</t>
        </is>
      </c>
      <c r="G353" t="inlineStr">
        <is>
          <t>EKSJÖ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46274</v>
      </c>
      <c r="F354" t="inlineStr">
        <is>
          <t>JÖNKÖPINGS LÄN</t>
        </is>
      </c>
      <c r="G354" t="inlineStr">
        <is>
          <t>EKSJÖ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46274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46274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46274</v>
      </c>
      <c r="F357" t="inlineStr">
        <is>
          <t>JÖNKÖPINGS LÄN</t>
        </is>
      </c>
      <c r="G357" t="inlineStr">
        <is>
          <t>EKSJÖ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46274</v>
      </c>
      <c r="F358" t="inlineStr">
        <is>
          <t>JÖNKÖPINGS LÄN</t>
        </is>
      </c>
      <c r="G358" t="inlineStr">
        <is>
          <t>EKSJÖ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10946-2026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46274</v>
      </c>
      <c r="F359" t="inlineStr">
        <is>
          <t>JÖNKÖPINGS LÄN</t>
        </is>
      </c>
      <c r="G359" t="inlineStr">
        <is>
          <t>EKSJÖ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46274</v>
      </c>
      <c r="F360" t="inlineStr">
        <is>
          <t>JÖNKÖPINGS LÄN</t>
        </is>
      </c>
      <c r="G360" t="inlineStr">
        <is>
          <t>EKSJÖ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46274</v>
      </c>
      <c r="F361" t="inlineStr">
        <is>
          <t>JÖNKÖPINGS LÄN</t>
        </is>
      </c>
      <c r="G361" t="inlineStr">
        <is>
          <t>EKSJÖ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45114</v>
      </c>
      <c r="E362" s="1" t="n">
        <v>46274</v>
      </c>
      <c r="F362" t="inlineStr">
        <is>
          <t>JÖNKÖPINGS LÄN</t>
        </is>
      </c>
      <c r="G362" t="inlineStr">
        <is>
          <t>EKSJÖ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46274</v>
      </c>
      <c r="F363" t="inlineStr">
        <is>
          <t>JÖNKÖPINGS LÄN</t>
        </is>
      </c>
      <c r="G363" t="inlineStr">
        <is>
          <t>EKSJÖ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46274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46274</v>
      </c>
      <c r="F365" t="inlineStr">
        <is>
          <t>JÖNKÖPINGS LÄN</t>
        </is>
      </c>
      <c r="G365" t="inlineStr">
        <is>
          <t>EKSJÖ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45176</v>
      </c>
      <c r="E366" s="1" t="n">
        <v>46274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46274</v>
      </c>
      <c r="F367" t="inlineStr">
        <is>
          <t>JÖNKÖPINGS LÄN</t>
        </is>
      </c>
      <c r="G367" t="inlineStr">
        <is>
          <t>EKSJÖ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45314</v>
      </c>
      <c r="E368" s="1" t="n">
        <v>46274</v>
      </c>
      <c r="F368" t="inlineStr">
        <is>
          <t>JÖNKÖPINGS LÄN</t>
        </is>
      </c>
      <c r="G368" t="inlineStr">
        <is>
          <t>EKSJÖ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45314</v>
      </c>
      <c r="E369" s="1" t="n">
        <v>46274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46274</v>
      </c>
      <c r="F370" t="inlineStr">
        <is>
          <t>JÖNKÖPINGS LÄN</t>
        </is>
      </c>
      <c r="G370" t="inlineStr">
        <is>
          <t>EKSJÖ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46274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46274</v>
      </c>
      <c r="F372" t="inlineStr">
        <is>
          <t>JÖNKÖPINGS LÄN</t>
        </is>
      </c>
      <c r="G372" t="inlineStr">
        <is>
          <t>EKSJÖ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46274</v>
      </c>
      <c r="F373" t="inlineStr">
        <is>
          <t>JÖNKÖPINGS LÄN</t>
        </is>
      </c>
      <c r="G373" t="inlineStr">
        <is>
          <t>EKSJÖ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46274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46247</v>
      </c>
      <c r="E375" s="1" t="n">
        <v>46274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45197</v>
      </c>
      <c r="E376" s="1" t="n">
        <v>46274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46274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34772-2023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45141</v>
      </c>
      <c r="E378" s="1" t="n">
        <v>46274</v>
      </c>
      <c r="F378" t="inlineStr">
        <is>
          <t>JÖNKÖPINGS LÄN</t>
        </is>
      </c>
      <c r="G378" t="inlineStr">
        <is>
          <t>EKSJÖ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46274</v>
      </c>
      <c r="F379" t="inlineStr">
        <is>
          <t>JÖNKÖPINGS LÄN</t>
        </is>
      </c>
      <c r="G379" t="inlineStr">
        <is>
          <t>EKSJÖ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46274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6.9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46209</v>
      </c>
      <c r="E381" s="1" t="n">
        <v>46274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46209</v>
      </c>
      <c r="E382" s="1" t="n">
        <v>46274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46274</v>
      </c>
      <c r="F383" t="inlineStr">
        <is>
          <t>JÖNKÖPINGS LÄN</t>
        </is>
      </c>
      <c r="G383" t="inlineStr">
        <is>
          <t>EKSJÖ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46252</v>
      </c>
      <c r="E384" s="1" t="n">
        <v>46274</v>
      </c>
      <c r="F384" t="inlineStr">
        <is>
          <t>JÖNKÖPINGS LÄN</t>
        </is>
      </c>
      <c r="G384" t="inlineStr">
        <is>
          <t>EKSJÖ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46274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46274</v>
      </c>
      <c r="F386" t="inlineStr">
        <is>
          <t>JÖNKÖPINGS LÄN</t>
        </is>
      </c>
      <c r="G386" t="inlineStr">
        <is>
          <t>EKSJÖ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46274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46274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46255</v>
      </c>
      <c r="E389" s="1" t="n">
        <v>46274</v>
      </c>
      <c r="F389" t="inlineStr">
        <is>
          <t>JÖNKÖPINGS LÄN</t>
        </is>
      </c>
      <c r="G389" t="inlineStr">
        <is>
          <t>EKSJÖ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46274</v>
      </c>
      <c r="F390" t="inlineStr">
        <is>
          <t>JÖNKÖPINGS LÄN</t>
        </is>
      </c>
      <c r="G390" t="inlineStr">
        <is>
          <t>EKSJÖ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46274</v>
      </c>
      <c r="F391" t="inlineStr">
        <is>
          <t>JÖNKÖPINGS LÄN</t>
        </is>
      </c>
      <c r="G391" t="inlineStr">
        <is>
          <t>EKSJÖ</t>
        </is>
      </c>
      <c r="H391" t="inlineStr">
        <is>
          <t>Kommuner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46274</v>
      </c>
      <c r="F392" t="inlineStr">
        <is>
          <t>JÖNKÖPINGS LÄN</t>
        </is>
      </c>
      <c r="G392" t="inlineStr">
        <is>
          <t>EKSJÖ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46274</v>
      </c>
      <c r="F393" t="inlineStr">
        <is>
          <t>JÖNKÖPINGS LÄN</t>
        </is>
      </c>
      <c r="G393" t="inlineStr">
        <is>
          <t>EKSJÖ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45232</v>
      </c>
      <c r="E394" s="1" t="n">
        <v>46274</v>
      </c>
      <c r="F394" t="inlineStr">
        <is>
          <t>JÖNKÖPINGS LÄN</t>
        </is>
      </c>
      <c r="G394" t="inlineStr">
        <is>
          <t>EKSJÖ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46255</v>
      </c>
      <c r="E395" s="1" t="n">
        <v>46274</v>
      </c>
      <c r="F395" t="inlineStr">
        <is>
          <t>JÖNKÖPINGS LÄN</t>
        </is>
      </c>
      <c r="G395" t="inlineStr">
        <is>
          <t>EKSJÖ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31331-2026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46274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46274</v>
      </c>
      <c r="F397" t="inlineStr">
        <is>
          <t>JÖNKÖPINGS LÄN</t>
        </is>
      </c>
      <c r="G397" t="inlineStr">
        <is>
          <t>EKSJÖ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46274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45086</v>
      </c>
      <c r="E399" s="1" t="n">
        <v>46274</v>
      </c>
      <c r="F399" t="inlineStr">
        <is>
          <t>JÖNKÖPINGS LÄN</t>
        </is>
      </c>
      <c r="G399" t="inlineStr">
        <is>
          <t>EKSJÖ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46274</v>
      </c>
      <c r="F400" t="inlineStr">
        <is>
          <t>JÖNKÖPINGS LÄN</t>
        </is>
      </c>
      <c r="G400" t="inlineStr">
        <is>
          <t>EKSJÖ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46259</v>
      </c>
      <c r="E401" s="1" t="n">
        <v>46274</v>
      </c>
      <c r="F401" t="inlineStr">
        <is>
          <t>JÖNKÖPINGS LÄN</t>
        </is>
      </c>
      <c r="G401" t="inlineStr">
        <is>
          <t>EKSJÖ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45238</v>
      </c>
      <c r="E402" s="1" t="n">
        <v>46274</v>
      </c>
      <c r="F402" t="inlineStr">
        <is>
          <t>JÖNKÖPINGS LÄN</t>
        </is>
      </c>
      <c r="G402" t="inlineStr">
        <is>
          <t>EKSJÖ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46260</v>
      </c>
      <c r="E403" s="1" t="n">
        <v>46274</v>
      </c>
      <c r="F403" t="inlineStr">
        <is>
          <t>JÖNKÖPINGS LÄN</t>
        </is>
      </c>
      <c r="G403" t="inlineStr">
        <is>
          <t>EKSJÖ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46260</v>
      </c>
      <c r="E404" s="1" t="n">
        <v>46274</v>
      </c>
      <c r="F404" t="inlineStr">
        <is>
          <t>JÖNKÖPINGS LÄN</t>
        </is>
      </c>
      <c r="G404" t="inlineStr">
        <is>
          <t>EKSJÖ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45533</v>
      </c>
      <c r="E405" s="1" t="n">
        <v>46274</v>
      </c>
      <c r="F405" t="inlineStr">
        <is>
          <t>JÖNKÖPINGS LÄN</t>
        </is>
      </c>
      <c r="G405" t="inlineStr">
        <is>
          <t>EKSJÖ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32623-2022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44783</v>
      </c>
      <c r="E406" s="1" t="n">
        <v>46274</v>
      </c>
      <c r="F406" t="inlineStr">
        <is>
          <t>JÖNKÖPINGS LÄN</t>
        </is>
      </c>
      <c r="G406" t="inlineStr">
        <is>
          <t>EKSJÖ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46274</v>
      </c>
      <c r="F407" t="inlineStr">
        <is>
          <t>JÖNKÖPINGS LÄN</t>
        </is>
      </c>
      <c r="G407" t="inlineStr">
        <is>
          <t>EKSJÖ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46274</v>
      </c>
      <c r="F408" t="inlineStr">
        <is>
          <t>JÖNKÖPINGS LÄN</t>
        </is>
      </c>
      <c r="G408" t="inlineStr">
        <is>
          <t>EKSJÖ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46274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46274</v>
      </c>
      <c r="F410" t="inlineStr">
        <is>
          <t>JÖNKÖPINGS LÄN</t>
        </is>
      </c>
      <c r="G410" t="inlineStr">
        <is>
          <t>EKSJÖ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46274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46100</v>
      </c>
      <c r="E412" s="1" t="n">
        <v>46274</v>
      </c>
      <c r="F412" t="inlineStr">
        <is>
          <t>JÖNKÖPINGS LÄN</t>
        </is>
      </c>
      <c r="G412" t="inlineStr">
        <is>
          <t>EKSJÖ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46274</v>
      </c>
      <c r="F413" t="inlineStr">
        <is>
          <t>JÖNKÖPINGS LÄN</t>
        </is>
      </c>
      <c r="G413" t="inlineStr">
        <is>
          <t>EKSJÖ</t>
        </is>
      </c>
      <c r="H413" t="inlineStr">
        <is>
          <t>Kommuner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15411-2026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46274</v>
      </c>
      <c r="F414" t="inlineStr">
        <is>
          <t>JÖNKÖPINGS LÄN</t>
        </is>
      </c>
      <c r="G414" t="inlineStr">
        <is>
          <t>EKSJÖ</t>
        </is>
      </c>
      <c r="H414" t="inlineStr">
        <is>
          <t>Kommuner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45628</v>
      </c>
      <c r="E415" s="1" t="n">
        <v>46274</v>
      </c>
      <c r="F415" t="inlineStr">
        <is>
          <t>JÖNKÖPINGS LÄN</t>
        </is>
      </c>
      <c r="G415" t="inlineStr">
        <is>
          <t>EKSJÖ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26706-2022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44739</v>
      </c>
      <c r="E416" s="1" t="n">
        <v>46274</v>
      </c>
      <c r="F416" t="inlineStr">
        <is>
          <t>JÖNKÖPINGS LÄN</t>
        </is>
      </c>
      <c r="G416" t="inlineStr">
        <is>
          <t>EKSJÖ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30931-2023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45113</v>
      </c>
      <c r="E417" s="1" t="n">
        <v>46274</v>
      </c>
      <c r="F417" t="inlineStr">
        <is>
          <t>JÖNKÖPINGS LÄN</t>
        </is>
      </c>
      <c r="G417" t="inlineStr">
        <is>
          <t>EKSJÖ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46274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46274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46274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45523</v>
      </c>
      <c r="E421" s="1" t="n">
        <v>46274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46274</v>
      </c>
      <c r="F422" t="inlineStr">
        <is>
          <t>JÖNKÖPINGS LÄN</t>
        </is>
      </c>
      <c r="G422" t="inlineStr">
        <is>
          <t>EKSJÖ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46274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46274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46273</v>
      </c>
      <c r="E425" s="1" t="n">
        <v>46274</v>
      </c>
      <c r="F425" t="inlineStr">
        <is>
          <t>JÖNKÖPINGS LÄN</t>
        </is>
      </c>
      <c r="G425" t="inlineStr">
        <is>
          <t>EKSJÖ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50287-2024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45600</v>
      </c>
      <c r="E426" s="1" t="n">
        <v>46274</v>
      </c>
      <c r="F426" t="inlineStr">
        <is>
          <t>JÖNKÖPINGS LÄN</t>
        </is>
      </c>
      <c r="G426" t="inlineStr">
        <is>
          <t>EKSJÖ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16573-2026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46274</v>
      </c>
      <c r="F427" t="inlineStr">
        <is>
          <t>JÖNKÖPINGS LÄN</t>
        </is>
      </c>
      <c r="G427" t="inlineStr">
        <is>
          <t>EKSJÖ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46274</v>
      </c>
      <c r="F428" t="inlineStr">
        <is>
          <t>JÖNKÖPINGS LÄN</t>
        </is>
      </c>
      <c r="G428" t="inlineStr">
        <is>
          <t>EKSJÖ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36042-2024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45533</v>
      </c>
      <c r="E429" s="1" t="n">
        <v>46274</v>
      </c>
      <c r="F429" t="inlineStr">
        <is>
          <t>JÖNKÖPINGS LÄN</t>
        </is>
      </c>
      <c r="G429" t="inlineStr">
        <is>
          <t>EKSJÖ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46274</v>
      </c>
      <c r="F430" t="inlineStr">
        <is>
          <t>JÖNKÖPINGS LÄN</t>
        </is>
      </c>
      <c r="G430" t="inlineStr">
        <is>
          <t>EKSJÖ</t>
        </is>
      </c>
      <c r="H430" t="inlineStr">
        <is>
          <t>Övriga Aktiebolag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46113</v>
      </c>
      <c r="E431" s="1" t="n">
        <v>46274</v>
      </c>
      <c r="F431" t="inlineStr">
        <is>
          <t>JÖNKÖPINGS LÄN</t>
        </is>
      </c>
      <c r="G431" t="inlineStr">
        <is>
          <t>EKSJÖ</t>
        </is>
      </c>
      <c r="H431" t="inlineStr">
        <is>
          <t>Övriga Aktiebolag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45049</v>
      </c>
      <c r="E432" s="1" t="n">
        <v>46274</v>
      </c>
      <c r="F432" t="inlineStr">
        <is>
          <t>JÖNKÖPINGS LÄN</t>
        </is>
      </c>
      <c r="G432" t="inlineStr">
        <is>
          <t>EKSJÖ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47390-2022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46274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46272</v>
      </c>
      <c r="E434" s="1" t="n">
        <v>46274</v>
      </c>
      <c r="F434" t="inlineStr">
        <is>
          <t>JÖNKÖPINGS LÄN</t>
        </is>
      </c>
      <c r="G434" t="inlineStr">
        <is>
          <t>EKSJÖ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46274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46274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44925</v>
      </c>
      <c r="E437" s="1" t="n">
        <v>46274</v>
      </c>
      <c r="F437" t="inlineStr">
        <is>
          <t>JÖNKÖPINGS LÄN</t>
        </is>
      </c>
      <c r="G437" t="inlineStr">
        <is>
          <t>EKSJÖ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46247</v>
      </c>
      <c r="E438" s="1" t="n">
        <v>46274</v>
      </c>
      <c r="F438" t="inlineStr">
        <is>
          <t>JÖNKÖPINGS LÄN</t>
        </is>
      </c>
      <c r="G438" t="inlineStr">
        <is>
          <t>EKSJÖ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49681-2023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45212</v>
      </c>
      <c r="E439" s="1" t="n">
        <v>46274</v>
      </c>
      <c r="F439" t="inlineStr">
        <is>
          <t>JÖNKÖPINGS LÄN</t>
        </is>
      </c>
      <c r="G439" t="inlineStr">
        <is>
          <t>EKSJÖ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46274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46274</v>
      </c>
      <c r="F441" t="inlineStr">
        <is>
          <t>JÖNKÖPINGS LÄN</t>
        </is>
      </c>
      <c r="G441" t="inlineStr">
        <is>
          <t>EKSJÖ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46274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44685</v>
      </c>
      <c r="E443" s="1" t="n">
        <v>46274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46274</v>
      </c>
      <c r="F444" t="inlineStr">
        <is>
          <t>JÖNKÖPINGS LÄN</t>
        </is>
      </c>
      <c r="G444" t="inlineStr">
        <is>
          <t>EKSJÖ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44813</v>
      </c>
      <c r="E445" s="1" t="n">
        <v>46274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46274</v>
      </c>
      <c r="F446" t="inlineStr">
        <is>
          <t>JÖNKÖPINGS LÄN</t>
        </is>
      </c>
      <c r="G446" t="inlineStr">
        <is>
          <t>EKSJÖ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45420</v>
      </c>
      <c r="E447" s="1" t="n">
        <v>46274</v>
      </c>
      <c r="F447" t="inlineStr">
        <is>
          <t>JÖNKÖPINGS LÄN</t>
        </is>
      </c>
      <c r="G447" t="inlineStr">
        <is>
          <t>EKSJÖ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46274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36355-2022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44803</v>
      </c>
      <c r="E449" s="1" t="n">
        <v>46274</v>
      </c>
      <c r="F449" t="inlineStr">
        <is>
          <t>JÖNKÖPINGS LÄN</t>
        </is>
      </c>
      <c r="G449" t="inlineStr">
        <is>
          <t>EKSJÖ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46274</v>
      </c>
      <c r="F450" t="inlineStr">
        <is>
          <t>JÖNKÖPINGS LÄN</t>
        </is>
      </c>
      <c r="G450" t="inlineStr">
        <is>
          <t>EKSJÖ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45677</v>
      </c>
      <c r="E451" s="1" t="n">
        <v>46274</v>
      </c>
      <c r="F451" t="inlineStr">
        <is>
          <t>JÖNKÖPINGS LÄN</t>
        </is>
      </c>
      <c r="G451" t="inlineStr">
        <is>
          <t>EKSJÖ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46274</v>
      </c>
      <c r="F452" t="inlineStr">
        <is>
          <t>JÖNKÖPINGS LÄN</t>
        </is>
      </c>
      <c r="G452" t="inlineStr">
        <is>
          <t>EKSJÖ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46274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46274</v>
      </c>
      <c r="F454" t="inlineStr">
        <is>
          <t>JÖNKÖPINGS LÄN</t>
        </is>
      </c>
      <c r="G454" t="inlineStr">
        <is>
          <t>EKSJÖ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44846</v>
      </c>
      <c r="E455" s="1" t="n">
        <v>46274</v>
      </c>
      <c r="F455" t="inlineStr">
        <is>
          <t>JÖNKÖPINGS LÄN</t>
        </is>
      </c>
      <c r="G455" t="inlineStr">
        <is>
          <t>EKSJÖ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45468</v>
      </c>
      <c r="E456" s="1" t="n">
        <v>46274</v>
      </c>
      <c r="F456" t="inlineStr">
        <is>
          <t>JÖNKÖPINGS LÄN</t>
        </is>
      </c>
      <c r="G456" t="inlineStr">
        <is>
          <t>EKSJÖ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44713</v>
      </c>
      <c r="E457" s="1" t="n">
        <v>46274</v>
      </c>
      <c r="F457" t="inlineStr">
        <is>
          <t>JÖNKÖPINGS LÄN</t>
        </is>
      </c>
      <c r="G457" t="inlineStr">
        <is>
          <t>EKSJÖ</t>
        </is>
      </c>
      <c r="H457" t="inlineStr">
        <is>
          <t>Kyrkan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46274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49403-2021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44454</v>
      </c>
      <c r="E459" s="1" t="n">
        <v>46274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10972-2025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45723</v>
      </c>
      <c r="E460" s="1" t="n">
        <v>46274</v>
      </c>
      <c r="F460" t="inlineStr">
        <is>
          <t>JÖNKÖPINGS LÄN</t>
        </is>
      </c>
      <c r="G460" t="inlineStr">
        <is>
          <t>EKSJÖ</t>
        </is>
      </c>
      <c r="I460" t="n">
        <v>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45154</v>
      </c>
      <c r="E461" s="1" t="n">
        <v>46274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46274</v>
      </c>
      <c r="F462" t="inlineStr">
        <is>
          <t>JÖNKÖPINGS LÄN</t>
        </is>
      </c>
      <c r="G462" t="inlineStr">
        <is>
          <t>EKSJÖ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59734-2022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44908</v>
      </c>
      <c r="E463" s="1" t="n">
        <v>46274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9058-2022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44615</v>
      </c>
      <c r="E464" s="1" t="n">
        <v>46274</v>
      </c>
      <c r="F464" t="inlineStr">
        <is>
          <t>JÖNKÖPINGS LÄN</t>
        </is>
      </c>
      <c r="G464" t="inlineStr">
        <is>
          <t>EKSJÖ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59955-2022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46274</v>
      </c>
      <c r="F465" t="inlineStr">
        <is>
          <t>JÖNKÖPINGS LÄN</t>
        </is>
      </c>
      <c r="G465" t="inlineStr">
        <is>
          <t>EKSJÖ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53053-2021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44467</v>
      </c>
      <c r="E466" s="1" t="n">
        <v>46274</v>
      </c>
      <c r="F466" t="inlineStr">
        <is>
          <t>JÖNKÖPINGS LÄN</t>
        </is>
      </c>
      <c r="G466" t="inlineStr">
        <is>
          <t>EKSJÖ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46274</v>
      </c>
      <c r="F467" t="inlineStr">
        <is>
          <t>JÖNKÖPINGS LÄN</t>
        </is>
      </c>
      <c r="G467" t="inlineStr">
        <is>
          <t>EKSJÖ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52200-2023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45224</v>
      </c>
      <c r="E468" s="1" t="n">
        <v>46274</v>
      </c>
      <c r="F468" t="inlineStr">
        <is>
          <t>JÖNKÖPINGS LÄN</t>
        </is>
      </c>
      <c r="G468" t="inlineStr">
        <is>
          <t>EKSJÖ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56689-2021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46274</v>
      </c>
      <c r="F469" t="inlineStr">
        <is>
          <t>JÖNKÖPINGS LÄN</t>
        </is>
      </c>
      <c r="G469" t="inlineStr">
        <is>
          <t>EKSJÖ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45154</v>
      </c>
      <c r="E470" s="1" t="n">
        <v>46274</v>
      </c>
      <c r="F470" t="inlineStr">
        <is>
          <t>JÖNKÖPINGS LÄN</t>
        </is>
      </c>
      <c r="G470" t="inlineStr">
        <is>
          <t>EKSJÖ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46274</v>
      </c>
      <c r="F471" t="inlineStr">
        <is>
          <t>JÖNKÖPINGS LÄN</t>
        </is>
      </c>
      <c r="G471" t="inlineStr">
        <is>
          <t>EKSJÖ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46274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20897-2022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44701</v>
      </c>
      <c r="E473" s="1" t="n">
        <v>46274</v>
      </c>
      <c r="F473" t="inlineStr">
        <is>
          <t>JÖNKÖPINGS LÄN</t>
        </is>
      </c>
      <c r="G473" t="inlineStr">
        <is>
          <t>EKSJÖ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45161</v>
      </c>
      <c r="E474" s="1" t="n">
        <v>46274</v>
      </c>
      <c r="F474" t="inlineStr">
        <is>
          <t>JÖNKÖPINGS LÄN</t>
        </is>
      </c>
      <c r="G474" t="inlineStr">
        <is>
          <t>EKSJÖ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46274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61850-2024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45649</v>
      </c>
      <c r="E476" s="1" t="n">
        <v>46274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27077-2023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45096</v>
      </c>
      <c r="E477" s="1" t="n">
        <v>46274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45236</v>
      </c>
      <c r="E478" s="1" t="n">
        <v>46274</v>
      </c>
      <c r="F478" t="inlineStr">
        <is>
          <t>JÖNKÖPINGS LÄN</t>
        </is>
      </c>
      <c r="G478" t="inlineStr">
        <is>
          <t>EKSJÖ</t>
        </is>
      </c>
      <c r="H478" t="inlineStr">
        <is>
          <t>Övriga Aktiebolag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36505-2024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45537</v>
      </c>
      <c r="E479" s="1" t="n">
        <v>46274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46274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46274</v>
      </c>
      <c r="F481" t="inlineStr">
        <is>
          <t>JÖNKÖPINGS LÄN</t>
        </is>
      </c>
      <c r="G481" t="inlineStr">
        <is>
          <t>EKSJÖ</t>
        </is>
      </c>
      <c r="H481" t="inlineStr">
        <is>
          <t>Kyrkan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45160</v>
      </c>
      <c r="E482" s="1" t="n">
        <v>46274</v>
      </c>
      <c r="F482" t="inlineStr">
        <is>
          <t>JÖNKÖPINGS LÄN</t>
        </is>
      </c>
      <c r="G482" t="inlineStr">
        <is>
          <t>EKSJÖ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46274</v>
      </c>
      <c r="F483" t="inlineStr">
        <is>
          <t>JÖNKÖPINGS LÄN</t>
        </is>
      </c>
      <c r="G483" t="inlineStr">
        <is>
          <t>EKSJÖ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45068</v>
      </c>
      <c r="E484" s="1" t="n">
        <v>46274</v>
      </c>
      <c r="F484" t="inlineStr">
        <is>
          <t>JÖNKÖPINGS LÄN</t>
        </is>
      </c>
      <c r="G484" t="inlineStr">
        <is>
          <t>EKSJÖ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71313-2021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46274</v>
      </c>
      <c r="F485" t="inlineStr">
        <is>
          <t>JÖNKÖPINGS LÄN</t>
        </is>
      </c>
      <c r="G485" t="inlineStr">
        <is>
          <t>EKSJÖ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59254-2023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46274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45493-2022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44845</v>
      </c>
      <c r="E487" s="1" t="n">
        <v>46274</v>
      </c>
      <c r="F487" t="inlineStr">
        <is>
          <t>JÖNKÖPINGS LÄN</t>
        </is>
      </c>
      <c r="G487" t="inlineStr">
        <is>
          <t>EKSJÖ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33644-2022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44789</v>
      </c>
      <c r="E488" s="1" t="n">
        <v>46274</v>
      </c>
      <c r="F488" t="inlineStr">
        <is>
          <t>JÖNKÖPINGS LÄN</t>
        </is>
      </c>
      <c r="G488" t="inlineStr">
        <is>
          <t>EKSJÖ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45239</v>
      </c>
      <c r="E489" s="1" t="n">
        <v>46274</v>
      </c>
      <c r="F489" t="inlineStr">
        <is>
          <t>JÖNKÖPINGS LÄN</t>
        </is>
      </c>
      <c r="G489" t="inlineStr">
        <is>
          <t>EKSJÖ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46274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45334</v>
      </c>
      <c r="E491" s="1" t="n">
        <v>46274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46274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50165-2022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46274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45107</v>
      </c>
      <c r="E494" s="1" t="n">
        <v>46274</v>
      </c>
      <c r="F494" t="inlineStr">
        <is>
          <t>JÖNKÖPINGS LÄN</t>
        </is>
      </c>
      <c r="G494" t="inlineStr">
        <is>
          <t>EKSJÖ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46274</v>
      </c>
      <c r="F495" t="inlineStr">
        <is>
          <t>JÖNKÖPINGS LÄN</t>
        </is>
      </c>
      <c r="G495" t="inlineStr">
        <is>
          <t>EKSJÖ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9294-2025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45714</v>
      </c>
      <c r="E496" s="1" t="n">
        <v>46274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44974</v>
      </c>
      <c r="E497" s="1" t="n">
        <v>46274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41397-2024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46274</v>
      </c>
      <c r="F498" t="inlineStr">
        <is>
          <t>JÖNKÖPINGS LÄN</t>
        </is>
      </c>
      <c r="G498" t="inlineStr">
        <is>
          <t>EKSJÖ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45367-2024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45576</v>
      </c>
      <c r="E499" s="1" t="n">
        <v>46274</v>
      </c>
      <c r="F499" t="inlineStr">
        <is>
          <t>JÖNKÖPINGS LÄN</t>
        </is>
      </c>
      <c r="G499" t="inlineStr">
        <is>
          <t>EKSJÖ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59050-2021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44490</v>
      </c>
      <c r="E500" s="1" t="n">
        <v>46274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45076</v>
      </c>
      <c r="E501" s="1" t="n">
        <v>46274</v>
      </c>
      <c r="F501" t="inlineStr">
        <is>
          <t>JÖNKÖPINGS LÄN</t>
        </is>
      </c>
      <c r="G501" t="inlineStr">
        <is>
          <t>EKSJÖ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27395-2023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46274</v>
      </c>
      <c r="F502" t="inlineStr">
        <is>
          <t>JÖNKÖPINGS LÄN</t>
        </is>
      </c>
      <c r="G502" t="inlineStr">
        <is>
          <t>EKSJÖ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46274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44623</v>
      </c>
      <c r="E504" s="1" t="n">
        <v>46274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45156</v>
      </c>
      <c r="E505" s="1" t="n">
        <v>46274</v>
      </c>
      <c r="F505" t="inlineStr">
        <is>
          <t>JÖNKÖPINGS LÄN</t>
        </is>
      </c>
      <c r="G505" t="inlineStr">
        <is>
          <t>EKSJÖ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45071</v>
      </c>
      <c r="E506" s="1" t="n">
        <v>46274</v>
      </c>
      <c r="F506" t="inlineStr">
        <is>
          <t>JÖNKÖPINGS LÄN</t>
        </is>
      </c>
      <c r="G506" t="inlineStr">
        <is>
          <t>EKSJÖ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59905-2022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44908</v>
      </c>
      <c r="E507" s="1" t="n">
        <v>46274</v>
      </c>
      <c r="F507" t="inlineStr">
        <is>
          <t>JÖNKÖPINGS LÄN</t>
        </is>
      </c>
      <c r="G507" t="inlineStr">
        <is>
          <t>EKSJÖ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13833-2024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45391</v>
      </c>
      <c r="E508" s="1" t="n">
        <v>46274</v>
      </c>
      <c r="F508" t="inlineStr">
        <is>
          <t>JÖNKÖPINGS LÄN</t>
        </is>
      </c>
      <c r="G508" t="inlineStr">
        <is>
          <t>EKSJÖ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44581</v>
      </c>
      <c r="E509" s="1" t="n">
        <v>46274</v>
      </c>
      <c r="F509" t="inlineStr">
        <is>
          <t>JÖNKÖPINGS LÄN</t>
        </is>
      </c>
      <c r="G509" t="inlineStr">
        <is>
          <t>EKSJÖ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46274</v>
      </c>
      <c r="F510" t="inlineStr">
        <is>
          <t>JÖNKÖPINGS LÄN</t>
        </is>
      </c>
      <c r="G510" t="inlineStr">
        <is>
          <t>EKSJÖ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44600</v>
      </c>
      <c r="E511" s="1" t="n">
        <v>46274</v>
      </c>
      <c r="F511" t="inlineStr">
        <is>
          <t>JÖNKÖPINGS LÄN</t>
        </is>
      </c>
      <c r="G511" t="inlineStr">
        <is>
          <t>EKSJÖ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45715</v>
      </c>
      <c r="E512" s="1" t="n">
        <v>46274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46274</v>
      </c>
      <c r="F513" t="inlineStr">
        <is>
          <t>JÖNKÖPINGS LÄN</t>
        </is>
      </c>
      <c r="G513" t="inlineStr">
        <is>
          <t>EKSJÖ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45214</v>
      </c>
      <c r="E514" s="1" t="n">
        <v>46274</v>
      </c>
      <c r="F514" t="inlineStr">
        <is>
          <t>JÖNKÖPINGS LÄN</t>
        </is>
      </c>
      <c r="G514" t="inlineStr">
        <is>
          <t>EKSJÖ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46274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46274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46274</v>
      </c>
      <c r="F517" t="inlineStr">
        <is>
          <t>JÖNKÖPINGS LÄN</t>
        </is>
      </c>
      <c r="G517" t="inlineStr">
        <is>
          <t>EKSJÖ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46274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46274</v>
      </c>
      <c r="F519" t="inlineStr">
        <is>
          <t>JÖNKÖPINGS LÄN</t>
        </is>
      </c>
      <c r="G519" t="inlineStr">
        <is>
          <t>EKSJÖ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46274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46274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46577-2022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44848</v>
      </c>
      <c r="E522" s="1" t="n">
        <v>46274</v>
      </c>
      <c r="F522" t="inlineStr">
        <is>
          <t>JÖNKÖPINGS LÄN</t>
        </is>
      </c>
      <c r="G522" t="inlineStr">
        <is>
          <t>EKSJÖ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46274</v>
      </c>
      <c r="F523" t="inlineStr">
        <is>
          <t>JÖNKÖPINGS LÄN</t>
        </is>
      </c>
      <c r="G523" t="inlineStr">
        <is>
          <t>EKSJÖ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9292-2025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45714</v>
      </c>
      <c r="E524" s="1" t="n">
        <v>46274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45714</v>
      </c>
      <c r="E525" s="1" t="n">
        <v>46274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46274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46274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9404-2025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46274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47204-2022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44851</v>
      </c>
      <c r="E529" s="1" t="n">
        <v>46274</v>
      </c>
      <c r="F529" t="inlineStr">
        <is>
          <t>JÖNKÖPINGS LÄN</t>
        </is>
      </c>
      <c r="G529" t="inlineStr">
        <is>
          <t>EKSJÖ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45707</v>
      </c>
      <c r="E530" s="1" t="n">
        <v>46274</v>
      </c>
      <c r="F530" t="inlineStr">
        <is>
          <t>JÖNKÖPINGS LÄN</t>
        </is>
      </c>
      <c r="G530" t="inlineStr">
        <is>
          <t>EKSJÖ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45329</v>
      </c>
      <c r="E531" s="1" t="n">
        <v>46274</v>
      </c>
      <c r="F531" t="inlineStr">
        <is>
          <t>JÖNKÖPINGS LÄN</t>
        </is>
      </c>
      <c r="G531" t="inlineStr">
        <is>
          <t>EKSJÖ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46274</v>
      </c>
      <c r="F532" t="inlineStr">
        <is>
          <t>JÖNKÖPINGS LÄN</t>
        </is>
      </c>
      <c r="G532" t="inlineStr">
        <is>
          <t>EKSJÖ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46274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45334</v>
      </c>
      <c r="E534" s="1" t="n">
        <v>46274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44939</v>
      </c>
      <c r="E535" s="1" t="n">
        <v>46274</v>
      </c>
      <c r="F535" t="inlineStr">
        <is>
          <t>JÖNKÖPINGS LÄN</t>
        </is>
      </c>
      <c r="G535" t="inlineStr">
        <is>
          <t>EKSJÖ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46274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23183-2022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44719</v>
      </c>
      <c r="E537" s="1" t="n">
        <v>46274</v>
      </c>
      <c r="F537" t="inlineStr">
        <is>
          <t>JÖNKÖPINGS LÄN</t>
        </is>
      </c>
      <c r="G537" t="inlineStr">
        <is>
          <t>EKSJÖ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18337-2025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46274</v>
      </c>
      <c r="F538" t="inlineStr">
        <is>
          <t>JÖNKÖPINGS LÄN</t>
        </is>
      </c>
      <c r="G538" t="inlineStr">
        <is>
          <t>EKSJÖ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46274</v>
      </c>
      <c r="F539" t="inlineStr">
        <is>
          <t>JÖNKÖPINGS LÄN</t>
        </is>
      </c>
      <c r="G539" t="inlineStr">
        <is>
          <t>EKSJÖ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8165-2022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44609</v>
      </c>
      <c r="E540" s="1" t="n">
        <v>46274</v>
      </c>
      <c r="F540" t="inlineStr">
        <is>
          <t>JÖNKÖPINGS LÄN</t>
        </is>
      </c>
      <c r="G540" t="inlineStr">
        <is>
          <t>EKSJÖ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12399-2023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44999</v>
      </c>
      <c r="E541" s="1" t="n">
        <v>46274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44999</v>
      </c>
      <c r="E542" s="1" t="n">
        <v>46274</v>
      </c>
      <c r="F542" t="inlineStr">
        <is>
          <t>JÖNKÖPINGS LÄN</t>
        </is>
      </c>
      <c r="G542" t="inlineStr">
        <is>
          <t>EKSJÖ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45209</v>
      </c>
      <c r="E543" s="1" t="n">
        <v>46274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45777</v>
      </c>
      <c r="E544" s="1" t="n">
        <v>46274</v>
      </c>
      <c r="F544" t="inlineStr">
        <is>
          <t>JÖNKÖPINGS LÄN</t>
        </is>
      </c>
      <c r="G544" t="inlineStr">
        <is>
          <t>EKSJÖ</t>
        </is>
      </c>
      <c r="H544" t="inlineStr">
        <is>
          <t>Kommuner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46274</v>
      </c>
      <c r="F545" t="inlineStr">
        <is>
          <t>JÖNKÖPINGS LÄN</t>
        </is>
      </c>
      <c r="G545" t="inlineStr">
        <is>
          <t>EKSJÖ</t>
        </is>
      </c>
      <c r="H545" t="inlineStr">
        <is>
          <t>Kommuner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46274</v>
      </c>
      <c r="F546" t="inlineStr">
        <is>
          <t>JÖNKÖPINGS LÄN</t>
        </is>
      </c>
      <c r="G546" t="inlineStr">
        <is>
          <t>EKSJÖ</t>
        </is>
      </c>
      <c r="H546" t="inlineStr">
        <is>
          <t>Kommuner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45637</v>
      </c>
      <c r="E547" s="1" t="n">
        <v>46274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46274</v>
      </c>
      <c r="F548" t="inlineStr">
        <is>
          <t>JÖNKÖPINGS LÄN</t>
        </is>
      </c>
      <c r="G548" t="inlineStr">
        <is>
          <t>EKSJÖ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45786</v>
      </c>
      <c r="E549" s="1" t="n">
        <v>46274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45705</v>
      </c>
      <c r="E550" s="1" t="n">
        <v>46274</v>
      </c>
      <c r="F550" t="inlineStr">
        <is>
          <t>JÖNKÖPINGS LÄN</t>
        </is>
      </c>
      <c r="G550" t="inlineStr">
        <is>
          <t>EKSJÖ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42469-2023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45175</v>
      </c>
      <c r="E551" s="1" t="n">
        <v>46274</v>
      </c>
      <c r="F551" t="inlineStr">
        <is>
          <t>JÖNKÖPINGS LÄN</t>
        </is>
      </c>
      <c r="G551" t="inlineStr">
        <is>
          <t>EKSJÖ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45530</v>
      </c>
      <c r="E552" s="1" t="n">
        <v>46274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22987-2025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45790</v>
      </c>
      <c r="E553" s="1" t="n">
        <v>46274</v>
      </c>
      <c r="F553" t="inlineStr">
        <is>
          <t>JÖNKÖPINGS LÄN</t>
        </is>
      </c>
      <c r="G553" t="inlineStr">
        <is>
          <t>EKSJÖ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45743-2024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46274</v>
      </c>
      <c r="F554" t="inlineStr">
        <is>
          <t>JÖNKÖPINGS LÄN</t>
        </is>
      </c>
      <c r="G554" t="inlineStr">
        <is>
          <t>EKSJÖ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46274</v>
      </c>
      <c r="F555" t="inlineStr">
        <is>
          <t>JÖNKÖPINGS LÄN</t>
        </is>
      </c>
      <c r="G555" t="inlineStr">
        <is>
          <t>EKSJÖ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46274</v>
      </c>
      <c r="F556" t="inlineStr">
        <is>
          <t>JÖNKÖPINGS LÄN</t>
        </is>
      </c>
      <c r="G556" t="inlineStr">
        <is>
          <t>EKSJÖ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46274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56039-2024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45624</v>
      </c>
      <c r="E558" s="1" t="n">
        <v>46274</v>
      </c>
      <c r="F558" t="inlineStr">
        <is>
          <t>JÖNKÖPINGS LÄN</t>
        </is>
      </c>
      <c r="G558" t="inlineStr">
        <is>
          <t>EKSJÖ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45743</v>
      </c>
      <c r="E559" s="1" t="n">
        <v>46274</v>
      </c>
      <c r="F559" t="inlineStr">
        <is>
          <t>JÖNKÖPINGS LÄN</t>
        </is>
      </c>
      <c r="G559" t="inlineStr">
        <is>
          <t>EKSJÖ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14382-2025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45741</v>
      </c>
      <c r="E560" s="1" t="n">
        <v>46274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11345-2025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45726</v>
      </c>
      <c r="E561" s="1" t="n">
        <v>46274</v>
      </c>
      <c r="F561" t="inlineStr">
        <is>
          <t>JÖNKÖPINGS LÄN</t>
        </is>
      </c>
      <c r="G561" t="inlineStr">
        <is>
          <t>EKSJÖ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45741</v>
      </c>
      <c r="E562" s="1" t="n">
        <v>46274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45741</v>
      </c>
      <c r="E563" s="1" t="n">
        <v>46274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11957-2025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45728</v>
      </c>
      <c r="E564" s="1" t="n">
        <v>46274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14366-2025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45741</v>
      </c>
      <c r="E565" s="1" t="n">
        <v>46274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45727</v>
      </c>
      <c r="E566" s="1" t="n">
        <v>46274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45737</v>
      </c>
      <c r="E567" s="1" t="n">
        <v>46274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45524</v>
      </c>
      <c r="E568" s="1" t="n">
        <v>46274</v>
      </c>
      <c r="F568" t="inlineStr">
        <is>
          <t>JÖNKÖPINGS LÄN</t>
        </is>
      </c>
      <c r="G568" t="inlineStr">
        <is>
          <t>EKSJÖ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27089-2025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45811</v>
      </c>
      <c r="E569" s="1" t="n">
        <v>46274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45091</v>
      </c>
      <c r="E570" s="1" t="n">
        <v>46274</v>
      </c>
      <c r="F570" t="inlineStr">
        <is>
          <t>JÖNKÖPINGS LÄN</t>
        </is>
      </c>
      <c r="G570" t="inlineStr">
        <is>
          <t>EKSJÖ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19856-2025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45771</v>
      </c>
      <c r="E571" s="1" t="n">
        <v>46274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45819</v>
      </c>
      <c r="E572" s="1" t="n">
        <v>46274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28465-2025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45819</v>
      </c>
      <c r="E573" s="1" t="n">
        <v>46274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45826</v>
      </c>
      <c r="E574" s="1" t="n">
        <v>46274</v>
      </c>
      <c r="F574" t="inlineStr">
        <is>
          <t>JÖNKÖPINGS LÄN</t>
        </is>
      </c>
      <c r="G574" t="inlineStr">
        <is>
          <t>EKSJÖ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41440-2024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45560</v>
      </c>
      <c r="E575" s="1" t="n">
        <v>46274</v>
      </c>
      <c r="F575" t="inlineStr">
        <is>
          <t>JÖNKÖPINGS LÄN</t>
        </is>
      </c>
      <c r="G575" t="inlineStr">
        <is>
          <t>EKSJÖ</t>
        </is>
      </c>
      <c r="H575" t="inlineStr">
        <is>
          <t>Kyrkan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32873-2025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45839</v>
      </c>
      <c r="E576" s="1" t="n">
        <v>46274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46274</v>
      </c>
      <c r="F577" t="inlineStr">
        <is>
          <t>JÖNKÖPINGS LÄN</t>
        </is>
      </c>
      <c r="G577" t="inlineStr">
        <is>
          <t>EKSJÖ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33614-2025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45841</v>
      </c>
      <c r="E578" s="1" t="n">
        <v>46274</v>
      </c>
      <c r="F578" t="inlineStr">
        <is>
          <t>JÖNKÖPINGS LÄN</t>
        </is>
      </c>
      <c r="G578" t="inlineStr">
        <is>
          <t>EKSJÖ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45842</v>
      </c>
      <c r="E579" s="1" t="n">
        <v>46274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34124-2025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45845</v>
      </c>
      <c r="E580" s="1" t="n">
        <v>46274</v>
      </c>
      <c r="F580" t="inlineStr">
        <is>
          <t>JÖNKÖPINGS LÄN</t>
        </is>
      </c>
      <c r="G580" t="inlineStr">
        <is>
          <t>EKSJÖ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45842</v>
      </c>
      <c r="E581" s="1" t="n">
        <v>46274</v>
      </c>
      <c r="F581" t="inlineStr">
        <is>
          <t>JÖNKÖPINGS LÄN</t>
        </is>
      </c>
      <c r="G581" t="inlineStr">
        <is>
          <t>EKSJÖ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22176-2025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45785</v>
      </c>
      <c r="E582" s="1" t="n">
        <v>46274</v>
      </c>
      <c r="F582" t="inlineStr">
        <is>
          <t>JÖNKÖPINGS LÄN</t>
        </is>
      </c>
      <c r="G582" t="inlineStr">
        <is>
          <t>EKSJÖ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8057-2023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44974</v>
      </c>
      <c r="E583" s="1" t="n">
        <v>46274</v>
      </c>
      <c r="F583" t="inlineStr">
        <is>
          <t>JÖNKÖPINGS LÄN</t>
        </is>
      </c>
      <c r="G583" t="inlineStr">
        <is>
          <t>EKSJÖ</t>
        </is>
      </c>
      <c r="H583" t="inlineStr">
        <is>
          <t>Sveaskog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45695</v>
      </c>
      <c r="E584" s="1" t="n">
        <v>46274</v>
      </c>
      <c r="F584" t="inlineStr">
        <is>
          <t>JÖNKÖPINGS LÄN</t>
        </is>
      </c>
      <c r="G584" t="inlineStr">
        <is>
          <t>EKSJÖ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24928-2024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45461</v>
      </c>
      <c r="E585" s="1" t="n">
        <v>46274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45860</v>
      </c>
      <c r="E586" s="1" t="n">
        <v>46274</v>
      </c>
      <c r="F586" t="inlineStr">
        <is>
          <t>JÖNKÖPINGS LÄN</t>
        </is>
      </c>
      <c r="G586" t="inlineStr">
        <is>
          <t>EKSJÖ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45860</v>
      </c>
      <c r="E587" s="1" t="n">
        <v>46274</v>
      </c>
      <c r="F587" t="inlineStr">
        <is>
          <t>JÖNKÖPINGS LÄN</t>
        </is>
      </c>
      <c r="G587" t="inlineStr">
        <is>
          <t>EKSJÖ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545-2024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46274</v>
      </c>
      <c r="F588" t="inlineStr">
        <is>
          <t>JÖNKÖPINGS LÄN</t>
        </is>
      </c>
      <c r="G588" t="inlineStr">
        <is>
          <t>EKSJÖ</t>
        </is>
      </c>
      <c r="I588" t="n">
        <v>40.5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538-2024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46274</v>
      </c>
      <c r="F589" t="inlineStr">
        <is>
          <t>JÖNKÖPINGS LÄN</t>
        </is>
      </c>
      <c r="G589" t="inlineStr">
        <is>
          <t>EKSJÖ</t>
        </is>
      </c>
      <c r="I589" t="n">
        <v>25.6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544-2024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46274</v>
      </c>
      <c r="F590" t="inlineStr">
        <is>
          <t>JÖNKÖPINGS LÄN</t>
        </is>
      </c>
      <c r="G590" t="inlineStr">
        <is>
          <t>EKSJÖ</t>
        </is>
      </c>
      <c r="I590" t="n">
        <v>37.3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549-2024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46274</v>
      </c>
      <c r="F591" t="inlineStr">
        <is>
          <t>JÖNKÖPINGS LÄN</t>
        </is>
      </c>
      <c r="G591" t="inlineStr">
        <is>
          <t>EKSJÖ</t>
        </is>
      </c>
      <c r="I591" t="n">
        <v>30.9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46274</v>
      </c>
      <c r="F592" t="inlineStr">
        <is>
          <t>JÖNKÖPINGS LÄN</t>
        </is>
      </c>
      <c r="G592" t="inlineStr">
        <is>
          <t>EKSJÖ</t>
        </is>
      </c>
      <c r="I592" t="n">
        <v>33.4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2246-2023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46274</v>
      </c>
      <c r="F593" t="inlineStr">
        <is>
          <t>JÖNKÖPINGS LÄN</t>
        </is>
      </c>
      <c r="G593" t="inlineStr">
        <is>
          <t>EKSJÖ</t>
        </is>
      </c>
      <c r="I593" t="n">
        <v>22.7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46274</v>
      </c>
      <c r="F594" t="inlineStr">
        <is>
          <t>JÖNKÖPINGS LÄN</t>
        </is>
      </c>
      <c r="G594" t="inlineStr">
        <is>
          <t>EKSJÖ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2270-2023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45103</v>
      </c>
      <c r="E595" s="1" t="n">
        <v>46274</v>
      </c>
      <c r="F595" t="inlineStr">
        <is>
          <t>JÖNKÖPINGS LÄN</t>
        </is>
      </c>
      <c r="G595" t="inlineStr">
        <is>
          <t>EKSJÖ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4938-2024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45628</v>
      </c>
      <c r="E596" s="1" t="n">
        <v>46274</v>
      </c>
      <c r="F596" t="inlineStr">
        <is>
          <t>JÖNKÖPINGS LÄN</t>
        </is>
      </c>
      <c r="G596" t="inlineStr">
        <is>
          <t>EKSJÖ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546-2024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46274</v>
      </c>
      <c r="F597" t="inlineStr">
        <is>
          <t>JÖNKÖPINGS LÄN</t>
        </is>
      </c>
      <c r="G597" t="inlineStr">
        <is>
          <t>EKSJÖ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540-2024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46274</v>
      </c>
      <c r="F598" t="inlineStr">
        <is>
          <t>JÖNKÖPINGS LÄN</t>
        </is>
      </c>
      <c r="G598" t="inlineStr">
        <is>
          <t>EKSJÖ</t>
        </is>
      </c>
      <c r="I598" t="n">
        <v>25.9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543-2024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46274</v>
      </c>
      <c r="F599" t="inlineStr">
        <is>
          <t>JÖNKÖPINGS LÄN</t>
        </is>
      </c>
      <c r="G599" t="inlineStr">
        <is>
          <t>EKSJÖ</t>
        </is>
      </c>
      <c r="I599" t="n">
        <v>21.4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1407-2023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45042</v>
      </c>
      <c r="E600" s="1" t="n">
        <v>46274</v>
      </c>
      <c r="F600" t="inlineStr">
        <is>
          <t>JÖNKÖPINGS LÄN</t>
        </is>
      </c>
      <c r="G600" t="inlineStr">
        <is>
          <t>EKSJÖ</t>
        </is>
      </c>
      <c r="I600" t="n">
        <v>60.7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539-2024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46274</v>
      </c>
      <c r="F601" t="inlineStr">
        <is>
          <t>JÖNKÖPINGS LÄN</t>
        </is>
      </c>
      <c r="G601" t="inlineStr">
        <is>
          <t>EKSJÖ</t>
        </is>
      </c>
      <c r="I601" t="n">
        <v>41.7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2244-2023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45100</v>
      </c>
      <c r="E602" s="1" t="n">
        <v>46274</v>
      </c>
      <c r="F602" t="inlineStr">
        <is>
          <t>JÖNKÖPINGS LÄN</t>
        </is>
      </c>
      <c r="G602" t="inlineStr">
        <is>
          <t>EKSJÖ</t>
        </is>
      </c>
      <c r="I602" t="n">
        <v>26.1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2704-2023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45155</v>
      </c>
      <c r="E603" s="1" t="n">
        <v>46274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1298-2025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45770</v>
      </c>
      <c r="E604" s="1" t="n">
        <v>46274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949-2025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45741</v>
      </c>
      <c r="E605" s="1" t="n">
        <v>46274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583-2025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45712</v>
      </c>
      <c r="E606" s="1" t="n">
        <v>46274</v>
      </c>
      <c r="F606" t="inlineStr">
        <is>
          <t>JÖNKÖPINGS LÄN</t>
        </is>
      </c>
      <c r="G606" t="inlineStr">
        <is>
          <t>EKSJÖ</t>
        </is>
      </c>
      <c r="I606" t="n">
        <v>18.6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524-2025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45707</v>
      </c>
      <c r="E607" s="1" t="n">
        <v>46274</v>
      </c>
      <c r="F607" t="inlineStr">
        <is>
          <t>JÖNKÖPINGS LÄN</t>
        </is>
      </c>
      <c r="G607" t="inlineStr">
        <is>
          <t>EKSJÖ</t>
        </is>
      </c>
      <c r="I607" t="n">
        <v>114.6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1670-2025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45804</v>
      </c>
      <c r="E608" s="1" t="n">
        <v>46274</v>
      </c>
      <c r="F608" t="inlineStr">
        <is>
          <t>JÖNKÖPINGS LÄN</t>
        </is>
      </c>
      <c r="G608" t="inlineStr">
        <is>
          <t>EKSJÖ</t>
        </is>
      </c>
      <c r="I608" t="n">
        <v>21.5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2606-2025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45916</v>
      </c>
      <c r="E609" s="1" t="n">
        <v>46274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2834-2025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45940</v>
      </c>
      <c r="E610" s="1" t="n">
        <v>46274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1004-2026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46121</v>
      </c>
      <c r="E611" s="1" t="n">
        <v>46274</v>
      </c>
      <c r="F611" t="inlineStr">
        <is>
          <t>JÖNKÖPINGS LÄN</t>
        </is>
      </c>
      <c r="G611" t="inlineStr">
        <is>
          <t>EKSJÖ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1412-2026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46154</v>
      </c>
      <c r="E612" s="1" t="n">
        <v>46274</v>
      </c>
      <c r="F612" t="inlineStr">
        <is>
          <t>JÖNKÖPINGS LÄN</t>
        </is>
      </c>
      <c r="G612" t="inlineStr">
        <is>
          <t>EKSJÖ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1521-2026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46166</v>
      </c>
      <c r="E613" s="1" t="n">
        <v>46274</v>
      </c>
      <c r="F613" t="inlineStr">
        <is>
          <t>JÖNKÖPINGS LÄN</t>
        </is>
      </c>
      <c r="G613" t="inlineStr">
        <is>
          <t>EKSJÖ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1826-2026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46274</v>
      </c>
      <c r="F614" t="inlineStr">
        <is>
          <t>JÖNKÖPINGS LÄN</t>
        </is>
      </c>
      <c r="G614" t="inlineStr">
        <is>
          <t>EKSJÖ</t>
        </is>
      </c>
      <c r="I614" t="n">
        <v>117.5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1825-2026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46274</v>
      </c>
      <c r="F615" t="inlineStr">
        <is>
          <t>JÖNKÖPINGS LÄN</t>
        </is>
      </c>
      <c r="G615" t="inlineStr">
        <is>
          <t>EKSJÖ</t>
        </is>
      </c>
      <c r="I615" t="n">
        <v>14.8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46274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1842-2026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46153</v>
      </c>
      <c r="E617" s="1" t="n">
        <v>46274</v>
      </c>
      <c r="F617" t="inlineStr">
        <is>
          <t>JÖNKÖPINGS LÄN</t>
        </is>
      </c>
      <c r="G617" t="inlineStr">
        <is>
          <t>EKSJÖ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2026-09-09T02:15:17Z</dcterms:created>
  <dcterms:modified xmlns:dcterms="http://purl.org/dc/terms/" xmlns:xsi="http://www.w3.org/2001/XMLSchema-instance" xsi:type="dcterms:W3CDTF">2026-09-09T02:15:18Z</dcterms:modified>
</cp:coreProperties>
</file>