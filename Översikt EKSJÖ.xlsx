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46261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46261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46261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46261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46261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46261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5128-2024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46261</v>
      </c>
      <c r="F28" t="inlineStr">
        <is>
          <t>JÖNKÖPINGS LÄN</t>
        </is>
      </c>
      <c r="G28" t="inlineStr">
        <is>
          <t>EKSJÖ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5128-2024 artfynd.xlsx", "A 5128-2024")</f>
        <v/>
      </c>
      <c r="X28">
        <f>HYPERLINK("https://klasma.github.io/Logging_0686/kartor/A 5128-2024 karta.png", "A 5128-2024")</f>
        <v/>
      </c>
      <c r="Y28">
        <f>HYPERLINK("https://klasma.github.io/Logging_0686/kartor_geotiff/A 5128-2024 georefererad karta.tif", "A 5128-2024")</f>
        <v/>
      </c>
      <c r="AA28">
        <f>HYPERLINK("https://klasma.github.io/Logging_0686/klagomål/A 5128-2024 FSC-klagomål.docx", "A 5128-2024")</f>
        <v/>
      </c>
      <c r="AB28">
        <f>HYPERLINK("https://klasma.github.io/Logging_0686/klagomålsmail/A 5128-2024 FSC-klagomål mail.docx", "A 5128-2024")</f>
        <v/>
      </c>
      <c r="AC28">
        <f>HYPERLINK("https://klasma.github.io/Logging_0686/tillsyn/A 5128-2024 tillsynsbegäran.docx", "A 5128-2024")</f>
        <v/>
      </c>
      <c r="AD28">
        <f>HYPERLINK("https://klasma.github.io/Logging_0686/tillsynsmail/A 5128-2024 tillsynsbegäran mail.docx", "A 5128-2024")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46261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46261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46261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46261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46261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46261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46261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46261</v>
      </c>
      <c r="F36" t="inlineStr">
        <is>
          <t>JÖNKÖPINGS LÄN</t>
        </is>
      </c>
      <c r="G36" t="inlineStr">
        <is>
          <t>EKSJÖ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HYPERLINK("https://klasma.github.io/Logging_0686/artfynd/A 58-2023 artfynd.xlsx", "A 58-2023")</f>
        <v/>
      </c>
      <c r="X36">
        <f>HYPERLINK("https://klasma.github.io/Logging_0686/kartor/A 58-2023 karta.png", "A 58-2023")</f>
        <v/>
      </c>
      <c r="Y36">
        <f>HYPERLINK("https://klasma.github.io/Logging_0686/kartor_geotiff/A 58-2023 georefererad karta.tif", "A 58-2023")</f>
        <v/>
      </c>
      <c r="AA36">
        <f>HYPERLINK("https://klasma.github.io/Logging_0686/klagomål/A 58-2023 FSC-klagomål.docx", "A 58-2023")</f>
        <v/>
      </c>
      <c r="AB36">
        <f>HYPERLINK("https://klasma.github.io/Logging_0686/klagomålsmail/A 58-2023 FSC-klagomål mail.docx", "A 58-2023")</f>
        <v/>
      </c>
      <c r="AC36">
        <f>HYPERLINK("https://klasma.github.io/Logging_0686/tillsyn/A 58-2023 tillsynsbegäran.docx", "A 58-2023")</f>
        <v/>
      </c>
      <c r="AD36">
        <f>HYPERLINK("https://klasma.github.io/Logging_0686/tillsynsmail/A 58-2023 tillsynsbegäran mail.docx", "A 58-2023")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46261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46261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29121-2026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46202</v>
      </c>
      <c r="E39" s="1" t="n">
        <v>46261</v>
      </c>
      <c r="F39" t="inlineStr">
        <is>
          <t>JÖNKÖPINGS LÄN</t>
        </is>
      </c>
      <c r="G39" t="inlineStr">
        <is>
          <t>EKSJÖ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HYPERLINK("https://klasma.github.io/Logging_0686/artfynd/A 29121-2026 artfynd.xlsx", "A 29121-2026")</f>
        <v/>
      </c>
      <c r="X39">
        <f>HYPERLINK("https://klasma.github.io/Logging_0686/kartor/A 29121-2026 karta.png", "A 29121-2026")</f>
        <v/>
      </c>
      <c r="Y39">
        <f>HYPERLINK("https://klasma.github.io/Logging_0686/kartor_geotiff/A 29121-2026 georefererad karta.tif", "A 29121-2026")</f>
        <v/>
      </c>
      <c r="AA39">
        <f>HYPERLINK("https://klasma.github.io/Logging_0686/klagomål/A 29121-2026 FSC-klagomål.docx", "A 29121-2026")</f>
        <v/>
      </c>
      <c r="AB39">
        <f>HYPERLINK("https://klasma.github.io/Logging_0686/klagomålsmail/A 29121-2026 FSC-klagomål mail.docx", "A 29121-2026")</f>
        <v/>
      </c>
      <c r="AC39">
        <f>HYPERLINK("https://klasma.github.io/Logging_0686/tillsyn/A 29121-2026 tillsynsbegäran.docx", "A 29121-2026")</f>
        <v/>
      </c>
      <c r="AD39">
        <f>HYPERLINK("https://klasma.github.io/Logging_0686/tillsynsmail/A 29121-2026 tillsynsbegäran mail.docx", "A 29121-2026")</f>
        <v/>
      </c>
    </row>
    <row r="40" ht="15" customHeight="1">
      <c r="A40" t="inlineStr">
        <is>
          <t>A 18327-2024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45422</v>
      </c>
      <c r="E40" s="1" t="n">
        <v>46261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Dvärgbägarlav</t>
        </is>
      </c>
      <c r="W40">
        <f>HYPERLINK("https://klasma.github.io/Logging_0686/artfynd/A 18327-2024 artfynd.xlsx", "A 18327-2024")</f>
        <v/>
      </c>
      <c r="X40">
        <f>HYPERLINK("https://klasma.github.io/Logging_0686/kartor/A 18327-2024 karta.png", "A 18327-2024")</f>
        <v/>
      </c>
      <c r="Y40">
        <f>HYPERLINK("https://klasma.github.io/Logging_0686/kartor_geotiff/A 18327-2024 georefererad karta.tif", "A 18327-2024")</f>
        <v/>
      </c>
      <c r="AA40">
        <f>HYPERLINK("https://klasma.github.io/Logging_0686/klagomål/A 18327-2024 FSC-klagomål.docx", "A 18327-2024")</f>
        <v/>
      </c>
      <c r="AB40">
        <f>HYPERLINK("https://klasma.github.io/Logging_0686/klagomålsmail/A 18327-2024 FSC-klagomål mail.docx", "A 18327-2024")</f>
        <v/>
      </c>
      <c r="AC40">
        <f>HYPERLINK("https://klasma.github.io/Logging_0686/tillsyn/A 18327-2024 tillsynsbegäran.docx", "A 18327-2024")</f>
        <v/>
      </c>
      <c r="AD40">
        <f>HYPERLINK("https://klasma.github.io/Logging_0686/tillsynsmail/A 18327-2024 tillsynsbegäran mail.docx", "A 18327-2024")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46261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46261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46261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48033-2023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45204</v>
      </c>
      <c r="E44" s="1" t="n">
        <v>46261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48033-2023 artfynd.xlsx", "A 48033-2023")</f>
        <v/>
      </c>
      <c r="X44">
        <f>HYPERLINK("https://klasma.github.io/Logging_0686/kartor/A 48033-2023 karta.png", "A 48033-2023")</f>
        <v/>
      </c>
      <c r="Y44">
        <f>HYPERLINK("https://klasma.github.io/Logging_0686/kartor_geotiff/A 48033-2023 georefererad karta.tif", "A 48033-2023")</f>
        <v/>
      </c>
      <c r="AA44">
        <f>HYPERLINK("https://klasma.github.io/Logging_0686/klagomål/A 48033-2023 FSC-klagomål.docx", "A 48033-2023")</f>
        <v/>
      </c>
      <c r="AB44">
        <f>HYPERLINK("https://klasma.github.io/Logging_0686/klagomålsmail/A 48033-2023 FSC-klagomål mail.docx", "A 48033-2023")</f>
        <v/>
      </c>
      <c r="AC44">
        <f>HYPERLINK("https://klasma.github.io/Logging_0686/tillsyn/A 48033-2023 tillsynsbegäran.docx", "A 48033-2023")</f>
        <v/>
      </c>
      <c r="AD44">
        <f>HYPERLINK("https://klasma.github.io/Logging_0686/tillsynsmail/A 48033-2023 tillsynsbegäran mail.docx", "A 48033-2023")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46261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49412-2021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46261</v>
      </c>
      <c r="F46" t="inlineStr">
        <is>
          <t>JÖNKÖPINGS LÄN</t>
        </is>
      </c>
      <c r="G46" t="inlineStr">
        <is>
          <t>EKSJÖ</t>
        </is>
      </c>
      <c r="I46" t="n">
        <v>5.3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Ladusvala</t>
        </is>
      </c>
      <c r="W46">
        <f>HYPERLINK("https://klasma.github.io/Logging_0686/artfynd/A 49412-2021 artfynd.xlsx", "A 49412-2021")</f>
        <v/>
      </c>
      <c r="X46">
        <f>HYPERLINK("https://klasma.github.io/Logging_0686/kartor/A 49412-2021 karta.png", "A 49412-2021")</f>
        <v/>
      </c>
      <c r="Y46">
        <f>HYPERLINK("https://klasma.github.io/Logging_0686/kartor_geotiff/A 49412-2021 georefererad karta.tif", "A 49412-2021")</f>
        <v/>
      </c>
      <c r="AA46">
        <f>HYPERLINK("https://klasma.github.io/Logging_0686/klagomål/A 49412-2021 FSC-klagomål.docx", "A 49412-2021")</f>
        <v/>
      </c>
      <c r="AB46">
        <f>HYPERLINK("https://klasma.github.io/Logging_0686/klagomålsmail/A 49412-2021 FSC-klagomål mail.docx", "A 49412-2021")</f>
        <v/>
      </c>
      <c r="AC46">
        <f>HYPERLINK("https://klasma.github.io/Logging_0686/tillsyn/A 49412-2021 tillsynsbegäran.docx", "A 49412-2021")</f>
        <v/>
      </c>
      <c r="AD46">
        <f>HYPERLINK("https://klasma.github.io/Logging_0686/tillsynsmail/A 49412-2021 tillsynsbegäran mail.docx", "A 49412-2021")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46261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46261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46261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46261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46261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46261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46261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46261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46261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46261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46261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46261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46261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46261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46261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46261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46261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46261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46261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46261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73675-2021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46261</v>
      </c>
      <c r="F83" t="inlineStr">
        <is>
          <t>JÖNKÖPINGS LÄN</t>
        </is>
      </c>
      <c r="G83" t="inlineStr">
        <is>
          <t>EKSJÖ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46261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46261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46261</v>
      </c>
      <c r="F86" t="inlineStr">
        <is>
          <t>JÖNKÖPINGS LÄN</t>
        </is>
      </c>
      <c r="G86" t="inlineStr">
        <is>
          <t>EKSJÖ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46261</v>
      </c>
      <c r="F87" t="inlineStr">
        <is>
          <t>JÖNKÖPINGS LÄN</t>
        </is>
      </c>
      <c r="G87" t="inlineStr">
        <is>
          <t>EKSJÖ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46261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46261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46261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46261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46261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46261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46261</v>
      </c>
      <c r="F94" t="inlineStr">
        <is>
          <t>JÖNKÖPINGS LÄN</t>
        </is>
      </c>
      <c r="G94" t="inlineStr">
        <is>
          <t>EKSJÖ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46261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46261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46261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46261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46261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46261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46261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46261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46261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46261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46261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46261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46261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46261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46261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46261</v>
      </c>
      <c r="F110" t="inlineStr">
        <is>
          <t>JÖNKÖPINGS LÄN</t>
        </is>
      </c>
      <c r="G110" t="inlineStr">
        <is>
          <t>EKSJÖ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46261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46261</v>
      </c>
      <c r="F112" t="inlineStr">
        <is>
          <t>JÖNKÖPINGS LÄN</t>
        </is>
      </c>
      <c r="G112" t="inlineStr">
        <is>
          <t>EKSJÖ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46261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46261</v>
      </c>
      <c r="F114" t="inlineStr">
        <is>
          <t>JÖNKÖPINGS LÄN</t>
        </is>
      </c>
      <c r="G114" t="inlineStr">
        <is>
          <t>EKSJÖ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46261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46261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46261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46261</v>
      </c>
      <c r="F118" t="inlineStr">
        <is>
          <t>JÖNKÖPINGS LÄN</t>
        </is>
      </c>
      <c r="G118" t="inlineStr">
        <is>
          <t>EKSJÖ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46261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46261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46261</v>
      </c>
      <c r="F121" t="inlineStr">
        <is>
          <t>JÖNKÖPINGS LÄN</t>
        </is>
      </c>
      <c r="G121" t="inlineStr">
        <is>
          <t>EKSJÖ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46261</v>
      </c>
      <c r="F122" t="inlineStr">
        <is>
          <t>JÖNKÖPINGS LÄN</t>
        </is>
      </c>
      <c r="G122" t="inlineStr">
        <is>
          <t>EKSJÖ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46261</v>
      </c>
      <c r="F123" t="inlineStr">
        <is>
          <t>JÖNKÖPINGS LÄN</t>
        </is>
      </c>
      <c r="G123" t="inlineStr">
        <is>
          <t>EKSJÖ</t>
        </is>
      </c>
      <c r="H123" t="inlineStr">
        <is>
          <t>Kommuner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46261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46261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46261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46261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46261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46261</v>
      </c>
      <c r="F129" t="inlineStr">
        <is>
          <t>JÖNKÖPINGS LÄN</t>
        </is>
      </c>
      <c r="G129" t="inlineStr">
        <is>
          <t>EKSJÖ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46261</v>
      </c>
      <c r="F130" t="inlineStr">
        <is>
          <t>JÖNKÖPINGS LÄN</t>
        </is>
      </c>
      <c r="G130" t="inlineStr">
        <is>
          <t>EKSJÖ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46261</v>
      </c>
      <c r="F131" t="inlineStr">
        <is>
          <t>JÖNKÖPINGS LÄN</t>
        </is>
      </c>
      <c r="G131" t="inlineStr">
        <is>
          <t>EKSJÖ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46261</v>
      </c>
      <c r="F132" t="inlineStr">
        <is>
          <t>JÖNKÖPINGS LÄN</t>
        </is>
      </c>
      <c r="G132" t="inlineStr">
        <is>
          <t>EKSJÖ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46261</v>
      </c>
      <c r="F133" t="inlineStr">
        <is>
          <t>JÖNKÖPINGS LÄN</t>
        </is>
      </c>
      <c r="G133" t="inlineStr">
        <is>
          <t>EKSJÖ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44846</v>
      </c>
      <c r="E134" s="1" t="n">
        <v>46261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44846</v>
      </c>
      <c r="E135" s="1" t="n">
        <v>46261</v>
      </c>
      <c r="F135" t="inlineStr">
        <is>
          <t>JÖNKÖPINGS LÄN</t>
        </is>
      </c>
      <c r="G135" t="inlineStr">
        <is>
          <t>EKSJÖ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46261</v>
      </c>
      <c r="F136" t="inlineStr">
        <is>
          <t>JÖNKÖPINGS LÄN</t>
        </is>
      </c>
      <c r="G136" t="inlineStr">
        <is>
          <t>EKSJÖ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46261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46261</v>
      </c>
      <c r="F138" t="inlineStr">
        <is>
          <t>JÖNKÖPINGS LÄN</t>
        </is>
      </c>
      <c r="G138" t="inlineStr">
        <is>
          <t>EKSJÖ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46261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45579</v>
      </c>
      <c r="E140" s="1" t="n">
        <v>46261</v>
      </c>
      <c r="F140" t="inlineStr">
        <is>
          <t>JÖNKÖPINGS LÄN</t>
        </is>
      </c>
      <c r="G140" t="inlineStr">
        <is>
          <t>EKSJÖ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46261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46261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45741</v>
      </c>
      <c r="E143" s="1" t="n">
        <v>46261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46261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46261</v>
      </c>
      <c r="F145" t="inlineStr">
        <is>
          <t>JÖNKÖPINGS LÄN</t>
        </is>
      </c>
      <c r="G145" t="inlineStr">
        <is>
          <t>EKSJÖ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46261</v>
      </c>
      <c r="F146" t="inlineStr">
        <is>
          <t>JÖNKÖPINGS LÄN</t>
        </is>
      </c>
      <c r="G146" t="inlineStr">
        <is>
          <t>EKSJÖ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14382-2025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45741</v>
      </c>
      <c r="E147" s="1" t="n">
        <v>46261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46261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46261</v>
      </c>
      <c r="F149" t="inlineStr">
        <is>
          <t>JÖNKÖPINGS LÄN</t>
        </is>
      </c>
      <c r="G149" t="inlineStr">
        <is>
          <t>EKSJÖ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46261</v>
      </c>
      <c r="F150" t="inlineStr">
        <is>
          <t>JÖNKÖPINGS LÄN</t>
        </is>
      </c>
      <c r="G150" t="inlineStr">
        <is>
          <t>EKSJÖ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46261</v>
      </c>
      <c r="F151" t="inlineStr">
        <is>
          <t>JÖNKÖPINGS LÄN</t>
        </is>
      </c>
      <c r="G151" t="inlineStr">
        <is>
          <t>EKSJÖ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46261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46261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46261</v>
      </c>
      <c r="F154" t="inlineStr">
        <is>
          <t>JÖNKÖPINGS LÄN</t>
        </is>
      </c>
      <c r="G154" t="inlineStr">
        <is>
          <t>EKSJÖ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46261</v>
      </c>
      <c r="F155" t="inlineStr">
        <is>
          <t>JÖNKÖPINGS LÄN</t>
        </is>
      </c>
      <c r="G155" t="inlineStr">
        <is>
          <t>EKSJÖ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46261</v>
      </c>
      <c r="F156" t="inlineStr">
        <is>
          <t>JÖNKÖPINGS LÄN</t>
        </is>
      </c>
      <c r="G156" t="inlineStr">
        <is>
          <t>EKSJÖ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46261</v>
      </c>
      <c r="F157" t="inlineStr">
        <is>
          <t>JÖNKÖPINGS LÄN</t>
        </is>
      </c>
      <c r="G157" t="inlineStr">
        <is>
          <t>EKSJÖ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46261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46261</v>
      </c>
      <c r="F159" t="inlineStr">
        <is>
          <t>JÖNKÖPINGS LÄN</t>
        </is>
      </c>
      <c r="G159" t="inlineStr">
        <is>
          <t>EKSJÖ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46261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46261</v>
      </c>
      <c r="F161" t="inlineStr">
        <is>
          <t>JÖNKÖPINGS LÄN</t>
        </is>
      </c>
      <c r="G161" t="inlineStr">
        <is>
          <t>EKSJÖ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46261</v>
      </c>
      <c r="F162" t="inlineStr">
        <is>
          <t>JÖNKÖPINGS LÄN</t>
        </is>
      </c>
      <c r="G162" t="inlineStr">
        <is>
          <t>EKSJÖ</t>
        </is>
      </c>
      <c r="H162" t="inlineStr">
        <is>
          <t>Övriga Aktiebolag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46261</v>
      </c>
      <c r="F163" t="inlineStr">
        <is>
          <t>JÖNKÖPINGS LÄN</t>
        </is>
      </c>
      <c r="G163" t="inlineStr">
        <is>
          <t>EKSJÖ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46261</v>
      </c>
      <c r="F164" t="inlineStr">
        <is>
          <t>JÖNKÖPINGS LÄN</t>
        </is>
      </c>
      <c r="G164" t="inlineStr">
        <is>
          <t>EKSJÖ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46261</v>
      </c>
      <c r="F165" t="inlineStr">
        <is>
          <t>JÖNKÖPINGS LÄN</t>
        </is>
      </c>
      <c r="G165" t="inlineStr">
        <is>
          <t>EKSJÖ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46261</v>
      </c>
      <c r="F166" t="inlineStr">
        <is>
          <t>JÖNKÖPINGS LÄN</t>
        </is>
      </c>
      <c r="G166" t="inlineStr">
        <is>
          <t>EKSJÖ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46261</v>
      </c>
      <c r="F167" t="inlineStr">
        <is>
          <t>JÖNKÖPINGS LÄN</t>
        </is>
      </c>
      <c r="G167" t="inlineStr">
        <is>
          <t>EKSJÖ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46261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46261</v>
      </c>
      <c r="F169" t="inlineStr">
        <is>
          <t>JÖNKÖPINGS LÄN</t>
        </is>
      </c>
      <c r="G169" t="inlineStr">
        <is>
          <t>EKSJÖ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46261</v>
      </c>
      <c r="F170" t="inlineStr">
        <is>
          <t>JÖNKÖPINGS LÄN</t>
        </is>
      </c>
      <c r="G170" t="inlineStr">
        <is>
          <t>EKSJÖ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46261</v>
      </c>
      <c r="F171" t="inlineStr">
        <is>
          <t>JÖNKÖPINGS LÄN</t>
        </is>
      </c>
      <c r="G171" t="inlineStr">
        <is>
          <t>EKSJÖ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46261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46261</v>
      </c>
      <c r="F173" t="inlineStr">
        <is>
          <t>JÖNKÖPINGS LÄN</t>
        </is>
      </c>
      <c r="G173" t="inlineStr">
        <is>
          <t>EKSJÖ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46261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46045</v>
      </c>
      <c r="E175" s="1" t="n">
        <v>46261</v>
      </c>
      <c r="F175" t="inlineStr">
        <is>
          <t>JÖNKÖPINGS LÄN</t>
        </is>
      </c>
      <c r="G175" t="inlineStr">
        <is>
          <t>EKSJÖ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46261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46261</v>
      </c>
      <c r="F177" t="inlineStr">
        <is>
          <t>JÖNKÖPINGS LÄN</t>
        </is>
      </c>
      <c r="G177" t="inlineStr">
        <is>
          <t>EKSJÖ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46261</v>
      </c>
      <c r="F178" t="inlineStr">
        <is>
          <t>JÖNKÖPINGS LÄN</t>
        </is>
      </c>
      <c r="G178" t="inlineStr">
        <is>
          <t>EKSJÖ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46261</v>
      </c>
      <c r="F179" t="inlineStr">
        <is>
          <t>JÖNKÖPINGS LÄN</t>
        </is>
      </c>
      <c r="G179" t="inlineStr">
        <is>
          <t>EKSJÖ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46261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46261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46261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46261</v>
      </c>
      <c r="F183" t="inlineStr">
        <is>
          <t>JÖNKÖPINGS LÄN</t>
        </is>
      </c>
      <c r="G183" t="inlineStr">
        <is>
          <t>EKSJÖ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46261</v>
      </c>
      <c r="F184" t="inlineStr">
        <is>
          <t>JÖNKÖPINGS LÄN</t>
        </is>
      </c>
      <c r="G184" t="inlineStr">
        <is>
          <t>EKSJÖ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46261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46056</v>
      </c>
      <c r="E186" s="1" t="n">
        <v>46261</v>
      </c>
      <c r="F186" t="inlineStr">
        <is>
          <t>JÖNKÖPINGS LÄN</t>
        </is>
      </c>
      <c r="G186" t="inlineStr">
        <is>
          <t>EKSJÖ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46261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45195</v>
      </c>
      <c r="E188" s="1" t="n">
        <v>46261</v>
      </c>
      <c r="F188" t="inlineStr">
        <is>
          <t>JÖNKÖPINGS LÄN</t>
        </is>
      </c>
      <c r="G188" t="inlineStr">
        <is>
          <t>EKSJÖ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46261</v>
      </c>
      <c r="F189" t="inlineStr">
        <is>
          <t>JÖNKÖPINGS LÄN</t>
        </is>
      </c>
      <c r="G189" t="inlineStr">
        <is>
          <t>EKSJÖ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46261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46261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42897-2025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46261</v>
      </c>
      <c r="F192" t="inlineStr">
        <is>
          <t>JÖNKÖPINGS LÄN</t>
        </is>
      </c>
      <c r="G192" t="inlineStr">
        <is>
          <t>EKSJÖ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46261</v>
      </c>
      <c r="F193" t="inlineStr">
        <is>
          <t>JÖNKÖPINGS LÄN</t>
        </is>
      </c>
      <c r="G193" t="inlineStr">
        <is>
          <t>EKSJÖ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30931-2023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45113</v>
      </c>
      <c r="E194" s="1" t="n">
        <v>46261</v>
      </c>
      <c r="F194" t="inlineStr">
        <is>
          <t>JÖNKÖPINGS LÄN</t>
        </is>
      </c>
      <c r="G194" t="inlineStr">
        <is>
          <t>EKSJÖ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46261</v>
      </c>
      <c r="F195" t="inlineStr">
        <is>
          <t>JÖNKÖPINGS LÄN</t>
        </is>
      </c>
      <c r="G195" t="inlineStr">
        <is>
          <t>EKSJÖ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46261</v>
      </c>
      <c r="F196" t="inlineStr">
        <is>
          <t>JÖNKÖPINGS LÄN</t>
        </is>
      </c>
      <c r="G196" t="inlineStr">
        <is>
          <t>EKSJÖ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46261</v>
      </c>
      <c r="F197" t="inlineStr">
        <is>
          <t>JÖNKÖPINGS LÄN</t>
        </is>
      </c>
      <c r="G197" t="inlineStr">
        <is>
          <t>EKSJÖ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46261</v>
      </c>
      <c r="F198" t="inlineStr">
        <is>
          <t>JÖNKÖPINGS LÄN</t>
        </is>
      </c>
      <c r="G198" t="inlineStr">
        <is>
          <t>EKSJÖ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46261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46261</v>
      </c>
      <c r="F200" t="inlineStr">
        <is>
          <t>JÖNKÖPINGS LÄN</t>
        </is>
      </c>
      <c r="G200" t="inlineStr">
        <is>
          <t>EKSJÖ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46261</v>
      </c>
      <c r="F201" t="inlineStr">
        <is>
          <t>JÖNKÖPINGS LÄN</t>
        </is>
      </c>
      <c r="G201" t="inlineStr">
        <is>
          <t>EKSJÖ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44526-2025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45916</v>
      </c>
      <c r="E202" s="1" t="n">
        <v>46261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46261</v>
      </c>
      <c r="F203" t="inlineStr">
        <is>
          <t>JÖNKÖPINGS LÄN</t>
        </is>
      </c>
      <c r="G203" t="inlineStr">
        <is>
          <t>EKSJÖ</t>
        </is>
      </c>
      <c r="H203" t="inlineStr">
        <is>
          <t>Kommuner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46261</v>
      </c>
      <c r="F204" t="inlineStr">
        <is>
          <t>JÖNKÖPINGS LÄN</t>
        </is>
      </c>
      <c r="G204" t="inlineStr">
        <is>
          <t>EKSJÖ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46261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46261</v>
      </c>
      <c r="F206" t="inlineStr">
        <is>
          <t>JÖNKÖPINGS LÄN</t>
        </is>
      </c>
      <c r="G206" t="inlineStr">
        <is>
          <t>EKSJÖ</t>
        </is>
      </c>
      <c r="H206" t="inlineStr">
        <is>
          <t>Kommuner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46261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46261</v>
      </c>
      <c r="F208" t="inlineStr">
        <is>
          <t>JÖNKÖPINGS LÄN</t>
        </is>
      </c>
      <c r="G208" t="inlineStr">
        <is>
          <t>EKSJÖ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46261</v>
      </c>
      <c r="F209" t="inlineStr">
        <is>
          <t>JÖNKÖPINGS LÄN</t>
        </is>
      </c>
      <c r="G209" t="inlineStr">
        <is>
          <t>EKSJÖ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46261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46261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46261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46261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45845</v>
      </c>
      <c r="E214" s="1" t="n">
        <v>46261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46261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46261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45530</v>
      </c>
      <c r="E217" s="1" t="n">
        <v>46261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44861</v>
      </c>
      <c r="E218" s="1" t="n">
        <v>46261</v>
      </c>
      <c r="F218" t="inlineStr">
        <is>
          <t>JÖNKÖPINGS LÄN</t>
        </is>
      </c>
      <c r="G218" t="inlineStr">
        <is>
          <t>EKSJÖ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45695</v>
      </c>
      <c r="E219" s="1" t="n">
        <v>46261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45785</v>
      </c>
      <c r="E220" s="1" t="n">
        <v>46261</v>
      </c>
      <c r="F220" t="inlineStr">
        <is>
          <t>JÖNKÖPINGS LÄN</t>
        </is>
      </c>
      <c r="G220" t="inlineStr">
        <is>
          <t>EKSJÖ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45485</v>
      </c>
      <c r="E221" s="1" t="n">
        <v>46261</v>
      </c>
      <c r="F221" t="inlineStr">
        <is>
          <t>JÖNKÖPINGS LÄN</t>
        </is>
      </c>
      <c r="G221" t="inlineStr">
        <is>
          <t>EKSJÖ</t>
        </is>
      </c>
      <c r="H221" t="inlineStr">
        <is>
          <t>Övriga Aktiebolag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46261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46261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45860</v>
      </c>
      <c r="E224" s="1" t="n">
        <v>46261</v>
      </c>
      <c r="F224" t="inlineStr">
        <is>
          <t>JÖNKÖPINGS LÄN</t>
        </is>
      </c>
      <c r="G224" t="inlineStr">
        <is>
          <t>EKSJÖ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46261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46261</v>
      </c>
      <c r="F226" t="inlineStr">
        <is>
          <t>JÖNKÖPINGS LÄN</t>
        </is>
      </c>
      <c r="G226" t="inlineStr">
        <is>
          <t>EKSJÖ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46261</v>
      </c>
      <c r="F227" t="inlineStr">
        <is>
          <t>JÖNKÖPINGS LÄN</t>
        </is>
      </c>
      <c r="G227" t="inlineStr">
        <is>
          <t>EKSJÖ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45866</v>
      </c>
      <c r="E228" s="1" t="n">
        <v>46261</v>
      </c>
      <c r="F228" t="inlineStr">
        <is>
          <t>JÖNKÖPINGS LÄN</t>
        </is>
      </c>
      <c r="G228" t="inlineStr">
        <is>
          <t>EKSJÖ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46261</v>
      </c>
      <c r="F229" t="inlineStr">
        <is>
          <t>JÖNKÖPINGS LÄN</t>
        </is>
      </c>
      <c r="G229" t="inlineStr">
        <is>
          <t>EKSJÖ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46261</v>
      </c>
      <c r="F230" t="inlineStr">
        <is>
          <t>JÖNKÖPINGS LÄN</t>
        </is>
      </c>
      <c r="G230" t="inlineStr">
        <is>
          <t>EKSJÖ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46261</v>
      </c>
      <c r="F231" t="inlineStr">
        <is>
          <t>JÖNKÖPINGS LÄN</t>
        </is>
      </c>
      <c r="G231" t="inlineStr">
        <is>
          <t>EKSJÖ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46261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46261</v>
      </c>
      <c r="F233" t="inlineStr">
        <is>
          <t>JÖNKÖPINGS LÄN</t>
        </is>
      </c>
      <c r="G233" t="inlineStr">
        <is>
          <t>EKSJÖ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46261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46261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46261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46261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46261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46261</v>
      </c>
      <c r="F239" t="inlineStr">
        <is>
          <t>JÖNKÖPINGS LÄN</t>
        </is>
      </c>
      <c r="G239" t="inlineStr">
        <is>
          <t>EKSJÖ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46261</v>
      </c>
      <c r="F240" t="inlineStr">
        <is>
          <t>JÖNKÖPINGS LÄN</t>
        </is>
      </c>
      <c r="G240" t="inlineStr">
        <is>
          <t>EKSJÖ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46261</v>
      </c>
      <c r="F241" t="inlineStr">
        <is>
          <t>JÖNKÖPINGS LÄN</t>
        </is>
      </c>
      <c r="G241" t="inlineStr">
        <is>
          <t>EKSJÖ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46261</v>
      </c>
      <c r="F242" t="inlineStr">
        <is>
          <t>JÖNKÖPINGS LÄN</t>
        </is>
      </c>
      <c r="G242" t="inlineStr">
        <is>
          <t>EKSJÖ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45877</v>
      </c>
      <c r="E243" s="1" t="n">
        <v>46261</v>
      </c>
      <c r="F243" t="inlineStr">
        <is>
          <t>JÖNKÖPINGS LÄN</t>
        </is>
      </c>
      <c r="G243" t="inlineStr">
        <is>
          <t>EKSJÖ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46261</v>
      </c>
      <c r="F244" t="inlineStr">
        <is>
          <t>JÖNKÖPINGS LÄN</t>
        </is>
      </c>
      <c r="G244" t="inlineStr">
        <is>
          <t>EKSJÖ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45842</v>
      </c>
      <c r="E245" s="1" t="n">
        <v>46261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46261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46261</v>
      </c>
      <c r="F247" t="inlineStr">
        <is>
          <t>JÖNKÖPINGS LÄN</t>
        </is>
      </c>
      <c r="G247" t="inlineStr">
        <is>
          <t>EKSJÖ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46261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46261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46261</v>
      </c>
      <c r="F250" t="inlineStr">
        <is>
          <t>JÖNKÖPINGS LÄN</t>
        </is>
      </c>
      <c r="G250" t="inlineStr">
        <is>
          <t>EKSJÖ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45533</v>
      </c>
      <c r="E251" s="1" t="n">
        <v>46261</v>
      </c>
      <c r="F251" t="inlineStr">
        <is>
          <t>JÖNKÖPINGS LÄN</t>
        </is>
      </c>
      <c r="G251" t="inlineStr">
        <is>
          <t>EKSJÖ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45762</v>
      </c>
      <c r="E252" s="1" t="n">
        <v>46261</v>
      </c>
      <c r="F252" t="inlineStr">
        <is>
          <t>JÖNKÖPINGS LÄN</t>
        </is>
      </c>
      <c r="G252" t="inlineStr">
        <is>
          <t>EKSJÖ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46261</v>
      </c>
      <c r="F253" t="inlineStr">
        <is>
          <t>JÖNKÖPINGS LÄN</t>
        </is>
      </c>
      <c r="G253" t="inlineStr">
        <is>
          <t>EKSJÖ</t>
        </is>
      </c>
      <c r="H253" t="inlineStr">
        <is>
          <t>Kyrkan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46261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46261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44600</v>
      </c>
      <c r="E256" s="1" t="n">
        <v>46261</v>
      </c>
      <c r="F256" t="inlineStr">
        <is>
          <t>JÖNKÖPINGS LÄN</t>
        </is>
      </c>
      <c r="G256" t="inlineStr">
        <is>
          <t>EKSJÖ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46261</v>
      </c>
      <c r="F257" t="inlineStr">
        <is>
          <t>JÖNKÖPINGS LÄN</t>
        </is>
      </c>
      <c r="G257" t="inlineStr">
        <is>
          <t>EKSJÖ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45544</v>
      </c>
      <c r="E258" s="1" t="n">
        <v>46261</v>
      </c>
      <c r="F258" t="inlineStr">
        <is>
          <t>JÖNKÖPINGS LÄN</t>
        </is>
      </c>
      <c r="G258" t="inlineStr">
        <is>
          <t>EKSJÖ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44490</v>
      </c>
      <c r="E259" s="1" t="n">
        <v>46261</v>
      </c>
      <c r="F259" t="inlineStr">
        <is>
          <t>JÖNKÖPINGS LÄN</t>
        </is>
      </c>
      <c r="G259" t="inlineStr">
        <is>
          <t>EKSJÖ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54292-2023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45232</v>
      </c>
      <c r="E260" s="1" t="n">
        <v>46261</v>
      </c>
      <c r="F260" t="inlineStr">
        <is>
          <t>JÖNKÖPINGS LÄN</t>
        </is>
      </c>
      <c r="G260" t="inlineStr">
        <is>
          <t>EKSJÖ</t>
        </is>
      </c>
      <c r="I260" t="n">
        <v>18.3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46261</v>
      </c>
      <c r="F261" t="inlineStr">
        <is>
          <t>JÖNKÖPINGS LÄN</t>
        </is>
      </c>
      <c r="G261" t="inlineStr">
        <is>
          <t>EKSJÖ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46261</v>
      </c>
      <c r="F262" t="inlineStr">
        <is>
          <t>JÖNKÖPINGS LÄN</t>
        </is>
      </c>
      <c r="G262" t="inlineStr">
        <is>
          <t>EKSJÖ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45558</v>
      </c>
      <c r="E263" s="1" t="n">
        <v>46261</v>
      </c>
      <c r="F263" t="inlineStr">
        <is>
          <t>JÖNKÖPINGS LÄN</t>
        </is>
      </c>
      <c r="G263" t="inlineStr">
        <is>
          <t>EKSJÖ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46132</v>
      </c>
      <c r="E264" s="1" t="n">
        <v>46261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46261</v>
      </c>
      <c r="F265" t="inlineStr">
        <is>
          <t>JÖNKÖPINGS LÄN</t>
        </is>
      </c>
      <c r="G265" t="inlineStr">
        <is>
          <t>EKSJÖ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46261</v>
      </c>
      <c r="F266" t="inlineStr">
        <is>
          <t>JÖNKÖPINGS LÄN</t>
        </is>
      </c>
      <c r="G266" t="inlineStr">
        <is>
          <t>EKSJÖ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46261</v>
      </c>
      <c r="F267" t="inlineStr">
        <is>
          <t>JÖNKÖPINGS LÄN</t>
        </is>
      </c>
      <c r="G267" t="inlineStr">
        <is>
          <t>EKSJÖ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46261</v>
      </c>
      <c r="F268" t="inlineStr">
        <is>
          <t>JÖNKÖPINGS LÄN</t>
        </is>
      </c>
      <c r="G268" t="inlineStr">
        <is>
          <t>EKSJÖ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46261</v>
      </c>
      <c r="F269" t="inlineStr">
        <is>
          <t>JÖNKÖPINGS LÄN</t>
        </is>
      </c>
      <c r="G269" t="inlineStr">
        <is>
          <t>EKSJÖ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46261</v>
      </c>
      <c r="F270" t="inlineStr">
        <is>
          <t>JÖNKÖPINGS LÄN</t>
        </is>
      </c>
      <c r="G270" t="inlineStr">
        <is>
          <t>EKSJÖ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46261</v>
      </c>
      <c r="F271" t="inlineStr">
        <is>
          <t>JÖNKÖPINGS LÄN</t>
        </is>
      </c>
      <c r="G271" t="inlineStr">
        <is>
          <t>EKSJÖ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46261</v>
      </c>
      <c r="F272" t="inlineStr">
        <is>
          <t>JÖNKÖPINGS LÄN</t>
        </is>
      </c>
      <c r="G272" t="inlineStr">
        <is>
          <t>EKSJÖ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46261</v>
      </c>
      <c r="F273" t="inlineStr">
        <is>
          <t>JÖNKÖPINGS LÄN</t>
        </is>
      </c>
      <c r="G273" t="inlineStr">
        <is>
          <t>EKSJÖ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46261</v>
      </c>
      <c r="F274" t="inlineStr">
        <is>
          <t>JÖNKÖPINGS LÄN</t>
        </is>
      </c>
      <c r="G274" t="inlineStr">
        <is>
          <t>EKSJÖ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46261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46261</v>
      </c>
      <c r="F276" t="inlineStr">
        <is>
          <t>JÖNKÖPINGS LÄN</t>
        </is>
      </c>
      <c r="G276" t="inlineStr">
        <is>
          <t>EKSJÖ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46261</v>
      </c>
      <c r="F277" t="inlineStr">
        <is>
          <t>JÖNKÖPINGS LÄN</t>
        </is>
      </c>
      <c r="G277" t="inlineStr">
        <is>
          <t>EKSJÖ</t>
        </is>
      </c>
      <c r="H277" t="inlineStr">
        <is>
          <t>Kyrkan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46261</v>
      </c>
      <c r="F278" t="inlineStr">
        <is>
          <t>JÖNKÖPINGS LÄN</t>
        </is>
      </c>
      <c r="G278" t="inlineStr">
        <is>
          <t>EKSJÖ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46261</v>
      </c>
      <c r="F279" t="inlineStr">
        <is>
          <t>JÖNKÖPINGS LÄN</t>
        </is>
      </c>
      <c r="G279" t="inlineStr">
        <is>
          <t>EKSJÖ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46261</v>
      </c>
      <c r="F280" t="inlineStr">
        <is>
          <t>JÖNKÖPINGS LÄN</t>
        </is>
      </c>
      <c r="G280" t="inlineStr">
        <is>
          <t>EKSJÖ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46261</v>
      </c>
      <c r="F281" t="inlineStr">
        <is>
          <t>JÖNKÖPINGS LÄN</t>
        </is>
      </c>
      <c r="G281" t="inlineStr">
        <is>
          <t>EKSJÖ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46261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46261</v>
      </c>
      <c r="F283" t="inlineStr">
        <is>
          <t>JÖNKÖPINGS LÄN</t>
        </is>
      </c>
      <c r="G283" t="inlineStr">
        <is>
          <t>EKSJÖ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46261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46261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46261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46261</v>
      </c>
      <c r="F287" t="inlineStr">
        <is>
          <t>JÖNKÖPINGS LÄN</t>
        </is>
      </c>
      <c r="G287" t="inlineStr">
        <is>
          <t>EKSJÖ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44888</v>
      </c>
      <c r="E288" s="1" t="n">
        <v>46261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46261</v>
      </c>
      <c r="F289" t="inlineStr">
        <is>
          <t>JÖNKÖPINGS LÄN</t>
        </is>
      </c>
      <c r="G289" t="inlineStr">
        <is>
          <t>EKSJÖ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46261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45991</v>
      </c>
      <c r="E291" s="1" t="n">
        <v>46261</v>
      </c>
      <c r="F291" t="inlineStr">
        <is>
          <t>JÖNKÖPINGS LÄN</t>
        </is>
      </c>
      <c r="G291" t="inlineStr">
        <is>
          <t>EKSJÖ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46261</v>
      </c>
      <c r="F292" t="inlineStr">
        <is>
          <t>JÖNKÖPINGS LÄN</t>
        </is>
      </c>
      <c r="G292" t="inlineStr">
        <is>
          <t>EKSJÖ</t>
        </is>
      </c>
      <c r="H292" t="inlineStr">
        <is>
          <t>Övriga Aktiebolag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45882</v>
      </c>
      <c r="E293" s="1" t="n">
        <v>46261</v>
      </c>
      <c r="F293" t="inlineStr">
        <is>
          <t>JÖNKÖPINGS LÄN</t>
        </is>
      </c>
      <c r="G293" t="inlineStr">
        <is>
          <t>EKSJÖ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46261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46261</v>
      </c>
      <c r="F295" t="inlineStr">
        <is>
          <t>JÖNKÖPINGS LÄN</t>
        </is>
      </c>
      <c r="G295" t="inlineStr">
        <is>
          <t>EKSJÖ</t>
        </is>
      </c>
      <c r="H295" t="inlineStr">
        <is>
          <t>Kommuner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46261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44623</v>
      </c>
      <c r="E297" s="1" t="n">
        <v>46261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46261</v>
      </c>
      <c r="F298" t="inlineStr">
        <is>
          <t>JÖNKÖPINGS LÄN</t>
        </is>
      </c>
      <c r="G298" t="inlineStr">
        <is>
          <t>EKSJÖ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46261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46014</v>
      </c>
      <c r="E300" s="1" t="n">
        <v>46261</v>
      </c>
      <c r="F300" t="inlineStr">
        <is>
          <t>JÖNKÖPINGS LÄN</t>
        </is>
      </c>
      <c r="G300" t="inlineStr">
        <is>
          <t>EKSJÖ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46261</v>
      </c>
      <c r="F301" t="inlineStr">
        <is>
          <t>JÖNKÖPINGS LÄN</t>
        </is>
      </c>
      <c r="G301" t="inlineStr">
        <is>
          <t>EKSJÖ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44991</v>
      </c>
      <c r="E302" s="1" t="n">
        <v>46261</v>
      </c>
      <c r="F302" t="inlineStr">
        <is>
          <t>JÖNKÖPINGS LÄN</t>
        </is>
      </c>
      <c r="G302" t="inlineStr">
        <is>
          <t>EKSJÖ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12821-2024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45384</v>
      </c>
      <c r="E303" s="1" t="n">
        <v>46261</v>
      </c>
      <c r="F303" t="inlineStr">
        <is>
          <t>JÖNKÖPINGS LÄN</t>
        </is>
      </c>
      <c r="G303" t="inlineStr">
        <is>
          <t>EKSJÖ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45576</v>
      </c>
      <c r="E304" s="1" t="n">
        <v>46261</v>
      </c>
      <c r="F304" t="inlineStr">
        <is>
          <t>JÖNKÖPINGS LÄN</t>
        </is>
      </c>
      <c r="G304" t="inlineStr">
        <is>
          <t>EKSJÖ</t>
        </is>
      </c>
      <c r="H304" t="inlineStr">
        <is>
          <t>Övriga Aktiebolag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46261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45533</v>
      </c>
      <c r="E306" s="1" t="n">
        <v>46261</v>
      </c>
      <c r="F306" t="inlineStr">
        <is>
          <t>JÖNKÖPINGS LÄN</t>
        </is>
      </c>
      <c r="G306" t="inlineStr">
        <is>
          <t>EKSJÖ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44928</v>
      </c>
      <c r="E307" s="1" t="n">
        <v>46261</v>
      </c>
      <c r="F307" t="inlineStr">
        <is>
          <t>JÖNKÖPINGS LÄN</t>
        </is>
      </c>
      <c r="G307" t="inlineStr">
        <is>
          <t>EKSJÖ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45364</v>
      </c>
      <c r="E308" s="1" t="n">
        <v>46261</v>
      </c>
      <c r="F308" t="inlineStr">
        <is>
          <t>JÖNKÖPINGS LÄN</t>
        </is>
      </c>
      <c r="G308" t="inlineStr">
        <is>
          <t>EKSJÖ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20897-2022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44701</v>
      </c>
      <c r="E309" s="1" t="n">
        <v>46261</v>
      </c>
      <c r="F309" t="inlineStr">
        <is>
          <t>JÖNKÖPINGS LÄN</t>
        </is>
      </c>
      <c r="G309" t="inlineStr">
        <is>
          <t>EKSJÖ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46261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44713</v>
      </c>
      <c r="E311" s="1" t="n">
        <v>46261</v>
      </c>
      <c r="F311" t="inlineStr">
        <is>
          <t>JÖNKÖPINGS LÄN</t>
        </is>
      </c>
      <c r="G311" t="inlineStr">
        <is>
          <t>EKSJÖ</t>
        </is>
      </c>
      <c r="H311" t="inlineStr">
        <is>
          <t>Kyrkan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45463</v>
      </c>
      <c r="E312" s="1" t="n">
        <v>46261</v>
      </c>
      <c r="F312" t="inlineStr">
        <is>
          <t>JÖNKÖPINGS LÄN</t>
        </is>
      </c>
      <c r="G312" t="inlineStr">
        <is>
          <t>EKSJÖ</t>
        </is>
      </c>
      <c r="H312" t="inlineStr">
        <is>
          <t>Övriga Aktiebolag</t>
        </is>
      </c>
      <c r="I312" t="n">
        <v>17.5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46261</v>
      </c>
      <c r="F313" t="inlineStr">
        <is>
          <t>JÖNKÖPINGS LÄN</t>
        </is>
      </c>
      <c r="G313" t="inlineStr">
        <is>
          <t>EKSJÖ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46261</v>
      </c>
      <c r="F314" t="inlineStr">
        <is>
          <t>JÖNKÖPINGS LÄN</t>
        </is>
      </c>
      <c r="G314" t="inlineStr">
        <is>
          <t>EKSJÖ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44803</v>
      </c>
      <c r="E315" s="1" t="n">
        <v>46261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46261</v>
      </c>
      <c r="F316" t="inlineStr">
        <is>
          <t>JÖNKÖPINGS LÄN</t>
        </is>
      </c>
      <c r="G316" t="inlineStr">
        <is>
          <t>EKSJÖ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46261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44909</v>
      </c>
      <c r="E318" s="1" t="n">
        <v>46261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46261</v>
      </c>
      <c r="F319" t="inlineStr">
        <is>
          <t>JÖNKÖPINGS LÄN</t>
        </is>
      </c>
      <c r="G319" t="inlineStr">
        <is>
          <t>EKSJÖ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60920-2025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45996</v>
      </c>
      <c r="E320" s="1" t="n">
        <v>46261</v>
      </c>
      <c r="F320" t="inlineStr">
        <is>
          <t>JÖNKÖPINGS LÄN</t>
        </is>
      </c>
      <c r="G320" t="inlineStr">
        <is>
          <t>EKSJÖ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46261</v>
      </c>
      <c r="F321" t="inlineStr">
        <is>
          <t>JÖNKÖPINGS LÄN</t>
        </is>
      </c>
      <c r="G321" t="inlineStr">
        <is>
          <t>EKSJÖ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46162</v>
      </c>
      <c r="E322" s="1" t="n">
        <v>46261</v>
      </c>
      <c r="F322" t="inlineStr">
        <is>
          <t>JÖNKÖPINGS LÄN</t>
        </is>
      </c>
      <c r="G322" t="inlineStr">
        <is>
          <t>EKSJÖ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46261</v>
      </c>
      <c r="F323" t="inlineStr">
        <is>
          <t>JÖNKÖPINGS LÄN</t>
        </is>
      </c>
      <c r="G323" t="inlineStr">
        <is>
          <t>EKSJÖ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46261</v>
      </c>
      <c r="F324" t="inlineStr">
        <is>
          <t>JÖNKÖPINGS LÄN</t>
        </is>
      </c>
      <c r="G324" t="inlineStr">
        <is>
          <t>EKSJÖ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46261</v>
      </c>
      <c r="F325" t="inlineStr">
        <is>
          <t>JÖNKÖPINGS LÄN</t>
        </is>
      </c>
      <c r="G325" t="inlineStr">
        <is>
          <t>EKSJÖ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46261</v>
      </c>
      <c r="F326" t="inlineStr">
        <is>
          <t>JÖNKÖPINGS LÄN</t>
        </is>
      </c>
      <c r="G326" t="inlineStr">
        <is>
          <t>EKSJÖ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13273-2023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45003</v>
      </c>
      <c r="E327" s="1" t="n">
        <v>46261</v>
      </c>
      <c r="F327" t="inlineStr">
        <is>
          <t>JÖNKÖPINGS LÄN</t>
        </is>
      </c>
      <c r="G327" t="inlineStr">
        <is>
          <t>EKSJÖ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46261</v>
      </c>
      <c r="F328" t="inlineStr">
        <is>
          <t>JÖNKÖPINGS LÄN</t>
        </is>
      </c>
      <c r="G328" t="inlineStr">
        <is>
          <t>EKSJÖ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46261</v>
      </c>
      <c r="F329" t="inlineStr">
        <is>
          <t>JÖNKÖPINGS LÄN</t>
        </is>
      </c>
      <c r="G329" t="inlineStr">
        <is>
          <t>EKSJÖ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45632</v>
      </c>
      <c r="E330" s="1" t="n">
        <v>46261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46261</v>
      </c>
      <c r="F331" t="inlineStr">
        <is>
          <t>JÖNKÖPINGS LÄN</t>
        </is>
      </c>
      <c r="G331" t="inlineStr">
        <is>
          <t>EKSJÖ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44719</v>
      </c>
      <c r="E332" s="1" t="n">
        <v>46261</v>
      </c>
      <c r="F332" t="inlineStr">
        <is>
          <t>JÖNKÖPINGS LÄN</t>
        </is>
      </c>
      <c r="G332" t="inlineStr">
        <is>
          <t>EKSJÖ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45036</v>
      </c>
      <c r="E333" s="1" t="n">
        <v>46261</v>
      </c>
      <c r="F333" t="inlineStr">
        <is>
          <t>JÖNKÖPINGS LÄN</t>
        </is>
      </c>
      <c r="G333" t="inlineStr">
        <is>
          <t>EKSJÖ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46261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46261</v>
      </c>
      <c r="F335" t="inlineStr">
        <is>
          <t>JÖNKÖPINGS LÄN</t>
        </is>
      </c>
      <c r="G335" t="inlineStr">
        <is>
          <t>EKSJÖ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46261</v>
      </c>
      <c r="F336" t="inlineStr">
        <is>
          <t>JÖNKÖPINGS LÄN</t>
        </is>
      </c>
      <c r="G336" t="inlineStr">
        <is>
          <t>EKSJÖ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46261</v>
      </c>
      <c r="F337" t="inlineStr">
        <is>
          <t>JÖNKÖPINGS LÄN</t>
        </is>
      </c>
      <c r="G337" t="inlineStr">
        <is>
          <t>EKSJÖ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46261</v>
      </c>
      <c r="F338" t="inlineStr">
        <is>
          <t>JÖNKÖPINGS LÄN</t>
        </is>
      </c>
      <c r="G338" t="inlineStr">
        <is>
          <t>EKSJÖ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45631</v>
      </c>
      <c r="E339" s="1" t="n">
        <v>46261</v>
      </c>
      <c r="F339" t="inlineStr">
        <is>
          <t>JÖNKÖPINGS LÄN</t>
        </is>
      </c>
      <c r="G339" t="inlineStr">
        <is>
          <t>EKSJÖ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46261</v>
      </c>
      <c r="F340" t="inlineStr">
        <is>
          <t>JÖNKÖPINGS LÄN</t>
        </is>
      </c>
      <c r="G340" t="inlineStr">
        <is>
          <t>EKSJÖ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46261</v>
      </c>
      <c r="F341" t="inlineStr">
        <is>
          <t>JÖNKÖPINGS LÄN</t>
        </is>
      </c>
      <c r="G341" t="inlineStr">
        <is>
          <t>EKSJÖ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25132-2026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46175</v>
      </c>
      <c r="E342" s="1" t="n">
        <v>46261</v>
      </c>
      <c r="F342" t="inlineStr">
        <is>
          <t>JÖNKÖPINGS LÄN</t>
        </is>
      </c>
      <c r="G342" t="inlineStr">
        <is>
          <t>EKSJÖ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44783</v>
      </c>
      <c r="E343" s="1" t="n">
        <v>46261</v>
      </c>
      <c r="F343" t="inlineStr">
        <is>
          <t>JÖNKÖPINGS LÄN</t>
        </is>
      </c>
      <c r="G343" t="inlineStr">
        <is>
          <t>EKSJÖ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47390-2022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46261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46261</v>
      </c>
      <c r="F345" t="inlineStr">
        <is>
          <t>JÖNKÖPINGS LÄN</t>
        </is>
      </c>
      <c r="G345" t="inlineStr">
        <is>
          <t>EKSJÖ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46261</v>
      </c>
      <c r="F346" t="inlineStr">
        <is>
          <t>JÖNKÖPINGS LÄN</t>
        </is>
      </c>
      <c r="G346" t="inlineStr">
        <is>
          <t>EKSJÖ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45715</v>
      </c>
      <c r="E347" s="1" t="n">
        <v>46261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45485</v>
      </c>
      <c r="E348" s="1" t="n">
        <v>46261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46261</v>
      </c>
      <c r="F349" t="inlineStr">
        <is>
          <t>JÖNKÖPINGS LÄN</t>
        </is>
      </c>
      <c r="G349" t="inlineStr">
        <is>
          <t>EKSJÖ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38198-2023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46261</v>
      </c>
      <c r="F350" t="inlineStr">
        <is>
          <t>JÖNKÖPINGS LÄN</t>
        </is>
      </c>
      <c r="G350" t="inlineStr">
        <is>
          <t>EKSJÖ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45161</v>
      </c>
      <c r="E351" s="1" t="n">
        <v>46261</v>
      </c>
      <c r="F351" t="inlineStr">
        <is>
          <t>JÖNKÖPINGS LÄN</t>
        </is>
      </c>
      <c r="G351" t="inlineStr">
        <is>
          <t>EKSJÖ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46261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46261</v>
      </c>
      <c r="F353" t="inlineStr">
        <is>
          <t>JÖNKÖPINGS LÄN</t>
        </is>
      </c>
      <c r="G353" t="inlineStr">
        <is>
          <t>EKSJÖ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44813</v>
      </c>
      <c r="E354" s="1" t="n">
        <v>46261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45224</v>
      </c>
      <c r="E355" s="1" t="n">
        <v>46261</v>
      </c>
      <c r="F355" t="inlineStr">
        <is>
          <t>JÖNKÖPINGS LÄN</t>
        </is>
      </c>
      <c r="G355" t="inlineStr">
        <is>
          <t>EKSJÖ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46261</v>
      </c>
      <c r="F356" t="inlineStr">
        <is>
          <t>JÖNKÖPINGS LÄN</t>
        </is>
      </c>
      <c r="G356" t="inlineStr">
        <is>
          <t>EKSJÖ</t>
        </is>
      </c>
      <c r="H356" t="inlineStr">
        <is>
          <t>Kyrkan</t>
        </is>
      </c>
      <c r="I356" t="n">
        <v>15.2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46261</v>
      </c>
      <c r="F357" t="inlineStr">
        <is>
          <t>JÖNKÖPINGS LÄN</t>
        </is>
      </c>
      <c r="G357" t="inlineStr">
        <is>
          <t>EKSJÖ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46261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45715</v>
      </c>
      <c r="E359" s="1" t="n">
        <v>46261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46261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45714</v>
      </c>
      <c r="E361" s="1" t="n">
        <v>46261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46261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26644-2026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46261</v>
      </c>
      <c r="F363" t="inlineStr">
        <is>
          <t>JÖNKÖPINGS LÄN</t>
        </is>
      </c>
      <c r="G363" t="inlineStr">
        <is>
          <t>EKSJÖ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46261</v>
      </c>
      <c r="F364" t="inlineStr">
        <is>
          <t>JÖNKÖPINGS LÄN</t>
        </is>
      </c>
      <c r="G364" t="inlineStr">
        <is>
          <t>EKSJÖ</t>
        </is>
      </c>
      <c r="H364" t="inlineStr">
        <is>
          <t>Övriga Aktiebolag</t>
        </is>
      </c>
      <c r="I364" t="n">
        <v>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46261</v>
      </c>
      <c r="F365" t="inlineStr">
        <is>
          <t>JÖNKÖPINGS LÄN</t>
        </is>
      </c>
      <c r="G365" t="inlineStr">
        <is>
          <t>EKSJÖ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46261</v>
      </c>
      <c r="F366" t="inlineStr">
        <is>
          <t>JÖNKÖPINGS LÄN</t>
        </is>
      </c>
      <c r="G366" t="inlineStr">
        <is>
          <t>EKSJÖ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46184</v>
      </c>
      <c r="E367" s="1" t="n">
        <v>46261</v>
      </c>
      <c r="F367" t="inlineStr">
        <is>
          <t>JÖNKÖPINGS LÄN</t>
        </is>
      </c>
      <c r="G367" t="inlineStr">
        <is>
          <t>EKSJÖ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46261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46261</v>
      </c>
      <c r="F369" t="inlineStr">
        <is>
          <t>JÖNKÖPINGS LÄN</t>
        </is>
      </c>
      <c r="G369" t="inlineStr">
        <is>
          <t>EKSJÖ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45671</v>
      </c>
      <c r="E370" s="1" t="n">
        <v>46261</v>
      </c>
      <c r="F370" t="inlineStr">
        <is>
          <t>JÖNKÖPINGS LÄN</t>
        </is>
      </c>
      <c r="G370" t="inlineStr">
        <is>
          <t>EKSJÖ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46261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45197</v>
      </c>
      <c r="E372" s="1" t="n">
        <v>46261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46261</v>
      </c>
      <c r="F373" t="inlineStr">
        <is>
          <t>JÖNKÖPINGS LÄN</t>
        </is>
      </c>
      <c r="G373" t="inlineStr">
        <is>
          <t>EKSJÖ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45238</v>
      </c>
      <c r="E374" s="1" t="n">
        <v>46261</v>
      </c>
      <c r="F374" t="inlineStr">
        <is>
          <t>JÖNKÖPINGS LÄN</t>
        </is>
      </c>
      <c r="G374" t="inlineStr">
        <is>
          <t>EKSJÖ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46261</v>
      </c>
      <c r="F375" t="inlineStr">
        <is>
          <t>JÖNKÖPINGS LÄN</t>
        </is>
      </c>
      <c r="G375" t="inlineStr">
        <is>
          <t>EKSJÖ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45418</v>
      </c>
      <c r="E376" s="1" t="n">
        <v>46261</v>
      </c>
      <c r="F376" t="inlineStr">
        <is>
          <t>JÖNKÖPINGS LÄN</t>
        </is>
      </c>
      <c r="G376" t="inlineStr">
        <is>
          <t>EKSJÖ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21883-2023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46261</v>
      </c>
      <c r="F377" t="inlineStr">
        <is>
          <t>JÖNKÖPINGS LÄN</t>
        </is>
      </c>
      <c r="G377" t="inlineStr">
        <is>
          <t>EKSJÖ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45741</v>
      </c>
      <c r="E378" s="1" t="n">
        <v>46261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22670-2023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45071</v>
      </c>
      <c r="E379" s="1" t="n">
        <v>46261</v>
      </c>
      <c r="F379" t="inlineStr">
        <is>
          <t>JÖNKÖPINGS LÄN</t>
        </is>
      </c>
      <c r="G379" t="inlineStr">
        <is>
          <t>EKSJÖ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45111</v>
      </c>
      <c r="E380" s="1" t="n">
        <v>46261</v>
      </c>
      <c r="F380" t="inlineStr">
        <is>
          <t>JÖNKÖPINGS LÄN</t>
        </is>
      </c>
      <c r="G380" t="inlineStr">
        <is>
          <t>EKSJÖ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59852-2022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44908</v>
      </c>
      <c r="E381" s="1" t="n">
        <v>46261</v>
      </c>
      <c r="F381" t="inlineStr">
        <is>
          <t>JÖNKÖPINGS LÄN</t>
        </is>
      </c>
      <c r="G381" t="inlineStr">
        <is>
          <t>EKSJÖ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45741</v>
      </c>
      <c r="E382" s="1" t="n">
        <v>46261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56469-2021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44480</v>
      </c>
      <c r="E383" s="1" t="n">
        <v>46261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46261</v>
      </c>
      <c r="F384" t="inlineStr">
        <is>
          <t>JÖNKÖPINGS LÄN</t>
        </is>
      </c>
      <c r="G384" t="inlineStr">
        <is>
          <t>EKSJÖ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45757</v>
      </c>
      <c r="E385" s="1" t="n">
        <v>46261</v>
      </c>
      <c r="F385" t="inlineStr">
        <is>
          <t>JÖNKÖPINGS LÄN</t>
        </is>
      </c>
      <c r="G385" t="inlineStr">
        <is>
          <t>EKSJÖ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51527-2023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46261</v>
      </c>
      <c r="F386" t="inlineStr">
        <is>
          <t>JÖNKÖPINGS LÄN</t>
        </is>
      </c>
      <c r="G386" t="inlineStr">
        <is>
          <t>EKSJÖ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46261</v>
      </c>
      <c r="F387" t="inlineStr">
        <is>
          <t>JÖNKÖPINGS LÄN</t>
        </is>
      </c>
      <c r="G387" t="inlineStr">
        <is>
          <t>EKSJÖ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46261</v>
      </c>
      <c r="F388" t="inlineStr">
        <is>
          <t>JÖNKÖPINGS LÄN</t>
        </is>
      </c>
      <c r="G388" t="inlineStr">
        <is>
          <t>EKSJÖ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46261</v>
      </c>
      <c r="F389" t="inlineStr">
        <is>
          <t>JÖNKÖPINGS LÄN</t>
        </is>
      </c>
      <c r="G389" t="inlineStr">
        <is>
          <t>EKSJÖ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46261</v>
      </c>
      <c r="F390" t="inlineStr">
        <is>
          <t>JÖNKÖPINGS LÄN</t>
        </is>
      </c>
      <c r="G390" t="inlineStr">
        <is>
          <t>EKSJÖ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46261</v>
      </c>
      <c r="F391" t="inlineStr">
        <is>
          <t>JÖNKÖPINGS LÄN</t>
        </is>
      </c>
      <c r="G391" t="inlineStr">
        <is>
          <t>EKSJÖ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45097</v>
      </c>
      <c r="E392" s="1" t="n">
        <v>46261</v>
      </c>
      <c r="F392" t="inlineStr">
        <is>
          <t>JÖNKÖPINGS LÄN</t>
        </is>
      </c>
      <c r="G392" t="inlineStr">
        <is>
          <t>EKSJÖ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46261</v>
      </c>
      <c r="F393" t="inlineStr">
        <is>
          <t>JÖNKÖPINGS LÄN</t>
        </is>
      </c>
      <c r="G393" t="inlineStr">
        <is>
          <t>EKSJÖ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26419-2023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45092</v>
      </c>
      <c r="E394" s="1" t="n">
        <v>46261</v>
      </c>
      <c r="F394" t="inlineStr">
        <is>
          <t>JÖNKÖPINGS LÄN</t>
        </is>
      </c>
      <c r="G394" t="inlineStr">
        <is>
          <t>EKSJÖ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29193-2026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46261</v>
      </c>
      <c r="F395" t="inlineStr">
        <is>
          <t>JÖNKÖPINGS LÄN</t>
        </is>
      </c>
      <c r="G395" t="inlineStr">
        <is>
          <t>EKSJÖ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46261</v>
      </c>
      <c r="F396" t="inlineStr">
        <is>
          <t>JÖNKÖPINGS LÄN</t>
        </is>
      </c>
      <c r="G396" t="inlineStr">
        <is>
          <t>EKSJÖ</t>
        </is>
      </c>
      <c r="H396" t="inlineStr">
        <is>
          <t>Kyrkan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46247</v>
      </c>
      <c r="E397" s="1" t="n">
        <v>46261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46247</v>
      </c>
      <c r="E398" s="1" t="n">
        <v>46261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46247</v>
      </c>
      <c r="E399" s="1" t="n">
        <v>46261</v>
      </c>
      <c r="F399" t="inlineStr">
        <is>
          <t>JÖNKÖPINGS LÄN</t>
        </is>
      </c>
      <c r="G399" t="inlineStr">
        <is>
          <t>EKSJÖ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44953</v>
      </c>
      <c r="E400" s="1" t="n">
        <v>46261</v>
      </c>
      <c r="F400" t="inlineStr">
        <is>
          <t>JÖNKÖPINGS LÄN</t>
        </is>
      </c>
      <c r="G400" t="inlineStr">
        <is>
          <t>EKSJÖ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45391</v>
      </c>
      <c r="E401" s="1" t="n">
        <v>46261</v>
      </c>
      <c r="F401" t="inlineStr">
        <is>
          <t>JÖNKÖPINGS LÄN</t>
        </is>
      </c>
      <c r="G401" t="inlineStr">
        <is>
          <t>EKSJÖ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46261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41816-2024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45561</v>
      </c>
      <c r="E403" s="1" t="n">
        <v>46261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46261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61913-2022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46261</v>
      </c>
      <c r="F405" t="inlineStr">
        <is>
          <t>JÖNKÖPINGS LÄN</t>
        </is>
      </c>
      <c r="G405" t="inlineStr">
        <is>
          <t>EKSJÖ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36503-2024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45537</v>
      </c>
      <c r="E406" s="1" t="n">
        <v>46261</v>
      </c>
      <c r="F406" t="inlineStr">
        <is>
          <t>JÖNKÖPINGS LÄN</t>
        </is>
      </c>
      <c r="G406" t="inlineStr">
        <is>
          <t>EKSJÖ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46252</v>
      </c>
      <c r="E407" s="1" t="n">
        <v>46261</v>
      </c>
      <c r="F407" t="inlineStr">
        <is>
          <t>JÖNKÖPINGS LÄN</t>
        </is>
      </c>
      <c r="G407" t="inlineStr">
        <is>
          <t>EKSJÖ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45334</v>
      </c>
      <c r="E408" s="1" t="n">
        <v>46261</v>
      </c>
      <c r="F408" t="inlineStr">
        <is>
          <t>JÖNKÖPINGS LÄN</t>
        </is>
      </c>
      <c r="G408" t="inlineStr">
        <is>
          <t>EKSJÖ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46261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46261</v>
      </c>
      <c r="F410" t="inlineStr">
        <is>
          <t>JÖNKÖPINGS LÄN</t>
        </is>
      </c>
      <c r="G410" t="inlineStr">
        <is>
          <t>EKSJÖ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46261</v>
      </c>
      <c r="F411" t="inlineStr">
        <is>
          <t>JÖNKÖPINGS LÄN</t>
        </is>
      </c>
      <c r="G411" t="inlineStr">
        <is>
          <t>EKSJÖ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46261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64419-2021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44511</v>
      </c>
      <c r="E413" s="1" t="n">
        <v>46261</v>
      </c>
      <c r="F413" t="inlineStr">
        <is>
          <t>JÖNKÖPINGS LÄN</t>
        </is>
      </c>
      <c r="G413" t="inlineStr">
        <is>
          <t>EKSJÖ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46261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46261</v>
      </c>
      <c r="F415" t="inlineStr">
        <is>
          <t>JÖNKÖPINGS LÄN</t>
        </is>
      </c>
      <c r="G415" t="inlineStr">
        <is>
          <t>EKSJÖ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46261</v>
      </c>
      <c r="F416" t="inlineStr">
        <is>
          <t>JÖNKÖPINGS LÄN</t>
        </is>
      </c>
      <c r="G416" t="inlineStr">
        <is>
          <t>EKSJÖ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46261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46261</v>
      </c>
      <c r="F418" t="inlineStr">
        <is>
          <t>JÖNKÖPINGS LÄN</t>
        </is>
      </c>
      <c r="G418" t="inlineStr">
        <is>
          <t>EKSJÖ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46261</v>
      </c>
      <c r="F419" t="inlineStr">
        <is>
          <t>JÖNKÖPINGS LÄN</t>
        </is>
      </c>
      <c r="G419" t="inlineStr">
        <is>
          <t>EKSJÖ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45468</v>
      </c>
      <c r="E420" s="1" t="n">
        <v>46261</v>
      </c>
      <c r="F420" t="inlineStr">
        <is>
          <t>JÖNKÖPINGS LÄN</t>
        </is>
      </c>
      <c r="G420" t="inlineStr">
        <is>
          <t>EKSJÖ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46261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46261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46261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46261</v>
      </c>
      <c r="F424" t="inlineStr">
        <is>
          <t>JÖNKÖPINGS LÄN</t>
        </is>
      </c>
      <c r="G424" t="inlineStr">
        <is>
          <t>EKSJÖ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45315</v>
      </c>
      <c r="E425" s="1" t="n">
        <v>46261</v>
      </c>
      <c r="F425" t="inlineStr">
        <is>
          <t>JÖNKÖPINGS LÄN</t>
        </is>
      </c>
      <c r="G425" t="inlineStr">
        <is>
          <t>EKSJÖ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46258</v>
      </c>
      <c r="E426" s="1" t="n">
        <v>46261</v>
      </c>
      <c r="F426" t="inlineStr">
        <is>
          <t>JÖNKÖPINGS LÄN</t>
        </is>
      </c>
      <c r="G426" t="inlineStr">
        <is>
          <t>EKSJÖ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46261</v>
      </c>
      <c r="F427" t="inlineStr">
        <is>
          <t>JÖNKÖPINGS LÄN</t>
        </is>
      </c>
      <c r="G427" t="inlineStr">
        <is>
          <t>EKSJÖ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44609</v>
      </c>
      <c r="E428" s="1" t="n">
        <v>46261</v>
      </c>
      <c r="F428" t="inlineStr">
        <is>
          <t>JÖNKÖPINGS LÄN</t>
        </is>
      </c>
      <c r="G428" t="inlineStr">
        <is>
          <t>EKSJÖ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46260</v>
      </c>
      <c r="E429" s="1" t="n">
        <v>46261</v>
      </c>
      <c r="F429" t="inlineStr">
        <is>
          <t>JÖNKÖPINGS LÄN</t>
        </is>
      </c>
      <c r="G429" t="inlineStr">
        <is>
          <t>EKSJÖ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46261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46260</v>
      </c>
      <c r="E431" s="1" t="n">
        <v>46261</v>
      </c>
      <c r="F431" t="inlineStr">
        <is>
          <t>JÖNKÖPINGS LÄN</t>
        </is>
      </c>
      <c r="G431" t="inlineStr">
        <is>
          <t>EKSJÖ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45251</v>
      </c>
      <c r="E432" s="1" t="n">
        <v>46261</v>
      </c>
      <c r="F432" t="inlineStr">
        <is>
          <t>JÖNKÖPINGS LÄN</t>
        </is>
      </c>
      <c r="G432" t="inlineStr">
        <is>
          <t>EKSJÖ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46261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46247</v>
      </c>
      <c r="E434" s="1" t="n">
        <v>46261</v>
      </c>
      <c r="F434" t="inlineStr">
        <is>
          <t>JÖNKÖPINGS LÄN</t>
        </is>
      </c>
      <c r="G434" t="inlineStr">
        <is>
          <t>EKSJÖ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45344</v>
      </c>
      <c r="E435" s="1" t="n">
        <v>46261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35021-2026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46259</v>
      </c>
      <c r="E436" s="1" t="n">
        <v>46261</v>
      </c>
      <c r="F436" t="inlineStr">
        <is>
          <t>JÖNKÖPINGS LÄN</t>
        </is>
      </c>
      <c r="G436" t="inlineStr">
        <is>
          <t>EKSJÖ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45402</v>
      </c>
      <c r="E437" s="1" t="n">
        <v>46261</v>
      </c>
      <c r="F437" t="inlineStr">
        <is>
          <t>JÖNKÖPINGS LÄN</t>
        </is>
      </c>
      <c r="G437" t="inlineStr">
        <is>
          <t>EKSJÖ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45635</v>
      </c>
      <c r="E438" s="1" t="n">
        <v>46261</v>
      </c>
      <c r="F438" t="inlineStr">
        <is>
          <t>JÖNKÖPINGS LÄN</t>
        </is>
      </c>
      <c r="G438" t="inlineStr">
        <is>
          <t>EKSJÖ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45071</v>
      </c>
      <c r="E439" s="1" t="n">
        <v>46261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45523</v>
      </c>
      <c r="E440" s="1" t="n">
        <v>46261</v>
      </c>
      <c r="F440" t="inlineStr">
        <is>
          <t>JÖNKÖPINGS LÄN</t>
        </is>
      </c>
      <c r="G440" t="inlineStr">
        <is>
          <t>EKSJÖ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45334</v>
      </c>
      <c r="E441" s="1" t="n">
        <v>46261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16.1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12399-2023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46261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44999</v>
      </c>
      <c r="E443" s="1" t="n">
        <v>46261</v>
      </c>
      <c r="F443" t="inlineStr">
        <is>
          <t>JÖNKÖPINGS LÄN</t>
        </is>
      </c>
      <c r="G443" t="inlineStr">
        <is>
          <t>EKSJÖ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45329</v>
      </c>
      <c r="E444" s="1" t="n">
        <v>46261</v>
      </c>
      <c r="F444" t="inlineStr">
        <is>
          <t>JÖNKÖPINGS LÄN</t>
        </is>
      </c>
      <c r="G444" t="inlineStr">
        <is>
          <t>EKSJÖ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45204</v>
      </c>
      <c r="E445" s="1" t="n">
        <v>46261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46261</v>
      </c>
      <c r="F446" t="inlineStr">
        <is>
          <t>JÖNKÖPINGS LÄN</t>
        </is>
      </c>
      <c r="G446" t="inlineStr">
        <is>
          <t>EKSJÖ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46261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45714</v>
      </c>
      <c r="E448" s="1" t="n">
        <v>46261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45714</v>
      </c>
      <c r="E449" s="1" t="n">
        <v>46261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46261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45345</v>
      </c>
      <c r="E451" s="1" t="n">
        <v>46261</v>
      </c>
      <c r="F451" t="inlineStr">
        <is>
          <t>JÖNKÖPINGS LÄN</t>
        </is>
      </c>
      <c r="G451" t="inlineStr">
        <is>
          <t>EKSJÖ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44581</v>
      </c>
      <c r="E452" s="1" t="n">
        <v>46261</v>
      </c>
      <c r="F452" t="inlineStr">
        <is>
          <t>JÖNKÖPINGS LÄN</t>
        </is>
      </c>
      <c r="G452" t="inlineStr">
        <is>
          <t>EKSJÖ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44615</v>
      </c>
      <c r="E453" s="1" t="n">
        <v>46261</v>
      </c>
      <c r="F453" t="inlineStr">
        <is>
          <t>JÖNKÖPINGS LÄN</t>
        </is>
      </c>
      <c r="G453" t="inlineStr">
        <is>
          <t>EKSJÖ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46261</v>
      </c>
      <c r="F454" t="inlineStr">
        <is>
          <t>JÖNKÖPINGS LÄN</t>
        </is>
      </c>
      <c r="G454" t="inlineStr">
        <is>
          <t>EKSJÖ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45078</v>
      </c>
      <c r="E455" s="1" t="n">
        <v>46261</v>
      </c>
      <c r="F455" t="inlineStr">
        <is>
          <t>JÖNKÖPINGS LÄN</t>
        </is>
      </c>
      <c r="G455" t="inlineStr">
        <is>
          <t>EKSJÖ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46261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45686</v>
      </c>
      <c r="E457" s="1" t="n">
        <v>46261</v>
      </c>
      <c r="F457" t="inlineStr">
        <is>
          <t>JÖNKÖPINGS LÄN</t>
        </is>
      </c>
      <c r="G457" t="inlineStr">
        <is>
          <t>EKSJÖ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46261</v>
      </c>
      <c r="F458" t="inlineStr">
        <is>
          <t>JÖNKÖPINGS LÄN</t>
        </is>
      </c>
      <c r="G458" t="inlineStr">
        <is>
          <t>EKSJÖ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41739-2023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46261</v>
      </c>
      <c r="F459" t="inlineStr">
        <is>
          <t>JÖNKÖPINGS LÄN</t>
        </is>
      </c>
      <c r="G459" t="inlineStr">
        <is>
          <t>EKSJÖ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45239</v>
      </c>
      <c r="E460" s="1" t="n">
        <v>46261</v>
      </c>
      <c r="F460" t="inlineStr">
        <is>
          <t>JÖNKÖPINGS LÄN</t>
        </is>
      </c>
      <c r="G460" t="inlineStr">
        <is>
          <t>EKSJÖ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45231</v>
      </c>
      <c r="E461" s="1" t="n">
        <v>46261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38659-2023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45162</v>
      </c>
      <c r="E462" s="1" t="n">
        <v>46261</v>
      </c>
      <c r="F462" t="inlineStr">
        <is>
          <t>JÖNKÖPINGS LÄN</t>
        </is>
      </c>
      <c r="G462" t="inlineStr">
        <is>
          <t>EKSJÖ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54292-2023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45232</v>
      </c>
      <c r="E463" s="1" t="n">
        <v>46261</v>
      </c>
      <c r="F463" t="inlineStr">
        <is>
          <t>JÖNKÖPINGS LÄN</t>
        </is>
      </c>
      <c r="G463" t="inlineStr">
        <is>
          <t>EKSJÖ</t>
        </is>
      </c>
      <c r="I463" t="n">
        <v>18.3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45161</v>
      </c>
      <c r="E464" s="1" t="n">
        <v>46261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45420</v>
      </c>
      <c r="E465" s="1" t="n">
        <v>46261</v>
      </c>
      <c r="F465" t="inlineStr">
        <is>
          <t>JÖNKÖPINGS LÄN</t>
        </is>
      </c>
      <c r="G465" t="inlineStr">
        <is>
          <t>EKSJÖ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45223</v>
      </c>
      <c r="E466" s="1" t="n">
        <v>46261</v>
      </c>
      <c r="F466" t="inlineStr">
        <is>
          <t>JÖNKÖPINGS LÄN</t>
        </is>
      </c>
      <c r="G466" t="inlineStr">
        <is>
          <t>EKSJÖ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45666</v>
      </c>
      <c r="E467" s="1" t="n">
        <v>46261</v>
      </c>
      <c r="F467" t="inlineStr">
        <is>
          <t>JÖNKÖPINGS LÄN</t>
        </is>
      </c>
      <c r="G467" t="inlineStr">
        <is>
          <t>EKSJÖ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34021-2024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45523</v>
      </c>
      <c r="E468" s="1" t="n">
        <v>46261</v>
      </c>
      <c r="F468" t="inlineStr">
        <is>
          <t>JÖNKÖPINGS LÄN</t>
        </is>
      </c>
      <c r="G468" t="inlineStr">
        <is>
          <t>EKSJÖ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45523</v>
      </c>
      <c r="E469" s="1" t="n">
        <v>46261</v>
      </c>
      <c r="F469" t="inlineStr">
        <is>
          <t>JÖNKÖPINGS LÄN</t>
        </is>
      </c>
      <c r="G469" t="inlineStr">
        <is>
          <t>EKSJÖ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46261</v>
      </c>
      <c r="F470" t="inlineStr">
        <is>
          <t>JÖNKÖPINGS LÄN</t>
        </is>
      </c>
      <c r="G470" t="inlineStr">
        <is>
          <t>EKSJÖ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45195</v>
      </c>
      <c r="E471" s="1" t="n">
        <v>46261</v>
      </c>
      <c r="F471" t="inlineStr">
        <is>
          <t>JÖNKÖPINGS LÄN</t>
        </is>
      </c>
      <c r="G471" t="inlineStr">
        <is>
          <t>EKSJÖ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45175</v>
      </c>
      <c r="E472" s="1" t="n">
        <v>46261</v>
      </c>
      <c r="F472" t="inlineStr">
        <is>
          <t>JÖNKÖPINGS LÄN</t>
        </is>
      </c>
      <c r="G472" t="inlineStr">
        <is>
          <t>EKSJÖ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45680</v>
      </c>
      <c r="E473" s="1" t="n">
        <v>46261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44685</v>
      </c>
      <c r="E474" s="1" t="n">
        <v>46261</v>
      </c>
      <c r="F474" t="inlineStr">
        <is>
          <t>JÖNKÖPINGS LÄN</t>
        </is>
      </c>
      <c r="G474" t="inlineStr">
        <is>
          <t>EKSJÖ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54916-2023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45236</v>
      </c>
      <c r="E475" s="1" t="n">
        <v>46261</v>
      </c>
      <c r="F475" t="inlineStr">
        <is>
          <t>JÖNKÖPINGS LÄN</t>
        </is>
      </c>
      <c r="G475" t="inlineStr">
        <is>
          <t>EKSJÖ</t>
        </is>
      </c>
      <c r="H475" t="inlineStr">
        <is>
          <t>Övriga Aktiebolag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8056-2025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45707</v>
      </c>
      <c r="E476" s="1" t="n">
        <v>46261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59905-2022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44908</v>
      </c>
      <c r="E477" s="1" t="n">
        <v>46261</v>
      </c>
      <c r="F477" t="inlineStr">
        <is>
          <t>JÖNKÖPINGS LÄN</t>
        </is>
      </c>
      <c r="G477" t="inlineStr">
        <is>
          <t>EKSJÖ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45239</v>
      </c>
      <c r="E478" s="1" t="n">
        <v>46261</v>
      </c>
      <c r="F478" t="inlineStr">
        <is>
          <t>JÖNKÖPINGS LÄN</t>
        </is>
      </c>
      <c r="G478" t="inlineStr">
        <is>
          <t>EKSJÖ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2838-2024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45315</v>
      </c>
      <c r="E479" s="1" t="n">
        <v>46261</v>
      </c>
      <c r="F479" t="inlineStr">
        <is>
          <t>JÖNKÖPINGS LÄN</t>
        </is>
      </c>
      <c r="G479" t="inlineStr">
        <is>
          <t>EKSJÖ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45314</v>
      </c>
      <c r="E480" s="1" t="n">
        <v>46261</v>
      </c>
      <c r="F480" t="inlineStr">
        <is>
          <t>JÖNKÖPINGS LÄN</t>
        </is>
      </c>
      <c r="G480" t="inlineStr">
        <is>
          <t>EKSJÖ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45314</v>
      </c>
      <c r="E481" s="1" t="n">
        <v>46261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25613-2024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45463</v>
      </c>
      <c r="E482" s="1" t="n">
        <v>46261</v>
      </c>
      <c r="F482" t="inlineStr">
        <is>
          <t>JÖNKÖPINGS LÄN</t>
        </is>
      </c>
      <c r="G482" t="inlineStr">
        <is>
          <t>EKSJÖ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46261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46261</v>
      </c>
      <c r="F484" t="inlineStr">
        <is>
          <t>JÖNKÖPINGS LÄN</t>
        </is>
      </c>
      <c r="G484" t="inlineStr">
        <is>
          <t>EKSJÖ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45758</v>
      </c>
      <c r="E485" s="1" t="n">
        <v>46261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9429-2025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46261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44746</v>
      </c>
      <c r="E487" s="1" t="n">
        <v>46261</v>
      </c>
      <c r="F487" t="inlineStr">
        <is>
          <t>JÖNKÖPINGS LÄN</t>
        </is>
      </c>
      <c r="G487" t="inlineStr">
        <is>
          <t>EKSJÖ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45176</v>
      </c>
      <c r="E488" s="1" t="n">
        <v>46261</v>
      </c>
      <c r="F488" t="inlineStr">
        <is>
          <t>JÖNKÖPINGS LÄN</t>
        </is>
      </c>
      <c r="G488" t="inlineStr">
        <is>
          <t>EKSJÖ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55656-2022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44888</v>
      </c>
      <c r="E489" s="1" t="n">
        <v>46261</v>
      </c>
      <c r="F489" t="inlineStr">
        <is>
          <t>JÖNKÖPINGS LÄN</t>
        </is>
      </c>
      <c r="G489" t="inlineStr">
        <is>
          <t>EKSJÖ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45264</v>
      </c>
      <c r="E490" s="1" t="n">
        <v>46261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59734-2022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44908</v>
      </c>
      <c r="E491" s="1" t="n">
        <v>46261</v>
      </c>
      <c r="F491" t="inlineStr">
        <is>
          <t>JÖNKÖPINGS LÄN</t>
        </is>
      </c>
      <c r="G491" t="inlineStr">
        <is>
          <t>EKSJÖ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44846</v>
      </c>
      <c r="E492" s="1" t="n">
        <v>46261</v>
      </c>
      <c r="F492" t="inlineStr">
        <is>
          <t>JÖNKÖPINGS LÄN</t>
        </is>
      </c>
      <c r="G492" t="inlineStr">
        <is>
          <t>EKSJÖ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46014-2022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44846</v>
      </c>
      <c r="E493" s="1" t="n">
        <v>46261</v>
      </c>
      <c r="F493" t="inlineStr">
        <is>
          <t>JÖNKÖPINGS LÄN</t>
        </is>
      </c>
      <c r="G493" t="inlineStr">
        <is>
          <t>EKSJÖ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9188-2024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45358</v>
      </c>
      <c r="E494" s="1" t="n">
        <v>46261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45243</v>
      </c>
      <c r="E495" s="1" t="n">
        <v>46261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11381-2022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44630</v>
      </c>
      <c r="E496" s="1" t="n">
        <v>46261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50275-2023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46261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47204-2022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44851</v>
      </c>
      <c r="E498" s="1" t="n">
        <v>46261</v>
      </c>
      <c r="F498" t="inlineStr">
        <is>
          <t>JÖNKÖPINGS LÄN</t>
        </is>
      </c>
      <c r="G498" t="inlineStr">
        <is>
          <t>EKSJÖ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45160</v>
      </c>
      <c r="E499" s="1" t="n">
        <v>46261</v>
      </c>
      <c r="F499" t="inlineStr">
        <is>
          <t>JÖNKÖPINGS LÄN</t>
        </is>
      </c>
      <c r="G499" t="inlineStr">
        <is>
          <t>EKSJÖ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46261</v>
      </c>
      <c r="F500" t="inlineStr">
        <is>
          <t>JÖNKÖPINGS LÄN</t>
        </is>
      </c>
      <c r="G500" t="inlineStr">
        <is>
          <t>EKSJÖ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46577-2022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44848</v>
      </c>
      <c r="E501" s="1" t="n">
        <v>46261</v>
      </c>
      <c r="F501" t="inlineStr">
        <is>
          <t>JÖNKÖPINGS LÄN</t>
        </is>
      </c>
      <c r="G501" t="inlineStr">
        <is>
          <t>EKSJÖ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45532</v>
      </c>
      <c r="E502" s="1" t="n">
        <v>46261</v>
      </c>
      <c r="F502" t="inlineStr">
        <is>
          <t>JÖNKÖPINGS LÄN</t>
        </is>
      </c>
      <c r="G502" t="inlineStr">
        <is>
          <t>EKSJÖ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44987</v>
      </c>
      <c r="E503" s="1" t="n">
        <v>46261</v>
      </c>
      <c r="F503" t="inlineStr">
        <is>
          <t>JÖNKÖPINGS LÄN</t>
        </is>
      </c>
      <c r="G503" t="inlineStr">
        <is>
          <t>EKSJÖ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45391</v>
      </c>
      <c r="E504" s="1" t="n">
        <v>46261</v>
      </c>
      <c r="F504" t="inlineStr">
        <is>
          <t>JÖNKÖPINGS LÄN</t>
        </is>
      </c>
      <c r="G504" t="inlineStr">
        <is>
          <t>EKSJÖ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50967-2021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44460</v>
      </c>
      <c r="E505" s="1" t="n">
        <v>46261</v>
      </c>
      <c r="F505" t="inlineStr">
        <is>
          <t>JÖNKÖPINGS LÄN</t>
        </is>
      </c>
      <c r="G505" t="inlineStr">
        <is>
          <t>EKSJÖ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49403-2021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44454</v>
      </c>
      <c r="E506" s="1" t="n">
        <v>46261</v>
      </c>
      <c r="F506" t="inlineStr">
        <is>
          <t>JÖNKÖPINGS LÄN</t>
        </is>
      </c>
      <c r="G506" t="inlineStr">
        <is>
          <t>EKSJÖ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45367-2024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45576</v>
      </c>
      <c r="E507" s="1" t="n">
        <v>46261</v>
      </c>
      <c r="F507" t="inlineStr">
        <is>
          <t>JÖNKÖPINGS LÄN</t>
        </is>
      </c>
      <c r="G507" t="inlineStr">
        <is>
          <t>EKSJÖ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44739</v>
      </c>
      <c r="E508" s="1" t="n">
        <v>46261</v>
      </c>
      <c r="F508" t="inlineStr">
        <is>
          <t>JÖNKÖPINGS LÄN</t>
        </is>
      </c>
      <c r="G508" t="inlineStr">
        <is>
          <t>EKSJÖ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71313-2021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44539</v>
      </c>
      <c r="E509" s="1" t="n">
        <v>46261</v>
      </c>
      <c r="F509" t="inlineStr">
        <is>
          <t>JÖNKÖPINGS LÄN</t>
        </is>
      </c>
      <c r="G509" t="inlineStr">
        <is>
          <t>EKSJÖ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2224-2023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44939</v>
      </c>
      <c r="E510" s="1" t="n">
        <v>46261</v>
      </c>
      <c r="F510" t="inlineStr">
        <is>
          <t>JÖNKÖPINGS LÄN</t>
        </is>
      </c>
      <c r="G510" t="inlineStr">
        <is>
          <t>EKSJÖ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45086</v>
      </c>
      <c r="E511" s="1" t="n">
        <v>46261</v>
      </c>
      <c r="F511" t="inlineStr">
        <is>
          <t>JÖNKÖPINGS LÄN</t>
        </is>
      </c>
      <c r="G511" t="inlineStr">
        <is>
          <t>EKSJÖ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26054-2023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46261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45051</v>
      </c>
      <c r="E513" s="1" t="n">
        <v>46261</v>
      </c>
      <c r="F513" t="inlineStr">
        <is>
          <t>JÖNKÖPINGS LÄN</t>
        </is>
      </c>
      <c r="G513" t="inlineStr">
        <is>
          <t>EKSJÖ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33644-2022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44789</v>
      </c>
      <c r="E514" s="1" t="n">
        <v>46261</v>
      </c>
      <c r="F514" t="inlineStr">
        <is>
          <t>JÖNKÖPINGS LÄN</t>
        </is>
      </c>
      <c r="G514" t="inlineStr">
        <is>
          <t>EKSJÖ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46261</v>
      </c>
      <c r="F515" t="inlineStr">
        <is>
          <t>JÖNKÖPINGS LÄN</t>
        </is>
      </c>
      <c r="G515" t="inlineStr">
        <is>
          <t>EKSJÖ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45082</v>
      </c>
      <c r="E516" s="1" t="n">
        <v>46261</v>
      </c>
      <c r="F516" t="inlineStr">
        <is>
          <t>JÖNKÖPINGS LÄN</t>
        </is>
      </c>
      <c r="G516" t="inlineStr">
        <is>
          <t>EKSJÖ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45086</v>
      </c>
      <c r="E517" s="1" t="n">
        <v>46261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44925</v>
      </c>
      <c r="E518" s="1" t="n">
        <v>46261</v>
      </c>
      <c r="F518" t="inlineStr">
        <is>
          <t>JÖNKÖPINGS LÄN</t>
        </is>
      </c>
      <c r="G518" t="inlineStr">
        <is>
          <t>EKSJÖ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45078</v>
      </c>
      <c r="E519" s="1" t="n">
        <v>46261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45154</v>
      </c>
      <c r="E520" s="1" t="n">
        <v>46261</v>
      </c>
      <c r="F520" t="inlineStr">
        <is>
          <t>JÖNKÖPINGS LÄN</t>
        </is>
      </c>
      <c r="G520" t="inlineStr">
        <is>
          <t>EKSJÖ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65554-2021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44516</v>
      </c>
      <c r="E521" s="1" t="n">
        <v>46261</v>
      </c>
      <c r="F521" t="inlineStr">
        <is>
          <t>JÖNKÖPINGS LÄN</t>
        </is>
      </c>
      <c r="G521" t="inlineStr">
        <is>
          <t>EKSJÖ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63959-2023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45278</v>
      </c>
      <c r="E522" s="1" t="n">
        <v>46261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44746</v>
      </c>
      <c r="E523" s="1" t="n">
        <v>46261</v>
      </c>
      <c r="F523" t="inlineStr">
        <is>
          <t>JÖNKÖPINGS LÄN</t>
        </is>
      </c>
      <c r="G523" t="inlineStr">
        <is>
          <t>EKSJÖ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32333-2022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44781</v>
      </c>
      <c r="E524" s="1" t="n">
        <v>46261</v>
      </c>
      <c r="F524" t="inlineStr">
        <is>
          <t>JÖNKÖPINGS LÄN</t>
        </is>
      </c>
      <c r="G524" t="inlineStr">
        <is>
          <t>EKSJÖ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44781</v>
      </c>
      <c r="E525" s="1" t="n">
        <v>46261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45337</v>
      </c>
      <c r="E526" s="1" t="n">
        <v>46261</v>
      </c>
      <c r="F526" t="inlineStr">
        <is>
          <t>JÖNKÖPINGS LÄN</t>
        </is>
      </c>
      <c r="G526" t="inlineStr">
        <is>
          <t>EKSJÖ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45680</v>
      </c>
      <c r="E527" s="1" t="n">
        <v>46261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46918-2023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45201</v>
      </c>
      <c r="E528" s="1" t="n">
        <v>46261</v>
      </c>
      <c r="F528" t="inlineStr">
        <is>
          <t>JÖNKÖPINGS LÄN</t>
        </is>
      </c>
      <c r="G528" t="inlineStr">
        <is>
          <t>EKSJÖ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46261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64541-2023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46261</v>
      </c>
      <c r="F530" t="inlineStr">
        <is>
          <t>JÖNKÖPINGS LÄN</t>
        </is>
      </c>
      <c r="G530" t="inlineStr">
        <is>
          <t>EKSJÖ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46261</v>
      </c>
      <c r="F531" t="inlineStr">
        <is>
          <t>JÖNKÖPINGS LÄN</t>
        </is>
      </c>
      <c r="G531" t="inlineStr">
        <is>
          <t>EKSJÖ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46261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45057</v>
      </c>
      <c r="E533" s="1" t="n">
        <v>46261</v>
      </c>
      <c r="F533" t="inlineStr">
        <is>
          <t>JÖNKÖPINGS LÄN</t>
        </is>
      </c>
      <c r="G533" t="inlineStr">
        <is>
          <t>EKSJÖ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59254-2023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45253</v>
      </c>
      <c r="E534" s="1" t="n">
        <v>46261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64993-2023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45286</v>
      </c>
      <c r="E535" s="1" t="n">
        <v>46261</v>
      </c>
      <c r="F535" t="inlineStr">
        <is>
          <t>JÖNKÖPINGS LÄN</t>
        </is>
      </c>
      <c r="G535" t="inlineStr">
        <is>
          <t>EKSJÖ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45659</v>
      </c>
      <c r="E536" s="1" t="n">
        <v>46261</v>
      </c>
      <c r="F536" t="inlineStr">
        <is>
          <t>JÖNKÖPINGS LÄN</t>
        </is>
      </c>
      <c r="G536" t="inlineStr">
        <is>
          <t>EKSJÖ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18337-2025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46261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11022-2024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46261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46261</v>
      </c>
      <c r="F539" t="inlineStr">
        <is>
          <t>JÖNKÖPINGS LÄN</t>
        </is>
      </c>
      <c r="G539" t="inlineStr">
        <is>
          <t>EKSJÖ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45096</v>
      </c>
      <c r="E540" s="1" t="n">
        <v>46261</v>
      </c>
      <c r="F540" t="inlineStr">
        <is>
          <t>JÖNKÖPINGS LÄN</t>
        </is>
      </c>
      <c r="G540" t="inlineStr">
        <is>
          <t>EKSJÖ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45152</v>
      </c>
      <c r="E541" s="1" t="n">
        <v>46261</v>
      </c>
      <c r="F541" t="inlineStr">
        <is>
          <t>JÖNKÖPINGS LÄN</t>
        </is>
      </c>
      <c r="G541" t="inlineStr">
        <is>
          <t>EKSJÖ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53053-2021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44467</v>
      </c>
      <c r="E542" s="1" t="n">
        <v>46261</v>
      </c>
      <c r="F542" t="inlineStr">
        <is>
          <t>JÖNKÖPINGS LÄN</t>
        </is>
      </c>
      <c r="G542" t="inlineStr">
        <is>
          <t>EKSJÖ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44925</v>
      </c>
      <c r="E543" s="1" t="n">
        <v>46261</v>
      </c>
      <c r="F543" t="inlineStr">
        <is>
          <t>JÖNKÖPINGS LÄN</t>
        </is>
      </c>
      <c r="G543" t="inlineStr">
        <is>
          <t>EKSJÖ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44940</v>
      </c>
      <c r="E544" s="1" t="n">
        <v>46261</v>
      </c>
      <c r="F544" t="inlineStr">
        <is>
          <t>JÖNKÖPINGS LÄN</t>
        </is>
      </c>
      <c r="G544" t="inlineStr">
        <is>
          <t>EKSJÖ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44941</v>
      </c>
      <c r="E545" s="1" t="n">
        <v>46261</v>
      </c>
      <c r="F545" t="inlineStr">
        <is>
          <t>JÖNKÖPINGS LÄN</t>
        </is>
      </c>
      <c r="G545" t="inlineStr">
        <is>
          <t>EKSJÖ</t>
        </is>
      </c>
      <c r="H545" t="inlineStr">
        <is>
          <t>Övriga Aktiebolag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49919-2023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45214</v>
      </c>
      <c r="E546" s="1" t="n">
        <v>46261</v>
      </c>
      <c r="F546" t="inlineStr">
        <is>
          <t>JÖNKÖPINGS LÄN</t>
        </is>
      </c>
      <c r="G546" t="inlineStr">
        <is>
          <t>EKSJÖ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47806-2023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46261</v>
      </c>
      <c r="F547" t="inlineStr">
        <is>
          <t>JÖNKÖPINGS LÄN</t>
        </is>
      </c>
      <c r="G547" t="inlineStr">
        <is>
          <t>EKSJÖ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46261</v>
      </c>
      <c r="F548" t="inlineStr">
        <is>
          <t>JÖNKÖPINGS LÄN</t>
        </is>
      </c>
      <c r="G548" t="inlineStr">
        <is>
          <t>EKSJÖ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45649</v>
      </c>
      <c r="E549" s="1" t="n">
        <v>46261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34772-2023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45141</v>
      </c>
      <c r="E550" s="1" t="n">
        <v>46261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45054</v>
      </c>
      <c r="E551" s="1" t="n">
        <v>46261</v>
      </c>
      <c r="F551" t="inlineStr">
        <is>
          <t>JÖNKÖPINGS LÄN</t>
        </is>
      </c>
      <c r="G551" t="inlineStr">
        <is>
          <t>EKSJÖ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46019-2022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44846</v>
      </c>
      <c r="E552" s="1" t="n">
        <v>46261</v>
      </c>
      <c r="F552" t="inlineStr">
        <is>
          <t>JÖNKÖPINGS LÄN</t>
        </is>
      </c>
      <c r="G552" t="inlineStr">
        <is>
          <t>EKSJÖ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45493-2022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44845</v>
      </c>
      <c r="E553" s="1" t="n">
        <v>46261</v>
      </c>
      <c r="F553" t="inlineStr">
        <is>
          <t>JÖNKÖPINGS LÄN</t>
        </is>
      </c>
      <c r="G553" t="inlineStr">
        <is>
          <t>EKSJÖ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45300</v>
      </c>
      <c r="E554" s="1" t="n">
        <v>46261</v>
      </c>
      <c r="F554" t="inlineStr">
        <is>
          <t>JÖNKÖPINGS LÄN</t>
        </is>
      </c>
      <c r="G554" t="inlineStr">
        <is>
          <t>EKSJÖ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36354-2022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44803</v>
      </c>
      <c r="E555" s="1" t="n">
        <v>46261</v>
      </c>
      <c r="F555" t="inlineStr">
        <is>
          <t>JÖNKÖPINGS LÄN</t>
        </is>
      </c>
      <c r="G555" t="inlineStr">
        <is>
          <t>EKSJÖ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48740-2023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45208</v>
      </c>
      <c r="E556" s="1" t="n">
        <v>46261</v>
      </c>
      <c r="F556" t="inlineStr">
        <is>
          <t>JÖNKÖPINGS LÄN</t>
        </is>
      </c>
      <c r="G556" t="inlineStr">
        <is>
          <t>EKSJÖ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29878-2023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46261</v>
      </c>
      <c r="F557" t="inlineStr">
        <is>
          <t>JÖNKÖPINGS LÄN</t>
        </is>
      </c>
      <c r="G557" t="inlineStr">
        <is>
          <t>EKSJÖ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44925</v>
      </c>
      <c r="E558" s="1" t="n">
        <v>46261</v>
      </c>
      <c r="F558" t="inlineStr">
        <is>
          <t>JÖNKÖPINGS LÄN</t>
        </is>
      </c>
      <c r="G558" t="inlineStr">
        <is>
          <t>EKSJÖ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45373</v>
      </c>
      <c r="E559" s="1" t="n">
        <v>46261</v>
      </c>
      <c r="F559" t="inlineStr">
        <is>
          <t>JÖNKÖPINGS LÄN</t>
        </is>
      </c>
      <c r="G559" t="inlineStr">
        <is>
          <t>EKSJÖ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50410-2024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45601</v>
      </c>
      <c r="E560" s="1" t="n">
        <v>46261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45308</v>
      </c>
      <c r="E561" s="1" t="n">
        <v>46261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45334</v>
      </c>
      <c r="E562" s="1" t="n">
        <v>46261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45463</v>
      </c>
      <c r="E563" s="1" t="n">
        <v>46261</v>
      </c>
      <c r="F563" t="inlineStr">
        <is>
          <t>JÖNKÖPINGS LÄN</t>
        </is>
      </c>
      <c r="G563" t="inlineStr">
        <is>
          <t>EKSJÖ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38201-2023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45161</v>
      </c>
      <c r="E564" s="1" t="n">
        <v>46261</v>
      </c>
      <c r="F564" t="inlineStr">
        <is>
          <t>JÖNKÖPINGS LÄN</t>
        </is>
      </c>
      <c r="G564" t="inlineStr">
        <is>
          <t>EKSJÖ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54470-2024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45617</v>
      </c>
      <c r="E565" s="1" t="n">
        <v>46261</v>
      </c>
      <c r="F565" t="inlineStr">
        <is>
          <t>JÖNKÖPINGS LÄN</t>
        </is>
      </c>
      <c r="G565" t="inlineStr">
        <is>
          <t>EKSJÖ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44580</v>
      </c>
      <c r="E566" s="1" t="n">
        <v>46261</v>
      </c>
      <c r="F566" t="inlineStr">
        <is>
          <t>JÖNKÖPINGS LÄN</t>
        </is>
      </c>
      <c r="G566" t="inlineStr">
        <is>
          <t>EKSJÖ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46261</v>
      </c>
      <c r="F567" t="inlineStr">
        <is>
          <t>JÖNKÖPINGS LÄN</t>
        </is>
      </c>
      <c r="G567" t="inlineStr">
        <is>
          <t>EKSJÖ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9363-2025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45715</v>
      </c>
      <c r="E568" s="1" t="n">
        <v>46261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45677</v>
      </c>
      <c r="E569" s="1" t="n">
        <v>46261</v>
      </c>
      <c r="F569" t="inlineStr">
        <is>
          <t>JÖNKÖPINGS LÄN</t>
        </is>
      </c>
      <c r="G569" t="inlineStr">
        <is>
          <t>EKSJÖ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10972-2025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46261</v>
      </c>
      <c r="F570" t="inlineStr">
        <is>
          <t>JÖNKÖPINGS LÄN</t>
        </is>
      </c>
      <c r="G570" t="inlineStr">
        <is>
          <t>EKSJÖ</t>
        </is>
      </c>
      <c r="I570" t="n">
        <v>8.6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51541-2023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45222</v>
      </c>
      <c r="E571" s="1" t="n">
        <v>46261</v>
      </c>
      <c r="F571" t="inlineStr">
        <is>
          <t>JÖNKÖPINGS LÄN</t>
        </is>
      </c>
      <c r="G571" t="inlineStr">
        <is>
          <t>EKSJÖ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45338</v>
      </c>
      <c r="E572" s="1" t="n">
        <v>46261</v>
      </c>
      <c r="F572" t="inlineStr">
        <is>
          <t>JÖNKÖPINGS LÄN</t>
        </is>
      </c>
      <c r="G572" t="inlineStr">
        <is>
          <t>EKSJÖ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45016-2024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45575</v>
      </c>
      <c r="E573" s="1" t="n">
        <v>46261</v>
      </c>
      <c r="F573" t="inlineStr">
        <is>
          <t>JÖNKÖPINGS LÄN</t>
        </is>
      </c>
      <c r="G573" t="inlineStr">
        <is>
          <t>EKSJÖ</t>
        </is>
      </c>
      <c r="H573" t="inlineStr">
        <is>
          <t>Övriga Aktiebolag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50287-2024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45600</v>
      </c>
      <c r="E574" s="1" t="n">
        <v>46261</v>
      </c>
      <c r="F574" t="inlineStr">
        <is>
          <t>JÖNKÖPINGS LÄN</t>
        </is>
      </c>
      <c r="G574" t="inlineStr">
        <is>
          <t>EKSJÖ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19469-2025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45770</v>
      </c>
      <c r="E575" s="1" t="n">
        <v>46261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45426</v>
      </c>
      <c r="E576" s="1" t="n">
        <v>46261</v>
      </c>
      <c r="F576" t="inlineStr">
        <is>
          <t>JÖNKÖPINGS LÄN</t>
        </is>
      </c>
      <c r="G576" t="inlineStr">
        <is>
          <t>EKSJÖ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20986-2025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45777</v>
      </c>
      <c r="E577" s="1" t="n">
        <v>46261</v>
      </c>
      <c r="F577" t="inlineStr">
        <is>
          <t>JÖNKÖPINGS LÄN</t>
        </is>
      </c>
      <c r="G577" t="inlineStr">
        <is>
          <t>EKSJÖ</t>
        </is>
      </c>
      <c r="H577" t="inlineStr">
        <is>
          <t>Kommuner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45777</v>
      </c>
      <c r="E578" s="1" t="n">
        <v>46261</v>
      </c>
      <c r="F578" t="inlineStr">
        <is>
          <t>JÖNKÖPINGS LÄN</t>
        </is>
      </c>
      <c r="G578" t="inlineStr">
        <is>
          <t>EKSJÖ</t>
        </is>
      </c>
      <c r="H578" t="inlineStr">
        <is>
          <t>Kommuner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21224-2025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45779</v>
      </c>
      <c r="E579" s="1" t="n">
        <v>46261</v>
      </c>
      <c r="F579" t="inlineStr">
        <is>
          <t>JÖNKÖPINGS LÄN</t>
        </is>
      </c>
      <c r="G579" t="inlineStr">
        <is>
          <t>EKSJÖ</t>
        </is>
      </c>
      <c r="H579" t="inlineStr">
        <is>
          <t>Kommuner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45637</v>
      </c>
      <c r="E580" s="1" t="n">
        <v>46261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45175</v>
      </c>
      <c r="E581" s="1" t="n">
        <v>46261</v>
      </c>
      <c r="F581" t="inlineStr">
        <is>
          <t>JÖNKÖPINGS LÄN</t>
        </is>
      </c>
      <c r="G581" t="inlineStr">
        <is>
          <t>EKSJÖ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45706</v>
      </c>
      <c r="E582" s="1" t="n">
        <v>46261</v>
      </c>
      <c r="F582" t="inlineStr">
        <is>
          <t>JÖNKÖPINGS LÄN</t>
        </is>
      </c>
      <c r="G582" t="inlineStr">
        <is>
          <t>EKSJÖ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46261</v>
      </c>
      <c r="F583" t="inlineStr">
        <is>
          <t>JÖNKÖPINGS LÄN</t>
        </is>
      </c>
      <c r="G583" t="inlineStr">
        <is>
          <t>EKSJÖ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22987-2025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45790</v>
      </c>
      <c r="E584" s="1" t="n">
        <v>46261</v>
      </c>
      <c r="F584" t="inlineStr">
        <is>
          <t>JÖNKÖPINGS LÄN</t>
        </is>
      </c>
      <c r="G584" t="inlineStr">
        <is>
          <t>EKSJÖ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45705</v>
      </c>
      <c r="E585" s="1" t="n">
        <v>46261</v>
      </c>
      <c r="F585" t="inlineStr">
        <is>
          <t>JÖNKÖPINGS LÄN</t>
        </is>
      </c>
      <c r="G585" t="inlineStr">
        <is>
          <t>EKSJÖ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45530</v>
      </c>
      <c r="E586" s="1" t="n">
        <v>46261</v>
      </c>
      <c r="F586" t="inlineStr">
        <is>
          <t>JÖNKÖPINGS LÄN</t>
        </is>
      </c>
      <c r="G586" t="inlineStr">
        <is>
          <t>EKSJÖ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46261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46261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46261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46261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46261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46261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46261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46261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46261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46261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46261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46261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46261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46261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46261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46261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46261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46261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46261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46261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46261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46261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46261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46261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46261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46261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46261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46261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46261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46261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2026-08-27T01:52:06Z</dcterms:created>
  <dcterms:modified xmlns:dcterms="http://purl.org/dc/terms/" xmlns:xsi="http://www.w3.org/2001/XMLSchema-instance" xsi:type="dcterms:W3CDTF">2026-08-27T01:52:07Z</dcterms:modified>
</cp:coreProperties>
</file>