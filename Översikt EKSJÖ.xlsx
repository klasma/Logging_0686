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46263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46263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46263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46263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46263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46263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46263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52446-2025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45954</v>
      </c>
      <c r="E28" s="1" t="n">
        <v>46263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25</v>
      </c>
      <c r="U28" t="n">
        <v>0</v>
      </c>
      <c r="V28" s="2" t="inlineStr">
        <is>
          <t>Ask</t>
        </is>
      </c>
      <c r="W28">
        <f>HYPERLINK("https://klasma.github.io/Logging_0686/artfynd/A 52446-2025 artfynd.xlsx", "A 52446-2025")</f>
        <v/>
      </c>
      <c r="X28">
        <f>HYPERLINK("https://klasma.github.io/Logging_0686/kartor/A 52446-2025 karta.png", "A 52446-2025")</f>
        <v/>
      </c>
      <c r="Y28">
        <f>HYPERLINK("https://klasma.github.io/Logging_0686/kartor_geotiff/A 52446-2025 georefererad karta.tif", "A 52446-2025")</f>
        <v/>
      </c>
      <c r="AA28">
        <f>HYPERLINK("https://klasma.github.io/Logging_0686/klagomål/A 52446-2025 FSC-klagomål.docx", "A 52446-2025")</f>
        <v/>
      </c>
      <c r="AB28">
        <f>HYPERLINK("https://klasma.github.io/Logging_0686/klagomålsmail/A 52446-2025 FSC-klagomål mail.docx", "A 52446-2025")</f>
        <v/>
      </c>
      <c r="AC28">
        <f>HYPERLINK("https://klasma.github.io/Logging_0686/tillsyn/A 52446-2025 tillsynsbegäran.docx", "A 52446-2025")</f>
        <v/>
      </c>
      <c r="AD28">
        <f>HYPERLINK("https://klasma.github.io/Logging_0686/tillsynsmail/A 52446-2025 tillsynsbegäran mail.docx", "A 52446-2025")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46263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46263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56410-2025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45975</v>
      </c>
      <c r="E31" s="1" t="n">
        <v>46263</v>
      </c>
      <c r="F31" t="inlineStr">
        <is>
          <t>JÖNKÖPINGS LÄN</t>
        </is>
      </c>
      <c r="G31" t="inlineStr">
        <is>
          <t>EKSJÖ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Brunfläckig pärlemorfjäril</t>
        </is>
      </c>
      <c r="W31">
        <f>HYPERLINK("https://klasma.github.io/Logging_0686/artfynd/A 56410-2025 artfynd.xlsx", "A 56410-2025")</f>
        <v/>
      </c>
      <c r="X31">
        <f>HYPERLINK("https://klasma.github.io/Logging_0686/kartor/A 56410-2025 karta.png", "A 56410-2025")</f>
        <v/>
      </c>
      <c r="Y31">
        <f>HYPERLINK("https://klasma.github.io/Logging_0686/kartor_geotiff/A 56410-2025 georefererad karta.tif", "A 56410-2025")</f>
        <v/>
      </c>
      <c r="AA31">
        <f>HYPERLINK("https://klasma.github.io/Logging_0686/klagomål/A 56410-2025 FSC-klagomål.docx", "A 56410-2025")</f>
        <v/>
      </c>
      <c r="AB31">
        <f>HYPERLINK("https://klasma.github.io/Logging_0686/klagomålsmail/A 56410-2025 FSC-klagomål mail.docx", "A 56410-2025")</f>
        <v/>
      </c>
      <c r="AC31">
        <f>HYPERLINK("https://klasma.github.io/Logging_0686/tillsyn/A 56410-2025 tillsynsbegäran.docx", "A 56410-2025")</f>
        <v/>
      </c>
      <c r="AD31">
        <f>HYPERLINK("https://klasma.github.io/Logging_0686/tillsynsmail/A 56410-2025 tillsynsbegäran mail.docx", "A 56410-2025")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46263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46263</v>
      </c>
      <c r="F33" t="inlineStr">
        <is>
          <t>JÖNKÖPINGS LÄN</t>
        </is>
      </c>
      <c r="G33" t="inlineStr">
        <is>
          <t>EKSJÖ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HYPERLINK("https://klasma.github.io/Logging_0686/artfynd/A 58-2023 artfynd.xlsx", "A 58-2023")</f>
        <v/>
      </c>
      <c r="X33">
        <f>HYPERLINK("https://klasma.github.io/Logging_0686/kartor/A 58-2023 karta.png", "A 58-2023")</f>
        <v/>
      </c>
      <c r="Y33">
        <f>HYPERLINK("https://klasma.github.io/Logging_0686/kartor_geotiff/A 58-2023 georefererad karta.tif", "A 58-2023")</f>
        <v/>
      </c>
      <c r="AA33">
        <f>HYPERLINK("https://klasma.github.io/Logging_0686/klagomål/A 58-2023 FSC-klagomål.docx", "A 58-2023")</f>
        <v/>
      </c>
      <c r="AB33">
        <f>HYPERLINK("https://klasma.github.io/Logging_0686/klagomålsmail/A 58-2023 FSC-klagomål mail.docx", "A 58-2023")</f>
        <v/>
      </c>
      <c r="AC33">
        <f>HYPERLINK("https://klasma.github.io/Logging_0686/tillsyn/A 58-2023 tillsynsbegäran.docx", "A 58-2023")</f>
        <v/>
      </c>
      <c r="AD33">
        <f>HYPERLINK("https://klasma.github.io/Logging_0686/tillsynsmail/A 58-2023 tillsynsbegäran mail.docx", "A 58-2023")</f>
        <v/>
      </c>
    </row>
    <row r="34" ht="15" customHeight="1">
      <c r="A34" t="inlineStr">
        <is>
          <t>A 1073-2025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46263</v>
      </c>
      <c r="F34" t="inlineStr">
        <is>
          <t>JÖNKÖPINGS LÄN</t>
        </is>
      </c>
      <c r="G34" t="inlineStr">
        <is>
          <t>EKSJÖ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Myggblomster</t>
        </is>
      </c>
      <c r="W34">
        <f>HYPERLINK("https://klasma.github.io/Logging_0686/artfynd/A 1073-2025 artfynd.xlsx", "A 1073-2025")</f>
        <v/>
      </c>
      <c r="X34">
        <f>HYPERLINK("https://klasma.github.io/Logging_0686/kartor/A 1073-2025 karta.png", "A 1073-2025")</f>
        <v/>
      </c>
      <c r="Y34">
        <f>HYPERLINK("https://klasma.github.io/Logging_0686/kartor_geotiff/A 1073-2025 georefererad karta.tif", "A 1073-2025")</f>
        <v/>
      </c>
      <c r="AA34">
        <f>HYPERLINK("https://klasma.github.io/Logging_0686/klagomål/A 1073-2025 FSC-klagomål.docx", "A 1073-2025")</f>
        <v/>
      </c>
      <c r="AB34">
        <f>HYPERLINK("https://klasma.github.io/Logging_0686/klagomålsmail/A 1073-2025 FSC-klagomål mail.docx", "A 1073-2025")</f>
        <v/>
      </c>
      <c r="AC34">
        <f>HYPERLINK("https://klasma.github.io/Logging_0686/tillsyn/A 1073-2025 tillsynsbegäran.docx", "A 1073-2025")</f>
        <v/>
      </c>
      <c r="AD34">
        <f>HYPERLINK("https://klasma.github.io/Logging_0686/tillsynsmail/A 1073-2025 tillsynsbegäran mail.docx", "A 1073-2025")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46263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Dvärgbägarlav</t>
        </is>
      </c>
      <c r="W35">
        <f>HYPERLINK("https://klasma.github.io/Logging_0686/artfynd/A 18327-2024 artfynd.xlsx", "A 18327-2024")</f>
        <v/>
      </c>
      <c r="X35">
        <f>HYPERLINK("https://klasma.github.io/Logging_0686/kartor/A 18327-2024 karta.png", "A 18327-2024")</f>
        <v/>
      </c>
      <c r="Y35">
        <f>HYPERLINK("https://klasma.github.io/Logging_0686/kartor_geotiff/A 18327-2024 georefererad karta.tif", "A 18327-2024")</f>
        <v/>
      </c>
      <c r="AA35">
        <f>HYPERLINK("https://klasma.github.io/Logging_0686/klagomål/A 18327-2024 FSC-klagomål.docx", "A 18327-2024")</f>
        <v/>
      </c>
      <c r="AB35">
        <f>HYPERLINK("https://klasma.github.io/Logging_0686/klagomålsmail/A 18327-2024 FSC-klagomål mail.docx", "A 18327-2024")</f>
        <v/>
      </c>
      <c r="AC35">
        <f>HYPERLINK("https://klasma.github.io/Logging_0686/tillsyn/A 18327-2024 tillsynsbegäran.docx", "A 18327-2024")</f>
        <v/>
      </c>
      <c r="AD35">
        <f>HYPERLINK("https://klasma.github.io/Logging_0686/tillsynsmail/A 18327-2024 tillsynsbegäran mail.docx", "A 18327-2024")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46263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46263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4446-2023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46263</v>
      </c>
      <c r="F38" t="inlineStr">
        <is>
          <t>JÖNKÖPINGS LÄN</t>
        </is>
      </c>
      <c r="G38" t="inlineStr">
        <is>
          <t>EKSJÖ</t>
        </is>
      </c>
      <c r="I38" t="n">
        <v>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Loppstarr</t>
        </is>
      </c>
      <c r="W38">
        <f>HYPERLINK("https://klasma.github.io/Logging_0686/artfynd/A 4446-2023 artfynd.xlsx", "A 4446-2023")</f>
        <v/>
      </c>
      <c r="X38">
        <f>HYPERLINK("https://klasma.github.io/Logging_0686/kartor/A 4446-2023 karta.png", "A 4446-2023")</f>
        <v/>
      </c>
      <c r="Y38">
        <f>HYPERLINK("https://klasma.github.io/Logging_0686/kartor_geotiff/A 4446-2023 georefererad karta.tif", "A 4446-2023")</f>
        <v/>
      </c>
      <c r="AA38">
        <f>HYPERLINK("https://klasma.github.io/Logging_0686/klagomål/A 4446-2023 FSC-klagomål.docx", "A 4446-2023")</f>
        <v/>
      </c>
      <c r="AB38">
        <f>HYPERLINK("https://klasma.github.io/Logging_0686/klagomålsmail/A 4446-2023 FSC-klagomål mail.docx", "A 4446-2023")</f>
        <v/>
      </c>
      <c r="AC38">
        <f>HYPERLINK("https://klasma.github.io/Logging_0686/tillsyn/A 4446-2023 tillsynsbegäran.docx", "A 4446-2023")</f>
        <v/>
      </c>
      <c r="AD38">
        <f>HYPERLINK("https://klasma.github.io/Logging_0686/tillsynsmail/A 4446-2023 tillsynsbegäran mail.docx", "A 4446-2023")</f>
        <v/>
      </c>
    </row>
    <row r="39" ht="15" customHeight="1">
      <c r="A39" t="inlineStr">
        <is>
          <t>A 41746-2023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45176</v>
      </c>
      <c r="E39" s="1" t="n">
        <v>46263</v>
      </c>
      <c r="F39" t="inlineStr">
        <is>
          <t>JÖNKÖPINGS LÄN</t>
        </is>
      </c>
      <c r="G39" t="inlineStr">
        <is>
          <t>EKSJÖ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HYPERLINK("https://klasma.github.io/Logging_0686/artfynd/A 41746-2023 artfynd.xlsx", "A 41746-2023")</f>
        <v/>
      </c>
      <c r="X39">
        <f>HYPERLINK("https://klasma.github.io/Logging_0686/kartor/A 41746-2023 karta.png", "A 41746-2023")</f>
        <v/>
      </c>
      <c r="Y39">
        <f>HYPERLINK("https://klasma.github.io/Logging_0686/kartor_geotiff/A 41746-2023 georefererad karta.tif", "A 41746-2023")</f>
        <v/>
      </c>
      <c r="AA39">
        <f>HYPERLINK("https://klasma.github.io/Logging_0686/klagomål/A 41746-2023 FSC-klagomål.docx", "A 41746-2023")</f>
        <v/>
      </c>
      <c r="AB39">
        <f>HYPERLINK("https://klasma.github.io/Logging_0686/klagomålsmail/A 41746-2023 FSC-klagomål mail.docx", "A 41746-2023")</f>
        <v/>
      </c>
      <c r="AC39">
        <f>HYPERLINK("https://klasma.github.io/Logging_0686/tillsyn/A 41746-2023 tillsynsbegäran.docx", "A 41746-2023")</f>
        <v/>
      </c>
      <c r="AD39">
        <f>HYPERLINK("https://klasma.github.io/Logging_0686/tillsynsmail/A 41746-2023 tillsynsbegäran mail.docx", "A 41746-2023")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46263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HYPERLINK("https://klasma.github.io/Logging_0686/artfynd/A 38224-2023 artfynd.xlsx", "A 38224-2023")</f>
        <v/>
      </c>
      <c r="X40">
        <f>HYPERLINK("https://klasma.github.io/Logging_0686/kartor/A 38224-2023 karta.png", "A 38224-2023")</f>
        <v/>
      </c>
      <c r="Y40">
        <f>HYPERLINK("https://klasma.github.io/Logging_0686/kartor_geotiff/A 38224-2023 georefererad karta.tif", "A 38224-2023")</f>
        <v/>
      </c>
      <c r="AA40">
        <f>HYPERLINK("https://klasma.github.io/Logging_0686/klagomål/A 38224-2023 FSC-klagomål.docx", "A 38224-2023")</f>
        <v/>
      </c>
      <c r="AB40">
        <f>HYPERLINK("https://klasma.github.io/Logging_0686/klagomålsmail/A 38224-2023 FSC-klagomål mail.docx", "A 38224-2023")</f>
        <v/>
      </c>
      <c r="AC40">
        <f>HYPERLINK("https://klasma.github.io/Logging_0686/tillsyn/A 38224-2023 tillsynsbegäran.docx", "A 38224-2023")</f>
        <v/>
      </c>
      <c r="AD40">
        <f>HYPERLINK("https://klasma.github.io/Logging_0686/tillsynsmail/A 38224-2023 tillsynsbegäran mail.docx", "A 38224-2023")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46263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46263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49412-2021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46263</v>
      </c>
      <c r="F43" t="inlineStr">
        <is>
          <t>JÖNKÖPINGS LÄN</t>
        </is>
      </c>
      <c r="G43" t="inlineStr">
        <is>
          <t>EKSJÖ</t>
        </is>
      </c>
      <c r="I43" t="n">
        <v>5.3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Ladusvala</t>
        </is>
      </c>
      <c r="W43">
        <f>HYPERLINK("https://klasma.github.io/Logging_0686/artfynd/A 49412-2021 artfynd.xlsx", "A 49412-2021")</f>
        <v/>
      </c>
      <c r="X43">
        <f>HYPERLINK("https://klasma.github.io/Logging_0686/kartor/A 49412-2021 karta.png", "A 49412-2021")</f>
        <v/>
      </c>
      <c r="Y43">
        <f>HYPERLINK("https://klasma.github.io/Logging_0686/kartor_geotiff/A 49412-2021 georefererad karta.tif", "A 49412-2021")</f>
        <v/>
      </c>
      <c r="AA43">
        <f>HYPERLINK("https://klasma.github.io/Logging_0686/klagomål/A 49412-2021 FSC-klagomål.docx", "A 49412-2021")</f>
        <v/>
      </c>
      <c r="AB43">
        <f>HYPERLINK("https://klasma.github.io/Logging_0686/klagomålsmail/A 49412-2021 FSC-klagomål mail.docx", "A 49412-2021")</f>
        <v/>
      </c>
      <c r="AC43">
        <f>HYPERLINK("https://klasma.github.io/Logging_0686/tillsyn/A 49412-2021 tillsynsbegäran.docx", "A 49412-2021")</f>
        <v/>
      </c>
      <c r="AD43">
        <f>HYPERLINK("https://klasma.github.io/Logging_0686/tillsynsmail/A 49412-2021 tillsynsbegäran mail.docx", "A 49412-2021")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46263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46263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46263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46263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46263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46263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46263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46263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46263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46263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46263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46263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46263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46263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46263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46263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46263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46263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46263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46263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46263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46263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46263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46263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46263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46263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46263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46263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46263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46263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46263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46263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46263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46263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46263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46263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46263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46263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46263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46263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46263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46263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46263</v>
      </c>
      <c r="F86" t="inlineStr">
        <is>
          <t>JÖNKÖPINGS LÄN</t>
        </is>
      </c>
      <c r="G86" t="inlineStr">
        <is>
          <t>EKSJÖ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46263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46263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46263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46263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46263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46263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46263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46263</v>
      </c>
      <c r="F94" t="inlineStr">
        <is>
          <t>JÖNKÖPINGS LÄN</t>
        </is>
      </c>
      <c r="G94" t="inlineStr">
        <is>
          <t>EKSJÖ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46263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46263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46263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46263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46263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46263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46263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46263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46263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46263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46263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46263</v>
      </c>
      <c r="F106" t="inlineStr">
        <is>
          <t>JÖNKÖPINGS LÄN</t>
        </is>
      </c>
      <c r="G106" t="inlineStr">
        <is>
          <t>EKSJÖ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46263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46263</v>
      </c>
      <c r="F108" t="inlineStr">
        <is>
          <t>JÖNKÖPINGS LÄN</t>
        </is>
      </c>
      <c r="G108" t="inlineStr">
        <is>
          <t>EKSJÖ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46263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44748</v>
      </c>
      <c r="E110" s="1" t="n">
        <v>46263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46263</v>
      </c>
      <c r="F111" t="inlineStr">
        <is>
          <t>JÖNKÖPINGS LÄN</t>
        </is>
      </c>
      <c r="G111" t="inlineStr">
        <is>
          <t>EKSJÖ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46263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46263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46263</v>
      </c>
      <c r="F114" t="inlineStr">
        <is>
          <t>JÖNKÖPINGS LÄN</t>
        </is>
      </c>
      <c r="G114" t="inlineStr">
        <is>
          <t>EKSJÖ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46263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46263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46263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43411-2022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44834</v>
      </c>
      <c r="E118" s="1" t="n">
        <v>46263</v>
      </c>
      <c r="F118" t="inlineStr">
        <is>
          <t>JÖNKÖPINGS LÄN</t>
        </is>
      </c>
      <c r="G118" t="inlineStr">
        <is>
          <t>EKSJÖ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46263</v>
      </c>
      <c r="F119" t="inlineStr">
        <is>
          <t>JÖNKÖPINGS LÄN</t>
        </is>
      </c>
      <c r="G119" t="inlineStr">
        <is>
          <t>EKSJÖ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46263</v>
      </c>
      <c r="F120" t="inlineStr">
        <is>
          <t>JÖNKÖPINGS LÄN</t>
        </is>
      </c>
      <c r="G120" t="inlineStr">
        <is>
          <t>EKSJÖ</t>
        </is>
      </c>
      <c r="H120" t="inlineStr">
        <is>
          <t>Kommuner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46263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46263</v>
      </c>
      <c r="F122" t="inlineStr">
        <is>
          <t>JÖNKÖPINGS LÄN</t>
        </is>
      </c>
      <c r="G122" t="inlineStr">
        <is>
          <t>EKSJÖ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46263</v>
      </c>
      <c r="F123" t="inlineStr">
        <is>
          <t>JÖNKÖPINGS LÄN</t>
        </is>
      </c>
      <c r="G123" t="inlineStr">
        <is>
          <t>EKSJÖ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46263</v>
      </c>
      <c r="F124" t="inlineStr">
        <is>
          <t>JÖNKÖPINGS LÄN</t>
        </is>
      </c>
      <c r="G124" t="inlineStr">
        <is>
          <t>EKSJÖ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46263</v>
      </c>
      <c r="F125" t="inlineStr">
        <is>
          <t>JÖNKÖPINGS LÄN</t>
        </is>
      </c>
      <c r="G125" t="inlineStr">
        <is>
          <t>EKSJÖ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46263</v>
      </c>
      <c r="F126" t="inlineStr">
        <is>
          <t>JÖNKÖPINGS LÄN</t>
        </is>
      </c>
      <c r="G126" t="inlineStr">
        <is>
          <t>EKSJÖ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46263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46263</v>
      </c>
      <c r="F128" t="inlineStr">
        <is>
          <t>JÖNKÖPINGS LÄN</t>
        </is>
      </c>
      <c r="G128" t="inlineStr">
        <is>
          <t>EKSJÖ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45777</v>
      </c>
      <c r="E129" s="1" t="n">
        <v>46263</v>
      </c>
      <c r="F129" t="inlineStr">
        <is>
          <t>JÖNKÖPINGS LÄN</t>
        </is>
      </c>
      <c r="G129" t="inlineStr">
        <is>
          <t>EKSJÖ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46263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46263</v>
      </c>
      <c r="F131" t="inlineStr">
        <is>
          <t>JÖNKÖPINGS LÄN</t>
        </is>
      </c>
      <c r="G131" t="inlineStr">
        <is>
          <t>EKSJÖ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46263</v>
      </c>
      <c r="F132" t="inlineStr">
        <is>
          <t>JÖNKÖPINGS LÄN</t>
        </is>
      </c>
      <c r="G132" t="inlineStr">
        <is>
          <t>EKSJÖ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45779</v>
      </c>
      <c r="E133" s="1" t="n">
        <v>46263</v>
      </c>
      <c r="F133" t="inlineStr">
        <is>
          <t>JÖNKÖPINGS LÄN</t>
        </is>
      </c>
      <c r="G133" t="inlineStr">
        <is>
          <t>EKSJÖ</t>
        </is>
      </c>
      <c r="H133" t="inlineStr">
        <is>
          <t>Kommuner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46263</v>
      </c>
      <c r="F134" t="inlineStr">
        <is>
          <t>JÖNKÖPINGS LÄN</t>
        </is>
      </c>
      <c r="G134" t="inlineStr">
        <is>
          <t>EKSJÖ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46263</v>
      </c>
      <c r="F135" t="inlineStr">
        <is>
          <t>JÖNKÖPINGS LÄN</t>
        </is>
      </c>
      <c r="G135" t="inlineStr">
        <is>
          <t>EKSJÖ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46263</v>
      </c>
      <c r="F136" t="inlineStr">
        <is>
          <t>JÖNKÖPINGS LÄN</t>
        </is>
      </c>
      <c r="G136" t="inlineStr">
        <is>
          <t>EKSJÖ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46263</v>
      </c>
      <c r="F137" t="inlineStr">
        <is>
          <t>JÖNKÖPINGS LÄN</t>
        </is>
      </c>
      <c r="G137" t="inlineStr">
        <is>
          <t>EKSJÖ</t>
        </is>
      </c>
      <c r="H137" t="inlineStr">
        <is>
          <t>Kyrkan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56689-2021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46263</v>
      </c>
      <c r="F138" t="inlineStr">
        <is>
          <t>JÖNKÖPINGS LÄN</t>
        </is>
      </c>
      <c r="G138" t="inlineStr">
        <is>
          <t>EKSJÖ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46263</v>
      </c>
      <c r="F139" t="inlineStr">
        <is>
          <t>JÖNKÖPINGS LÄN</t>
        </is>
      </c>
      <c r="G139" t="inlineStr">
        <is>
          <t>EKSJÖ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46263</v>
      </c>
      <c r="F140" t="inlineStr">
        <is>
          <t>JÖNKÖPINGS LÄN</t>
        </is>
      </c>
      <c r="G140" t="inlineStr">
        <is>
          <t>EKSJÖ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46263</v>
      </c>
      <c r="F141" t="inlineStr">
        <is>
          <t>JÖNKÖPINGS LÄN</t>
        </is>
      </c>
      <c r="G141" t="inlineStr">
        <is>
          <t>EKSJÖ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45786</v>
      </c>
      <c r="E142" s="1" t="n">
        <v>46263</v>
      </c>
      <c r="F142" t="inlineStr">
        <is>
          <t>JÖNKÖPINGS LÄN</t>
        </is>
      </c>
      <c r="G142" t="inlineStr">
        <is>
          <t>EKSJÖ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46263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44846</v>
      </c>
      <c r="E144" s="1" t="n">
        <v>46263</v>
      </c>
      <c r="F144" t="inlineStr">
        <is>
          <t>JÖNKÖPINGS LÄN</t>
        </is>
      </c>
      <c r="G144" t="inlineStr">
        <is>
          <t>EKSJÖ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46263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45837</v>
      </c>
      <c r="E146" s="1" t="n">
        <v>46263</v>
      </c>
      <c r="F146" t="inlineStr">
        <is>
          <t>JÖNKÖPINGS LÄN</t>
        </is>
      </c>
      <c r="G146" t="inlineStr">
        <is>
          <t>EKSJÖ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22987-2025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45790</v>
      </c>
      <c r="E147" s="1" t="n">
        <v>46263</v>
      </c>
      <c r="F147" t="inlineStr">
        <is>
          <t>JÖNKÖPINGS LÄN</t>
        </is>
      </c>
      <c r="G147" t="inlineStr">
        <is>
          <t>EKSJÖ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46263</v>
      </c>
      <c r="F148" t="inlineStr">
        <is>
          <t>JÖNKÖPINGS LÄN</t>
        </is>
      </c>
      <c r="G148" t="inlineStr">
        <is>
          <t>EKSJÖ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46263</v>
      </c>
      <c r="F149" t="inlineStr">
        <is>
          <t>JÖNKÖPINGS LÄN</t>
        </is>
      </c>
      <c r="G149" t="inlineStr">
        <is>
          <t>EKSJÖ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56322-2021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44477</v>
      </c>
      <c r="E150" s="1" t="n">
        <v>46263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46263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46263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46263</v>
      </c>
      <c r="F153" t="inlineStr">
        <is>
          <t>JÖNKÖPINGS LÄN</t>
        </is>
      </c>
      <c r="G153" t="inlineStr">
        <is>
          <t>EKSJÖ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46263</v>
      </c>
      <c r="F154" t="inlineStr">
        <is>
          <t>JÖNKÖPINGS LÄN</t>
        </is>
      </c>
      <c r="G154" t="inlineStr">
        <is>
          <t>EKSJÖ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46263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46263</v>
      </c>
      <c r="F156" t="inlineStr">
        <is>
          <t>JÖNKÖPINGS LÄN</t>
        </is>
      </c>
      <c r="G156" t="inlineStr">
        <is>
          <t>EKSJÖ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45533</v>
      </c>
      <c r="E157" s="1" t="n">
        <v>46263</v>
      </c>
      <c r="F157" t="inlineStr">
        <is>
          <t>JÖNKÖPINGS LÄN</t>
        </is>
      </c>
      <c r="G157" t="inlineStr">
        <is>
          <t>EKSJÖ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46263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46263</v>
      </c>
      <c r="F159" t="inlineStr">
        <is>
          <t>JÖNKÖPINGS LÄN</t>
        </is>
      </c>
      <c r="G159" t="inlineStr">
        <is>
          <t>EKSJÖ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46263</v>
      </c>
      <c r="F160" t="inlineStr">
        <is>
          <t>JÖNKÖPINGS LÄN</t>
        </is>
      </c>
      <c r="G160" t="inlineStr">
        <is>
          <t>EKSJÖ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46263</v>
      </c>
      <c r="F161" t="inlineStr">
        <is>
          <t>JÖNKÖPINGS LÄN</t>
        </is>
      </c>
      <c r="G161" t="inlineStr">
        <is>
          <t>EKSJÖ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46263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46263</v>
      </c>
      <c r="F163" t="inlineStr">
        <is>
          <t>JÖNKÖPINGS LÄN</t>
        </is>
      </c>
      <c r="G163" t="inlineStr">
        <is>
          <t>EKSJÖ</t>
        </is>
      </c>
      <c r="H163" t="inlineStr">
        <is>
          <t>Övriga Aktiebolag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46263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45195</v>
      </c>
      <c r="E165" s="1" t="n">
        <v>46263</v>
      </c>
      <c r="F165" t="inlineStr">
        <is>
          <t>JÖNKÖPINGS LÄN</t>
        </is>
      </c>
      <c r="G165" t="inlineStr">
        <is>
          <t>EKSJÖ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46263</v>
      </c>
      <c r="F166" t="inlineStr">
        <is>
          <t>JÖNKÖPINGS LÄN</t>
        </is>
      </c>
      <c r="G166" t="inlineStr">
        <is>
          <t>EKSJÖ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46263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46263</v>
      </c>
      <c r="F168" t="inlineStr">
        <is>
          <t>JÖNKÖPINGS LÄN</t>
        </is>
      </c>
      <c r="G168" t="inlineStr">
        <is>
          <t>EKSJÖ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46263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46263</v>
      </c>
      <c r="F170" t="inlineStr">
        <is>
          <t>JÖNKÖPINGS LÄN</t>
        </is>
      </c>
      <c r="G170" t="inlineStr">
        <is>
          <t>EKSJÖ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45908</v>
      </c>
      <c r="E171" s="1" t="n">
        <v>46263</v>
      </c>
      <c r="F171" t="inlineStr">
        <is>
          <t>JÖNKÖPINGS LÄN</t>
        </is>
      </c>
      <c r="G171" t="inlineStr">
        <is>
          <t>EKSJÖ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45113</v>
      </c>
      <c r="E172" s="1" t="n">
        <v>46263</v>
      </c>
      <c r="F172" t="inlineStr">
        <is>
          <t>JÖNKÖPINGS LÄN</t>
        </is>
      </c>
      <c r="G172" t="inlineStr">
        <is>
          <t>EKSJÖ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46263</v>
      </c>
      <c r="F173" t="inlineStr">
        <is>
          <t>JÖNKÖPINGS LÄN</t>
        </is>
      </c>
      <c r="G173" t="inlineStr">
        <is>
          <t>EKSJÖ</t>
        </is>
      </c>
      <c r="H173" t="inlineStr">
        <is>
          <t>Kommuner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46263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46263</v>
      </c>
      <c r="F175" t="inlineStr">
        <is>
          <t>JÖNKÖPINGS LÄN</t>
        </is>
      </c>
      <c r="G175" t="inlineStr">
        <is>
          <t>EKSJÖ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46263</v>
      </c>
      <c r="F176" t="inlineStr">
        <is>
          <t>JÖNKÖPINGS LÄN</t>
        </is>
      </c>
      <c r="G176" t="inlineStr">
        <is>
          <t>EKSJÖ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46263</v>
      </c>
      <c r="F177" t="inlineStr">
        <is>
          <t>JÖNKÖPINGS LÄN</t>
        </is>
      </c>
      <c r="G177" t="inlineStr">
        <is>
          <t>EKSJÖ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46263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46263</v>
      </c>
      <c r="F179" t="inlineStr">
        <is>
          <t>JÖNKÖPINGS LÄN</t>
        </is>
      </c>
      <c r="G179" t="inlineStr">
        <is>
          <t>EKSJÖ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46263</v>
      </c>
      <c r="F180" t="inlineStr">
        <is>
          <t>JÖNKÖPINGS LÄN</t>
        </is>
      </c>
      <c r="G180" t="inlineStr">
        <is>
          <t>EKSJÖ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46263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46263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46263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45727</v>
      </c>
      <c r="E184" s="1" t="n">
        <v>46263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46263</v>
      </c>
      <c r="F185" t="inlineStr">
        <is>
          <t>JÖNKÖPINGS LÄN</t>
        </is>
      </c>
      <c r="G185" t="inlineStr">
        <is>
          <t>EKSJÖ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44526-2025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45916</v>
      </c>
      <c r="E186" s="1" t="n">
        <v>46263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14382-2025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45741</v>
      </c>
      <c r="E187" s="1" t="n">
        <v>46263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46263</v>
      </c>
      <c r="F188" t="inlineStr">
        <is>
          <t>JÖNKÖPINGS LÄN</t>
        </is>
      </c>
      <c r="G188" t="inlineStr">
        <is>
          <t>EKSJÖ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46263</v>
      </c>
      <c r="F189" t="inlineStr">
        <is>
          <t>JÖNKÖPINGS LÄN</t>
        </is>
      </c>
      <c r="G189" t="inlineStr">
        <is>
          <t>EKSJÖ</t>
        </is>
      </c>
      <c r="H189" t="inlineStr">
        <is>
          <t>Kyrkan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46263</v>
      </c>
      <c r="F190" t="inlineStr">
        <is>
          <t>JÖNKÖPINGS LÄN</t>
        </is>
      </c>
      <c r="G190" t="inlineStr">
        <is>
          <t>EKSJÖ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44861</v>
      </c>
      <c r="E191" s="1" t="n">
        <v>46263</v>
      </c>
      <c r="F191" t="inlineStr">
        <is>
          <t>JÖNKÖPINGS LÄN</t>
        </is>
      </c>
      <c r="G191" t="inlineStr">
        <is>
          <t>EKSJÖ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45485</v>
      </c>
      <c r="E192" s="1" t="n">
        <v>46263</v>
      </c>
      <c r="F192" t="inlineStr">
        <is>
          <t>JÖNKÖPINGS LÄN</t>
        </is>
      </c>
      <c r="G192" t="inlineStr">
        <is>
          <t>EKSJÖ</t>
        </is>
      </c>
      <c r="H192" t="inlineStr">
        <is>
          <t>Övriga Aktiebolag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46263</v>
      </c>
      <c r="F193" t="inlineStr">
        <is>
          <t>JÖNKÖPINGS LÄN</t>
        </is>
      </c>
      <c r="G193" t="inlineStr">
        <is>
          <t>EKSJÖ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46263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46263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46263</v>
      </c>
      <c r="F196" t="inlineStr">
        <is>
          <t>JÖNKÖPINGS LÄN</t>
        </is>
      </c>
      <c r="G196" t="inlineStr">
        <is>
          <t>EKSJÖ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46263</v>
      </c>
      <c r="F197" t="inlineStr">
        <is>
          <t>JÖNKÖPINGS LÄN</t>
        </is>
      </c>
      <c r="G197" t="inlineStr">
        <is>
          <t>EKSJÖ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46263</v>
      </c>
      <c r="F198" t="inlineStr">
        <is>
          <t>JÖNKÖPINGS LÄN</t>
        </is>
      </c>
      <c r="G198" t="inlineStr">
        <is>
          <t>EKSJÖ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45624</v>
      </c>
      <c r="E199" s="1" t="n">
        <v>46263</v>
      </c>
      <c r="F199" t="inlineStr">
        <is>
          <t>JÖNKÖPINGS LÄN</t>
        </is>
      </c>
      <c r="G199" t="inlineStr">
        <is>
          <t>EKSJÖ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46263</v>
      </c>
      <c r="F200" t="inlineStr">
        <is>
          <t>JÖNKÖPINGS LÄN</t>
        </is>
      </c>
      <c r="G200" t="inlineStr">
        <is>
          <t>EKSJÖ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45533</v>
      </c>
      <c r="E201" s="1" t="n">
        <v>46263</v>
      </c>
      <c r="F201" t="inlineStr">
        <is>
          <t>JÖNKÖPINGS LÄN</t>
        </is>
      </c>
      <c r="G201" t="inlineStr">
        <is>
          <t>EKSJÖ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46263</v>
      </c>
      <c r="F202" t="inlineStr">
        <is>
          <t>JÖNKÖPINGS LÄN</t>
        </is>
      </c>
      <c r="G202" t="inlineStr">
        <is>
          <t>EKSJÖ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46263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44600</v>
      </c>
      <c r="E204" s="1" t="n">
        <v>46263</v>
      </c>
      <c r="F204" t="inlineStr">
        <is>
          <t>JÖNKÖPINGS LÄN</t>
        </is>
      </c>
      <c r="G204" t="inlineStr">
        <is>
          <t>EKSJÖ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46263</v>
      </c>
      <c r="F205" t="inlineStr">
        <is>
          <t>JÖNKÖPINGS LÄN</t>
        </is>
      </c>
      <c r="G205" t="inlineStr">
        <is>
          <t>EKSJÖ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44909</v>
      </c>
      <c r="E206" s="1" t="n">
        <v>46263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46263</v>
      </c>
      <c r="F207" t="inlineStr">
        <is>
          <t>JÖNKÖPINGS LÄN</t>
        </is>
      </c>
      <c r="G207" t="inlineStr">
        <is>
          <t>EKSJÖ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46263</v>
      </c>
      <c r="F208" t="inlineStr">
        <is>
          <t>JÖNKÖPINGS LÄN</t>
        </is>
      </c>
      <c r="G208" t="inlineStr">
        <is>
          <t>EKSJÖ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46263</v>
      </c>
      <c r="F209" t="inlineStr">
        <is>
          <t>JÖNKÖPINGS LÄN</t>
        </is>
      </c>
      <c r="G209" t="inlineStr">
        <is>
          <t>EKSJÖ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59050-2021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46263</v>
      </c>
      <c r="F210" t="inlineStr">
        <is>
          <t>JÖNKÖPINGS LÄN</t>
        </is>
      </c>
      <c r="G210" t="inlineStr">
        <is>
          <t>EKSJÖ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46263</v>
      </c>
      <c r="F211" t="inlineStr">
        <is>
          <t>JÖNKÖPINGS LÄN</t>
        </is>
      </c>
      <c r="G211" t="inlineStr">
        <is>
          <t>EKSJÖ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46263</v>
      </c>
      <c r="F212" t="inlineStr">
        <is>
          <t>JÖNKÖPINGS LÄN</t>
        </is>
      </c>
      <c r="G212" t="inlineStr">
        <is>
          <t>EKSJÖ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46263</v>
      </c>
      <c r="F213" t="inlineStr">
        <is>
          <t>JÖNKÖPINGS LÄN</t>
        </is>
      </c>
      <c r="G213" t="inlineStr">
        <is>
          <t>EKSJÖ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46263</v>
      </c>
      <c r="F214" t="inlineStr">
        <is>
          <t>JÖNKÖPINGS LÄN</t>
        </is>
      </c>
      <c r="G214" t="inlineStr">
        <is>
          <t>EKSJÖ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46263</v>
      </c>
      <c r="F215" t="inlineStr">
        <is>
          <t>JÖNKÖPINGS LÄN</t>
        </is>
      </c>
      <c r="G215" t="inlineStr">
        <is>
          <t>EKSJÖ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45218</v>
      </c>
      <c r="E216" s="1" t="n">
        <v>46263</v>
      </c>
      <c r="F216" t="inlineStr">
        <is>
          <t>JÖNKÖPINGS LÄN</t>
        </is>
      </c>
      <c r="G216" t="inlineStr">
        <is>
          <t>EKSJÖ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46263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46263</v>
      </c>
      <c r="F218" t="inlineStr">
        <is>
          <t>JÖNKÖPINGS LÄN</t>
        </is>
      </c>
      <c r="G218" t="inlineStr">
        <is>
          <t>EKSJÖ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46263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46263</v>
      </c>
      <c r="F220" t="inlineStr">
        <is>
          <t>JÖNKÖPINGS LÄN</t>
        </is>
      </c>
      <c r="G220" t="inlineStr">
        <is>
          <t>EKSJÖ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46263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45991</v>
      </c>
      <c r="E222" s="1" t="n">
        <v>46263</v>
      </c>
      <c r="F222" t="inlineStr">
        <is>
          <t>JÖNKÖPINGS LÄN</t>
        </is>
      </c>
      <c r="G222" t="inlineStr">
        <is>
          <t>EKSJÖ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46263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45513</v>
      </c>
      <c r="E224" s="1" t="n">
        <v>46263</v>
      </c>
      <c r="F224" t="inlineStr">
        <is>
          <t>JÖNKÖPINGS LÄN</t>
        </is>
      </c>
      <c r="G224" t="inlineStr">
        <is>
          <t>EKSJÖ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46263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46263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46263</v>
      </c>
      <c r="F227" t="inlineStr">
        <is>
          <t>JÖNKÖPINGS LÄN</t>
        </is>
      </c>
      <c r="G227" t="inlineStr">
        <is>
          <t>EKSJÖ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46263</v>
      </c>
      <c r="F228" t="inlineStr">
        <is>
          <t>JÖNKÖPINGS LÄN</t>
        </is>
      </c>
      <c r="G228" t="inlineStr">
        <is>
          <t>EKSJÖ</t>
        </is>
      </c>
      <c r="H228" t="inlineStr">
        <is>
          <t>Övriga Aktiebolag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46263</v>
      </c>
      <c r="F229" t="inlineStr">
        <is>
          <t>JÖNKÖPINGS LÄN</t>
        </is>
      </c>
      <c r="G229" t="inlineStr">
        <is>
          <t>EKSJÖ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55633-2022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46263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46263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46263</v>
      </c>
      <c r="F232" t="inlineStr">
        <is>
          <t>JÖNKÖPINGS LÄN</t>
        </is>
      </c>
      <c r="G232" t="inlineStr">
        <is>
          <t>EKSJÖ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41440-2024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45560</v>
      </c>
      <c r="E233" s="1" t="n">
        <v>46263</v>
      </c>
      <c r="F233" t="inlineStr">
        <is>
          <t>JÖNKÖPINGS LÄN</t>
        </is>
      </c>
      <c r="G233" t="inlineStr">
        <is>
          <t>EKSJÖ</t>
        </is>
      </c>
      <c r="H233" t="inlineStr">
        <is>
          <t>Kyrkan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45372</v>
      </c>
      <c r="E234" s="1" t="n">
        <v>46263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46263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44623</v>
      </c>
      <c r="E236" s="1" t="n">
        <v>46263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45384</v>
      </c>
      <c r="E237" s="1" t="n">
        <v>46263</v>
      </c>
      <c r="F237" t="inlineStr">
        <is>
          <t>JÖNKÖPINGS LÄN</t>
        </is>
      </c>
      <c r="G237" t="inlineStr">
        <is>
          <t>EKSJÖ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45576</v>
      </c>
      <c r="E238" s="1" t="n">
        <v>46263</v>
      </c>
      <c r="F238" t="inlineStr">
        <is>
          <t>JÖNKÖPINGS LÄN</t>
        </is>
      </c>
      <c r="G238" t="inlineStr">
        <is>
          <t>EKSJÖ</t>
        </is>
      </c>
      <c r="H238" t="inlineStr">
        <is>
          <t>Övriga Aktiebolag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45533</v>
      </c>
      <c r="E239" s="1" t="n">
        <v>46263</v>
      </c>
      <c r="F239" t="inlineStr">
        <is>
          <t>JÖNKÖPINGS LÄN</t>
        </is>
      </c>
      <c r="G239" t="inlineStr">
        <is>
          <t>EKSJÖ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46263</v>
      </c>
      <c r="F240" t="inlineStr">
        <is>
          <t>JÖNKÖPINGS LÄN</t>
        </is>
      </c>
      <c r="G240" t="inlineStr">
        <is>
          <t>EKSJÖ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46263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46263</v>
      </c>
      <c r="F242" t="inlineStr">
        <is>
          <t>JÖNKÖPINGS LÄN</t>
        </is>
      </c>
      <c r="G242" t="inlineStr">
        <is>
          <t>EKSJÖ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46263</v>
      </c>
      <c r="F243" t="inlineStr">
        <is>
          <t>JÖNKÖPINGS LÄN</t>
        </is>
      </c>
      <c r="G243" t="inlineStr">
        <is>
          <t>EKSJÖ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46263</v>
      </c>
      <c r="F244" t="inlineStr">
        <is>
          <t>JÖNKÖPINGS LÄN</t>
        </is>
      </c>
      <c r="G244" t="inlineStr">
        <is>
          <t>EKSJÖ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46263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46263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45842</v>
      </c>
      <c r="E247" s="1" t="n">
        <v>46263</v>
      </c>
      <c r="F247" t="inlineStr">
        <is>
          <t>JÖNKÖPINGS LÄN</t>
        </is>
      </c>
      <c r="G247" t="inlineStr">
        <is>
          <t>EKSJÖ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44701</v>
      </c>
      <c r="E248" s="1" t="n">
        <v>46263</v>
      </c>
      <c r="F248" t="inlineStr">
        <is>
          <t>JÖNKÖPINGS LÄN</t>
        </is>
      </c>
      <c r="G248" t="inlineStr">
        <is>
          <t>EKSJÖ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46263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22456-2022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44713</v>
      </c>
      <c r="E250" s="1" t="n">
        <v>46263</v>
      </c>
      <c r="F250" t="inlineStr">
        <is>
          <t>JÖNKÖPINGS LÄN</t>
        </is>
      </c>
      <c r="G250" t="inlineStr">
        <is>
          <t>EKSJÖ</t>
        </is>
      </c>
      <c r="H250" t="inlineStr">
        <is>
          <t>Kyrkan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46263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17.5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46263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46263</v>
      </c>
      <c r="F253" t="inlineStr">
        <is>
          <t>JÖNKÖPINGS LÄN</t>
        </is>
      </c>
      <c r="G253" t="inlineStr">
        <is>
          <t>EKSJÖ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45695</v>
      </c>
      <c r="E254" s="1" t="n">
        <v>46263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46263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44803</v>
      </c>
      <c r="E256" s="1" t="n">
        <v>46263</v>
      </c>
      <c r="F256" t="inlineStr">
        <is>
          <t>JÖNKÖPINGS LÄN</t>
        </is>
      </c>
      <c r="G256" t="inlineStr">
        <is>
          <t>EKSJÖ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46263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44909</v>
      </c>
      <c r="E258" s="1" t="n">
        <v>46263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45461</v>
      </c>
      <c r="E259" s="1" t="n">
        <v>46263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46263</v>
      </c>
      <c r="F260" t="inlineStr">
        <is>
          <t>JÖNKÖPINGS LÄN</t>
        </is>
      </c>
      <c r="G260" t="inlineStr">
        <is>
          <t>EKSJÖ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45860</v>
      </c>
      <c r="E261" s="1" t="n">
        <v>46263</v>
      </c>
      <c r="F261" t="inlineStr">
        <is>
          <t>JÖNKÖPINGS LÄN</t>
        </is>
      </c>
      <c r="G261" t="inlineStr">
        <is>
          <t>EKSJÖ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45860</v>
      </c>
      <c r="E262" s="1" t="n">
        <v>46263</v>
      </c>
      <c r="F262" t="inlineStr">
        <is>
          <t>JÖNKÖPINGS LÄN</t>
        </is>
      </c>
      <c r="G262" t="inlineStr">
        <is>
          <t>EKSJÖ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46263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46263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46263</v>
      </c>
      <c r="F265" t="inlineStr">
        <is>
          <t>JÖNKÖPINGS LÄN</t>
        </is>
      </c>
      <c r="G265" t="inlineStr">
        <is>
          <t>EKSJÖ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46263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46263</v>
      </c>
      <c r="F267" t="inlineStr">
        <is>
          <t>JÖNKÖPINGS LÄN</t>
        </is>
      </c>
      <c r="G267" t="inlineStr">
        <is>
          <t>EKSJÖ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46263</v>
      </c>
      <c r="F268" t="inlineStr">
        <is>
          <t>JÖNKÖPINGS LÄN</t>
        </is>
      </c>
      <c r="G268" t="inlineStr">
        <is>
          <t>EKSJÖ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46263</v>
      </c>
      <c r="F269" t="inlineStr">
        <is>
          <t>JÖNKÖPINGS LÄN</t>
        </is>
      </c>
      <c r="G269" t="inlineStr">
        <is>
          <t>EKSJÖ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46263</v>
      </c>
      <c r="F270" t="inlineStr">
        <is>
          <t>JÖNKÖPINGS LÄN</t>
        </is>
      </c>
      <c r="G270" t="inlineStr">
        <is>
          <t>EKSJÖ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13273-2023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45003</v>
      </c>
      <c r="E271" s="1" t="n">
        <v>46263</v>
      </c>
      <c r="F271" t="inlineStr">
        <is>
          <t>JÖNKÖPINGS LÄN</t>
        </is>
      </c>
      <c r="G271" t="inlineStr">
        <is>
          <t>EKSJÖ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46263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46263</v>
      </c>
      <c r="F273" t="inlineStr">
        <is>
          <t>JÖNKÖPINGS LÄN</t>
        </is>
      </c>
      <c r="G273" t="inlineStr">
        <is>
          <t>EKSJÖ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44719</v>
      </c>
      <c r="E274" s="1" t="n">
        <v>46263</v>
      </c>
      <c r="F274" t="inlineStr">
        <is>
          <t>JÖNKÖPINGS LÄN</t>
        </is>
      </c>
      <c r="G274" t="inlineStr">
        <is>
          <t>EKSJÖ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46263</v>
      </c>
      <c r="F275" t="inlineStr">
        <is>
          <t>JÖNKÖPINGS LÄN</t>
        </is>
      </c>
      <c r="G275" t="inlineStr">
        <is>
          <t>EKSJÖ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46263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45096</v>
      </c>
      <c r="E277" s="1" t="n">
        <v>46263</v>
      </c>
      <c r="F277" t="inlineStr">
        <is>
          <t>JÖNKÖPINGS LÄN</t>
        </is>
      </c>
      <c r="G277" t="inlineStr">
        <is>
          <t>EKSJÖ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46263</v>
      </c>
      <c r="F278" t="inlineStr">
        <is>
          <t>JÖNKÖPINGS LÄN</t>
        </is>
      </c>
      <c r="G278" t="inlineStr">
        <is>
          <t>EKSJÖ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54292-2023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45232</v>
      </c>
      <c r="E279" s="1" t="n">
        <v>46263</v>
      </c>
      <c r="F279" t="inlineStr">
        <is>
          <t>JÖNKÖPINGS LÄN</t>
        </is>
      </c>
      <c r="G279" t="inlineStr">
        <is>
          <t>EKSJÖ</t>
        </is>
      </c>
      <c r="I279" t="n">
        <v>18.3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45114</v>
      </c>
      <c r="E280" s="1" t="n">
        <v>46263</v>
      </c>
      <c r="F280" t="inlineStr">
        <is>
          <t>JÖNKÖPINGS LÄN</t>
        </is>
      </c>
      <c r="G280" t="inlineStr">
        <is>
          <t>EKSJÖ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46263</v>
      </c>
      <c r="F281" t="inlineStr">
        <is>
          <t>JÖNKÖPINGS LÄN</t>
        </is>
      </c>
      <c r="G281" t="inlineStr">
        <is>
          <t>EKSJÖ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44783</v>
      </c>
      <c r="E282" s="1" t="n">
        <v>46263</v>
      </c>
      <c r="F282" t="inlineStr">
        <is>
          <t>JÖNKÖPINGS LÄN</t>
        </is>
      </c>
      <c r="G282" t="inlineStr">
        <is>
          <t>EKSJÖ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46263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46263</v>
      </c>
      <c r="F284" t="inlineStr">
        <is>
          <t>JÖNKÖPINGS LÄN</t>
        </is>
      </c>
      <c r="G284" t="inlineStr">
        <is>
          <t>EKSJÖ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46263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45485</v>
      </c>
      <c r="E286" s="1" t="n">
        <v>46263</v>
      </c>
      <c r="F286" t="inlineStr">
        <is>
          <t>JÖNKÖPINGS LÄN</t>
        </is>
      </c>
      <c r="G286" t="inlineStr">
        <is>
          <t>EKSJÖ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46263</v>
      </c>
      <c r="F287" t="inlineStr">
        <is>
          <t>JÖNKÖPINGS LÄN</t>
        </is>
      </c>
      <c r="G287" t="inlineStr">
        <is>
          <t>EKSJÖ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46263</v>
      </c>
      <c r="F288" t="inlineStr">
        <is>
          <t>JÖNKÖPINGS LÄN</t>
        </is>
      </c>
      <c r="G288" t="inlineStr">
        <is>
          <t>EKSJÖ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62892-2025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46263</v>
      </c>
      <c r="F289" t="inlineStr">
        <is>
          <t>JÖNKÖPINGS LÄN</t>
        </is>
      </c>
      <c r="G289" t="inlineStr">
        <is>
          <t>EKSJÖ</t>
        </is>
      </c>
      <c r="H289" t="inlineStr">
        <is>
          <t>Kommuner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46263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46263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46263</v>
      </c>
      <c r="F292" t="inlineStr">
        <is>
          <t>JÖNKÖPINGS LÄN</t>
        </is>
      </c>
      <c r="G292" t="inlineStr">
        <is>
          <t>EKSJÖ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46263</v>
      </c>
      <c r="F293" t="inlineStr">
        <is>
          <t>JÖNKÖPINGS LÄN</t>
        </is>
      </c>
      <c r="G293" t="inlineStr">
        <is>
          <t>EKSJÖ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46263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45706</v>
      </c>
      <c r="E295" s="1" t="n">
        <v>46263</v>
      </c>
      <c r="F295" t="inlineStr">
        <is>
          <t>JÖNKÖPINGS LÄN</t>
        </is>
      </c>
      <c r="G295" t="inlineStr">
        <is>
          <t>EKSJÖ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44813</v>
      </c>
      <c r="E296" s="1" t="n">
        <v>46263</v>
      </c>
      <c r="F296" t="inlineStr">
        <is>
          <t>JÖNKÖPINGS LÄN</t>
        </is>
      </c>
      <c r="G296" t="inlineStr">
        <is>
          <t>EKSJÖ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45224</v>
      </c>
      <c r="E297" s="1" t="n">
        <v>46263</v>
      </c>
      <c r="F297" t="inlineStr">
        <is>
          <t>JÖNKÖPINGS LÄN</t>
        </is>
      </c>
      <c r="G297" t="inlineStr">
        <is>
          <t>EKSJÖ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45715</v>
      </c>
      <c r="E298" s="1" t="n">
        <v>46263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45715</v>
      </c>
      <c r="E299" s="1" t="n">
        <v>46263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46263</v>
      </c>
      <c r="F300" t="inlineStr">
        <is>
          <t>JÖNKÖPINGS LÄN</t>
        </is>
      </c>
      <c r="G300" t="inlineStr">
        <is>
          <t>EKSJÖ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46263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46263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44945</v>
      </c>
      <c r="E303" s="1" t="n">
        <v>46263</v>
      </c>
      <c r="F303" t="inlineStr">
        <is>
          <t>JÖNKÖPINGS LÄN</t>
        </is>
      </c>
      <c r="G303" t="inlineStr">
        <is>
          <t>EKSJÖ</t>
        </is>
      </c>
      <c r="H303" t="inlineStr">
        <is>
          <t>Övriga Aktiebolag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46263</v>
      </c>
      <c r="F304" t="inlineStr">
        <is>
          <t>JÖNKÖPINGS LÄN</t>
        </is>
      </c>
      <c r="G304" t="inlineStr">
        <is>
          <t>EKSJÖ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46263</v>
      </c>
      <c r="F305" t="inlineStr">
        <is>
          <t>JÖNKÖPINGS LÄN</t>
        </is>
      </c>
      <c r="G305" t="inlineStr">
        <is>
          <t>EKSJÖ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46263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46263</v>
      </c>
      <c r="F307" t="inlineStr">
        <is>
          <t>JÖNKÖPINGS LÄN</t>
        </is>
      </c>
      <c r="G307" t="inlineStr">
        <is>
          <t>EKSJÖ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46263</v>
      </c>
      <c r="F308" t="inlineStr">
        <is>
          <t>JÖNKÖPINGS LÄN</t>
        </is>
      </c>
      <c r="G308" t="inlineStr">
        <is>
          <t>EKSJÖ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46263</v>
      </c>
      <c r="F309" t="inlineStr">
        <is>
          <t>JÖNKÖPINGS LÄN</t>
        </is>
      </c>
      <c r="G309" t="inlineStr">
        <is>
          <t>EKSJÖ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46263</v>
      </c>
      <c r="F310" t="inlineStr">
        <is>
          <t>JÖNKÖPINGS LÄN</t>
        </is>
      </c>
      <c r="G310" t="inlineStr">
        <is>
          <t>EKSJÖ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45418</v>
      </c>
      <c r="E311" s="1" t="n">
        <v>46263</v>
      </c>
      <c r="F311" t="inlineStr">
        <is>
          <t>JÖNKÖPINGS LÄN</t>
        </is>
      </c>
      <c r="G311" t="inlineStr">
        <is>
          <t>EKSJÖ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46263</v>
      </c>
      <c r="F312" t="inlineStr">
        <is>
          <t>JÖNKÖPINGS LÄN</t>
        </is>
      </c>
      <c r="G312" t="inlineStr">
        <is>
          <t>EKSJÖ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45741</v>
      </c>
      <c r="E313" s="1" t="n">
        <v>46263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45071</v>
      </c>
      <c r="E314" s="1" t="n">
        <v>46263</v>
      </c>
      <c r="F314" t="inlineStr">
        <is>
          <t>JÖNKÖPINGS LÄN</t>
        </is>
      </c>
      <c r="G314" t="inlineStr">
        <is>
          <t>EKSJÖ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46263</v>
      </c>
      <c r="F315" t="inlineStr">
        <is>
          <t>JÖNKÖPINGS LÄN</t>
        </is>
      </c>
      <c r="G315" t="inlineStr">
        <is>
          <t>EKSJÖ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46263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46263</v>
      </c>
      <c r="F317" t="inlineStr">
        <is>
          <t>JÖNKÖPINGS LÄN</t>
        </is>
      </c>
      <c r="G317" t="inlineStr">
        <is>
          <t>EKSJÖ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46263</v>
      </c>
      <c r="F318" t="inlineStr">
        <is>
          <t>JÖNKÖPINGS LÄN</t>
        </is>
      </c>
      <c r="G318" t="inlineStr">
        <is>
          <t>EKSJÖ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46263</v>
      </c>
      <c r="F319" t="inlineStr">
        <is>
          <t>JÖNKÖPINGS LÄN</t>
        </is>
      </c>
      <c r="G319" t="inlineStr">
        <is>
          <t>EKSJÖ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46263</v>
      </c>
      <c r="F320" t="inlineStr">
        <is>
          <t>JÖNKÖPINGS LÄN</t>
        </is>
      </c>
      <c r="G320" t="inlineStr">
        <is>
          <t>EKSJÖ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46263</v>
      </c>
      <c r="F321" t="inlineStr">
        <is>
          <t>JÖNKÖPINGS LÄN</t>
        </is>
      </c>
      <c r="G321" t="inlineStr">
        <is>
          <t>EKSJÖ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46263</v>
      </c>
      <c r="F322" t="inlineStr">
        <is>
          <t>JÖNKÖPINGS LÄN</t>
        </is>
      </c>
      <c r="G322" t="inlineStr">
        <is>
          <t>EKSJÖ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46263</v>
      </c>
      <c r="F323" t="inlineStr">
        <is>
          <t>JÖNKÖPINGS LÄN</t>
        </is>
      </c>
      <c r="G323" t="inlineStr">
        <is>
          <t>EKSJÖ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44908</v>
      </c>
      <c r="E324" s="1" t="n">
        <v>46263</v>
      </c>
      <c r="F324" t="inlineStr">
        <is>
          <t>JÖNKÖPINGS LÄN</t>
        </is>
      </c>
      <c r="G324" t="inlineStr">
        <is>
          <t>EKSJÖ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46263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46263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46263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46263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46263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46263</v>
      </c>
      <c r="F330" t="inlineStr">
        <is>
          <t>JÖNKÖPINGS LÄN</t>
        </is>
      </c>
      <c r="G330" t="inlineStr">
        <is>
          <t>EKSJÖ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46263</v>
      </c>
      <c r="F331" t="inlineStr">
        <is>
          <t>JÖNKÖPINGS LÄN</t>
        </is>
      </c>
      <c r="G331" t="inlineStr">
        <is>
          <t>EKSJÖ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56469-2021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44480</v>
      </c>
      <c r="E332" s="1" t="n">
        <v>46263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46263</v>
      </c>
      <c r="F333" t="inlineStr">
        <is>
          <t>JÖNKÖPINGS LÄN</t>
        </is>
      </c>
      <c r="G333" t="inlineStr">
        <is>
          <t>EKSJÖ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46263</v>
      </c>
      <c r="F334" t="inlineStr">
        <is>
          <t>JÖNKÖPINGS LÄN</t>
        </is>
      </c>
      <c r="G334" t="inlineStr">
        <is>
          <t>EKSJÖ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46263</v>
      </c>
      <c r="F335" t="inlineStr">
        <is>
          <t>JÖNKÖPINGS LÄN</t>
        </is>
      </c>
      <c r="G335" t="inlineStr">
        <is>
          <t>EKSJÖ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46263</v>
      </c>
      <c r="F336" t="inlineStr">
        <is>
          <t>JÖNKÖPINGS LÄN</t>
        </is>
      </c>
      <c r="G336" t="inlineStr">
        <is>
          <t>EKSJÖ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46263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46263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46049</v>
      </c>
      <c r="E339" s="1" t="n">
        <v>46263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46263</v>
      </c>
      <c r="F340" t="inlineStr">
        <is>
          <t>JÖNKÖPINGS LÄN</t>
        </is>
      </c>
      <c r="G340" t="inlineStr">
        <is>
          <t>EKSJÖ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46263</v>
      </c>
      <c r="F341" t="inlineStr">
        <is>
          <t>JÖNKÖPINGS LÄN</t>
        </is>
      </c>
      <c r="G341" t="inlineStr">
        <is>
          <t>EKSJÖ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45092</v>
      </c>
      <c r="E342" s="1" t="n">
        <v>46263</v>
      </c>
      <c r="F342" t="inlineStr">
        <is>
          <t>JÖNKÖPINGS LÄN</t>
        </is>
      </c>
      <c r="G342" t="inlineStr">
        <is>
          <t>EKSJÖ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46263</v>
      </c>
      <c r="F343" t="inlineStr">
        <is>
          <t>JÖNKÖPINGS LÄN</t>
        </is>
      </c>
      <c r="G343" t="inlineStr">
        <is>
          <t>EKSJÖ</t>
        </is>
      </c>
      <c r="H343" t="inlineStr">
        <is>
          <t>Kyrkan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46263</v>
      </c>
      <c r="F344" t="inlineStr">
        <is>
          <t>JÖNKÖPINGS LÄN</t>
        </is>
      </c>
      <c r="G344" t="inlineStr">
        <is>
          <t>EKSJÖ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45391</v>
      </c>
      <c r="E345" s="1" t="n">
        <v>46263</v>
      </c>
      <c r="F345" t="inlineStr">
        <is>
          <t>JÖNKÖPINGS LÄN</t>
        </is>
      </c>
      <c r="G345" t="inlineStr">
        <is>
          <t>EKSJÖ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46263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46263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44917</v>
      </c>
      <c r="E348" s="1" t="n">
        <v>46263</v>
      </c>
      <c r="F348" t="inlineStr">
        <is>
          <t>JÖNKÖPINGS LÄN</t>
        </is>
      </c>
      <c r="G348" t="inlineStr">
        <is>
          <t>EKSJÖ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45537</v>
      </c>
      <c r="E349" s="1" t="n">
        <v>46263</v>
      </c>
      <c r="F349" t="inlineStr">
        <is>
          <t>JÖNKÖPINGS LÄN</t>
        </is>
      </c>
      <c r="G349" t="inlineStr">
        <is>
          <t>EKSJÖ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46263</v>
      </c>
      <c r="F350" t="inlineStr">
        <is>
          <t>JÖNKÖPINGS LÄN</t>
        </is>
      </c>
      <c r="G350" t="inlineStr">
        <is>
          <t>EKSJÖ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46263</v>
      </c>
      <c r="F351" t="inlineStr">
        <is>
          <t>JÖNKÖPINGS LÄN</t>
        </is>
      </c>
      <c r="G351" t="inlineStr">
        <is>
          <t>EKSJÖ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45560</v>
      </c>
      <c r="E352" s="1" t="n">
        <v>46263</v>
      </c>
      <c r="F352" t="inlineStr">
        <is>
          <t>JÖNKÖPINGS LÄN</t>
        </is>
      </c>
      <c r="G352" t="inlineStr">
        <is>
          <t>EKSJÖ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64419-2021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44511</v>
      </c>
      <c r="E353" s="1" t="n">
        <v>46263</v>
      </c>
      <c r="F353" t="inlineStr">
        <is>
          <t>JÖNKÖPINGS LÄN</t>
        </is>
      </c>
      <c r="G353" t="inlineStr">
        <is>
          <t>EKSJÖ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46263</v>
      </c>
      <c r="F354" t="inlineStr">
        <is>
          <t>JÖNKÖPINGS LÄN</t>
        </is>
      </c>
      <c r="G354" t="inlineStr">
        <is>
          <t>EKSJÖ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46263</v>
      </c>
      <c r="F355" t="inlineStr">
        <is>
          <t>JÖNKÖPINGS LÄN</t>
        </is>
      </c>
      <c r="G355" t="inlineStr">
        <is>
          <t>EKSJÖ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45315</v>
      </c>
      <c r="E356" s="1" t="n">
        <v>46263</v>
      </c>
      <c r="F356" t="inlineStr">
        <is>
          <t>JÖNKÖPINGS LÄN</t>
        </is>
      </c>
      <c r="G356" t="inlineStr">
        <is>
          <t>EKSJÖ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45664</v>
      </c>
      <c r="E357" s="1" t="n">
        <v>46263</v>
      </c>
      <c r="F357" t="inlineStr">
        <is>
          <t>JÖNKÖPINGS LÄN</t>
        </is>
      </c>
      <c r="G357" t="inlineStr">
        <is>
          <t>EKSJÖ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46263</v>
      </c>
      <c r="F358" t="inlineStr">
        <is>
          <t>JÖNKÖPINGS LÄN</t>
        </is>
      </c>
      <c r="G358" t="inlineStr">
        <is>
          <t>EKSJÖ</t>
        </is>
      </c>
      <c r="H358" t="inlineStr">
        <is>
          <t>Kommuner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8165-2022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44609</v>
      </c>
      <c r="E359" s="1" t="n">
        <v>46263</v>
      </c>
      <c r="F359" t="inlineStr">
        <is>
          <t>JÖNKÖPINGS LÄN</t>
        </is>
      </c>
      <c r="G359" t="inlineStr">
        <is>
          <t>EKSJÖ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45251</v>
      </c>
      <c r="E360" s="1" t="n">
        <v>46263</v>
      </c>
      <c r="F360" t="inlineStr">
        <is>
          <t>JÖNKÖPINGS LÄN</t>
        </is>
      </c>
      <c r="G360" t="inlineStr">
        <is>
          <t>EKSJÖ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45161</v>
      </c>
      <c r="E361" s="1" t="n">
        <v>46263</v>
      </c>
      <c r="F361" t="inlineStr">
        <is>
          <t>JÖNKÖPINGS LÄN</t>
        </is>
      </c>
      <c r="G361" t="inlineStr">
        <is>
          <t>EKSJÖ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45344</v>
      </c>
      <c r="E362" s="1" t="n">
        <v>46263</v>
      </c>
      <c r="F362" t="inlineStr">
        <is>
          <t>JÖNKÖPINGS LÄN</t>
        </is>
      </c>
      <c r="G362" t="inlineStr">
        <is>
          <t>EKSJÖ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46263</v>
      </c>
      <c r="F363" t="inlineStr">
        <is>
          <t>JÖNKÖPINGS LÄN</t>
        </is>
      </c>
      <c r="G363" t="inlineStr">
        <is>
          <t>EKSJÖ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45635</v>
      </c>
      <c r="E364" s="1" t="n">
        <v>46263</v>
      </c>
      <c r="F364" t="inlineStr">
        <is>
          <t>JÖNKÖPINGS LÄN</t>
        </is>
      </c>
      <c r="G364" t="inlineStr">
        <is>
          <t>EKSJÖ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45071</v>
      </c>
      <c r="E365" s="1" t="n">
        <v>46263</v>
      </c>
      <c r="F365" t="inlineStr">
        <is>
          <t>JÖNKÖPINGS LÄN</t>
        </is>
      </c>
      <c r="G365" t="inlineStr">
        <is>
          <t>EKSJÖ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46263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46263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16.1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44999</v>
      </c>
      <c r="E368" s="1" t="n">
        <v>46263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44999</v>
      </c>
      <c r="E369" s="1" t="n">
        <v>46263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45329</v>
      </c>
      <c r="E370" s="1" t="n">
        <v>46263</v>
      </c>
      <c r="F370" t="inlineStr">
        <is>
          <t>JÖNKÖPINGS LÄN</t>
        </is>
      </c>
      <c r="G370" t="inlineStr">
        <is>
          <t>EKSJÖ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46263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46263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46263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46263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46263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46263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45345</v>
      </c>
      <c r="E377" s="1" t="n">
        <v>46263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44581</v>
      </c>
      <c r="E378" s="1" t="n">
        <v>46263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9058-2022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44615</v>
      </c>
      <c r="E379" s="1" t="n">
        <v>46263</v>
      </c>
      <c r="F379" t="inlineStr">
        <is>
          <t>JÖNKÖPINGS LÄN</t>
        </is>
      </c>
      <c r="G379" t="inlineStr">
        <is>
          <t>EKSJÖ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13881-2026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46263</v>
      </c>
      <c r="F380" t="inlineStr">
        <is>
          <t>JÖNKÖPINGS LÄN</t>
        </is>
      </c>
      <c r="G380" t="inlineStr">
        <is>
          <t>EKSJÖ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45173</v>
      </c>
      <c r="E381" s="1" t="n">
        <v>46263</v>
      </c>
      <c r="F381" t="inlineStr">
        <is>
          <t>JÖNKÖPINGS LÄN</t>
        </is>
      </c>
      <c r="G381" t="inlineStr">
        <is>
          <t>EKSJÖ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46263</v>
      </c>
      <c r="F382" t="inlineStr">
        <is>
          <t>JÖNKÖPINGS LÄN</t>
        </is>
      </c>
      <c r="G382" t="inlineStr">
        <is>
          <t>EKSJÖ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46263</v>
      </c>
      <c r="F383" t="inlineStr">
        <is>
          <t>JÖNKÖPINGS LÄN</t>
        </is>
      </c>
      <c r="G383" t="inlineStr">
        <is>
          <t>EKSJÖ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45204</v>
      </c>
      <c r="E384" s="1" t="n">
        <v>46263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46263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46263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46263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46263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46263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46263</v>
      </c>
      <c r="F390" t="inlineStr">
        <is>
          <t>JÖNKÖPINGS LÄN</t>
        </is>
      </c>
      <c r="G390" t="inlineStr">
        <is>
          <t>EKSJÖ</t>
        </is>
      </c>
      <c r="H390" t="inlineStr">
        <is>
          <t>Kommuner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46263</v>
      </c>
      <c r="F391" t="inlineStr">
        <is>
          <t>JÖNKÖPINGS LÄN</t>
        </is>
      </c>
      <c r="G391" t="inlineStr">
        <is>
          <t>EKSJÖ</t>
        </is>
      </c>
      <c r="H391" t="inlineStr">
        <is>
          <t>Kommuner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45686</v>
      </c>
      <c r="E392" s="1" t="n">
        <v>46263</v>
      </c>
      <c r="F392" t="inlineStr">
        <is>
          <t>JÖNKÖPINGS LÄN</t>
        </is>
      </c>
      <c r="G392" t="inlineStr">
        <is>
          <t>EKSJÖ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45677</v>
      </c>
      <c r="E393" s="1" t="n">
        <v>46263</v>
      </c>
      <c r="F393" t="inlineStr">
        <is>
          <t>JÖNKÖPINGS LÄN</t>
        </is>
      </c>
      <c r="G393" t="inlineStr">
        <is>
          <t>EKSJÖ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46263</v>
      </c>
      <c r="F394" t="inlineStr">
        <is>
          <t>JÖNKÖPINGS LÄN</t>
        </is>
      </c>
      <c r="G394" t="inlineStr">
        <is>
          <t>EKSJÖ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46263</v>
      </c>
      <c r="F395" t="inlineStr">
        <is>
          <t>JÖNKÖPINGS LÄN</t>
        </is>
      </c>
      <c r="G395" t="inlineStr">
        <is>
          <t>EKSJÖ</t>
        </is>
      </c>
      <c r="H395" t="inlineStr">
        <is>
          <t>Övriga Aktiebolag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46263</v>
      </c>
      <c r="F396" t="inlineStr">
        <is>
          <t>JÖNKÖPINGS LÄN</t>
        </is>
      </c>
      <c r="G396" t="inlineStr">
        <is>
          <t>EKSJÖ</t>
        </is>
      </c>
      <c r="H396" t="inlineStr">
        <is>
          <t>Övriga Aktiebolag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46263</v>
      </c>
      <c r="F397" t="inlineStr">
        <is>
          <t>JÖNKÖPINGS LÄN</t>
        </is>
      </c>
      <c r="G397" t="inlineStr">
        <is>
          <t>EKSJÖ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45176</v>
      </c>
      <c r="E398" s="1" t="n">
        <v>46263</v>
      </c>
      <c r="F398" t="inlineStr">
        <is>
          <t>JÖNKÖPINGS LÄN</t>
        </is>
      </c>
      <c r="G398" t="inlineStr">
        <is>
          <t>EKSJÖ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46263</v>
      </c>
      <c r="F399" t="inlineStr">
        <is>
          <t>JÖNKÖPINGS LÄN</t>
        </is>
      </c>
      <c r="G399" t="inlineStr">
        <is>
          <t>EKSJÖ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45231</v>
      </c>
      <c r="E400" s="1" t="n">
        <v>46263</v>
      </c>
      <c r="F400" t="inlineStr">
        <is>
          <t>JÖNKÖPINGS LÄN</t>
        </is>
      </c>
      <c r="G400" t="inlineStr">
        <is>
          <t>EKSJÖ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46263</v>
      </c>
      <c r="F401" t="inlineStr">
        <is>
          <t>JÖNKÖPINGS LÄN</t>
        </is>
      </c>
      <c r="G401" t="inlineStr">
        <is>
          <t>EKSJÖ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54292-2023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45232</v>
      </c>
      <c r="E402" s="1" t="n">
        <v>46263</v>
      </c>
      <c r="F402" t="inlineStr">
        <is>
          <t>JÖNKÖPINGS LÄN</t>
        </is>
      </c>
      <c r="G402" t="inlineStr">
        <is>
          <t>EKSJÖ</t>
        </is>
      </c>
      <c r="I402" t="n">
        <v>18.3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46263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45420</v>
      </c>
      <c r="E404" s="1" t="n">
        <v>46263</v>
      </c>
      <c r="F404" t="inlineStr">
        <is>
          <t>JÖNKÖPINGS LÄN</t>
        </is>
      </c>
      <c r="G404" t="inlineStr">
        <is>
          <t>EKSJÖ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46263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46263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45223</v>
      </c>
      <c r="E407" s="1" t="n">
        <v>46263</v>
      </c>
      <c r="F407" t="inlineStr">
        <is>
          <t>JÖNKÖPINGS LÄN</t>
        </is>
      </c>
      <c r="G407" t="inlineStr">
        <is>
          <t>EKSJÖ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46263</v>
      </c>
      <c r="F408" t="inlineStr">
        <is>
          <t>JÖNKÖPINGS LÄN</t>
        </is>
      </c>
      <c r="G408" t="inlineStr">
        <is>
          <t>EKSJÖ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45523</v>
      </c>
      <c r="E409" s="1" t="n">
        <v>46263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45523</v>
      </c>
      <c r="E410" s="1" t="n">
        <v>46263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45912-2023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45195</v>
      </c>
      <c r="E411" s="1" t="n">
        <v>46263</v>
      </c>
      <c r="F411" t="inlineStr">
        <is>
          <t>JÖNKÖPINGS LÄN</t>
        </is>
      </c>
      <c r="G411" t="inlineStr">
        <is>
          <t>EKSJÖ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46263</v>
      </c>
      <c r="F412" t="inlineStr">
        <is>
          <t>JÖNKÖPINGS LÄN</t>
        </is>
      </c>
      <c r="G412" t="inlineStr">
        <is>
          <t>EKSJÖ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45175</v>
      </c>
      <c r="E413" s="1" t="n">
        <v>46263</v>
      </c>
      <c r="F413" t="inlineStr">
        <is>
          <t>JÖNKÖPINGS LÄN</t>
        </is>
      </c>
      <c r="G413" t="inlineStr">
        <is>
          <t>EKSJÖ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45628</v>
      </c>
      <c r="E414" s="1" t="n">
        <v>46263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46263</v>
      </c>
      <c r="F415" t="inlineStr">
        <is>
          <t>JÖNKÖPINGS LÄN</t>
        </is>
      </c>
      <c r="G415" t="inlineStr">
        <is>
          <t>EKSJÖ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46263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46263</v>
      </c>
      <c r="F417" t="inlineStr">
        <is>
          <t>JÖNKÖPINGS LÄN</t>
        </is>
      </c>
      <c r="G417" t="inlineStr">
        <is>
          <t>EKSJÖ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45882</v>
      </c>
      <c r="E418" s="1" t="n">
        <v>46263</v>
      </c>
      <c r="F418" t="inlineStr">
        <is>
          <t>JÖNKÖPINGS LÄN</t>
        </is>
      </c>
      <c r="G418" t="inlineStr">
        <is>
          <t>EKSJÖ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45758</v>
      </c>
      <c r="E419" s="1" t="n">
        <v>46263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18324-2022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46263</v>
      </c>
      <c r="F420" t="inlineStr">
        <is>
          <t>JÖNKÖPINGS LÄN</t>
        </is>
      </c>
      <c r="G420" t="inlineStr">
        <is>
          <t>EKSJÖ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46263</v>
      </c>
      <c r="F421" t="inlineStr">
        <is>
          <t>JÖNKÖPINGS LÄN</t>
        </is>
      </c>
      <c r="G421" t="inlineStr">
        <is>
          <t>EKSJÖ</t>
        </is>
      </c>
      <c r="H421" t="inlineStr">
        <is>
          <t>Övriga Aktiebolag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45707</v>
      </c>
      <c r="E422" s="1" t="n">
        <v>46263</v>
      </c>
      <c r="F422" t="inlineStr">
        <is>
          <t>JÖNKÖPINGS LÄN</t>
        </is>
      </c>
      <c r="G422" t="inlineStr">
        <is>
          <t>EKSJÖ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45894</v>
      </c>
      <c r="E423" s="1" t="n">
        <v>46263</v>
      </c>
      <c r="F423" t="inlineStr">
        <is>
          <t>JÖNKÖPINGS LÄN</t>
        </is>
      </c>
      <c r="G423" t="inlineStr">
        <is>
          <t>EKSJÖ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46263</v>
      </c>
      <c r="F424" t="inlineStr">
        <is>
          <t>JÖNKÖPINGS LÄN</t>
        </is>
      </c>
      <c r="G424" t="inlineStr">
        <is>
          <t>EKSJÖ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46263</v>
      </c>
      <c r="F425" t="inlineStr">
        <is>
          <t>JÖNKÖPINGS LÄN</t>
        </is>
      </c>
      <c r="G425" t="inlineStr">
        <is>
          <t>EKSJÖ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55808-2023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46263</v>
      </c>
      <c r="F426" t="inlineStr">
        <is>
          <t>JÖNKÖPINGS LÄN</t>
        </is>
      </c>
      <c r="G426" t="inlineStr">
        <is>
          <t>EKSJÖ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45315</v>
      </c>
      <c r="E427" s="1" t="n">
        <v>46263</v>
      </c>
      <c r="F427" t="inlineStr">
        <is>
          <t>JÖNKÖPINGS LÄN</t>
        </is>
      </c>
      <c r="G427" t="inlineStr">
        <is>
          <t>EKSJÖ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46263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45314</v>
      </c>
      <c r="E429" s="1" t="n">
        <v>46263</v>
      </c>
      <c r="F429" t="inlineStr">
        <is>
          <t>JÖNKÖPINGS LÄN</t>
        </is>
      </c>
      <c r="G429" t="inlineStr">
        <is>
          <t>EKSJÖ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45463</v>
      </c>
      <c r="E430" s="1" t="n">
        <v>46263</v>
      </c>
      <c r="F430" t="inlineStr">
        <is>
          <t>JÖNKÖPINGS LÄN</t>
        </is>
      </c>
      <c r="G430" t="inlineStr">
        <is>
          <t>EKSJÖ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46263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46263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45758</v>
      </c>
      <c r="E433" s="1" t="n">
        <v>46263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46263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28261-2022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44746</v>
      </c>
      <c r="E435" s="1" t="n">
        <v>46263</v>
      </c>
      <c r="F435" t="inlineStr">
        <is>
          <t>JÖNKÖPINGS LÄN</t>
        </is>
      </c>
      <c r="G435" t="inlineStr">
        <is>
          <t>EKSJÖ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46263</v>
      </c>
      <c r="F436" t="inlineStr">
        <is>
          <t>JÖNKÖPINGS LÄN</t>
        </is>
      </c>
      <c r="G436" t="inlineStr">
        <is>
          <t>EKSJÖ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46263</v>
      </c>
      <c r="F437" t="inlineStr">
        <is>
          <t>JÖNKÖPINGS LÄN</t>
        </is>
      </c>
      <c r="G437" t="inlineStr">
        <is>
          <t>EKSJÖ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46263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46263</v>
      </c>
      <c r="F439" t="inlineStr">
        <is>
          <t>JÖNKÖPINGS LÄN</t>
        </is>
      </c>
      <c r="G439" t="inlineStr">
        <is>
          <t>EKSJÖ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45251</v>
      </c>
      <c r="E440" s="1" t="n">
        <v>46263</v>
      </c>
      <c r="F440" t="inlineStr">
        <is>
          <t>JÖNKÖPINGS LÄN</t>
        </is>
      </c>
      <c r="G440" t="inlineStr">
        <is>
          <t>EKSJÖ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46263</v>
      </c>
      <c r="F441" t="inlineStr">
        <is>
          <t>JÖNKÖPINGS LÄN</t>
        </is>
      </c>
      <c r="G441" t="inlineStr">
        <is>
          <t>EKSJÖ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46014-2022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46263</v>
      </c>
      <c r="F442" t="inlineStr">
        <is>
          <t>JÖNKÖPINGS LÄN</t>
        </is>
      </c>
      <c r="G442" t="inlineStr">
        <is>
          <t>EKSJÖ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9188-2024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45358</v>
      </c>
      <c r="E443" s="1" t="n">
        <v>46263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46263</v>
      </c>
      <c r="F444" t="inlineStr">
        <is>
          <t>JÖNKÖPINGS LÄN</t>
        </is>
      </c>
      <c r="G444" t="inlineStr">
        <is>
          <t>EKSJÖ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45818</v>
      </c>
      <c r="E445" s="1" t="n">
        <v>46263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46263</v>
      </c>
      <c r="F446" t="inlineStr">
        <is>
          <t>JÖNKÖPINGS LÄN</t>
        </is>
      </c>
      <c r="G446" t="inlineStr">
        <is>
          <t>EKSJÖ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44630</v>
      </c>
      <c r="E447" s="1" t="n">
        <v>46263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50275-2023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45209</v>
      </c>
      <c r="E448" s="1" t="n">
        <v>46263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47204-2022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44851</v>
      </c>
      <c r="E449" s="1" t="n">
        <v>46263</v>
      </c>
      <c r="F449" t="inlineStr">
        <is>
          <t>JÖNKÖPINGS LÄN</t>
        </is>
      </c>
      <c r="G449" t="inlineStr">
        <is>
          <t>EKSJÖ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45160</v>
      </c>
      <c r="E450" s="1" t="n">
        <v>46263</v>
      </c>
      <c r="F450" t="inlineStr">
        <is>
          <t>JÖNKÖPINGS LÄN</t>
        </is>
      </c>
      <c r="G450" t="inlineStr">
        <is>
          <t>EKSJÖ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46263</v>
      </c>
      <c r="F451" t="inlineStr">
        <is>
          <t>JÖNKÖPINGS LÄN</t>
        </is>
      </c>
      <c r="G451" t="inlineStr">
        <is>
          <t>EKSJÖ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46577-2022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44848</v>
      </c>
      <c r="E452" s="1" t="n">
        <v>46263</v>
      </c>
      <c r="F452" t="inlineStr">
        <is>
          <t>JÖNKÖPINGS LÄN</t>
        </is>
      </c>
      <c r="G452" t="inlineStr">
        <is>
          <t>EKSJÖ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35738-2024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45532</v>
      </c>
      <c r="E453" s="1" t="n">
        <v>46263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44987</v>
      </c>
      <c r="E454" s="1" t="n">
        <v>46263</v>
      </c>
      <c r="F454" t="inlineStr">
        <is>
          <t>JÖNKÖPINGS LÄN</t>
        </is>
      </c>
      <c r="G454" t="inlineStr">
        <is>
          <t>EKSJÖ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45391</v>
      </c>
      <c r="E455" s="1" t="n">
        <v>46263</v>
      </c>
      <c r="F455" t="inlineStr">
        <is>
          <t>JÖNKÖPINGS LÄN</t>
        </is>
      </c>
      <c r="G455" t="inlineStr">
        <is>
          <t>EKSJÖ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50967-2021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44460</v>
      </c>
      <c r="E456" s="1" t="n">
        <v>46263</v>
      </c>
      <c r="F456" t="inlineStr">
        <is>
          <t>JÖNKÖPINGS LÄN</t>
        </is>
      </c>
      <c r="G456" t="inlineStr">
        <is>
          <t>EKSJÖ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44454</v>
      </c>
      <c r="E457" s="1" t="n">
        <v>46263</v>
      </c>
      <c r="F457" t="inlineStr">
        <is>
          <t>JÖNKÖPINGS LÄN</t>
        </is>
      </c>
      <c r="G457" t="inlineStr">
        <is>
          <t>EKSJÖ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45576</v>
      </c>
      <c r="E458" s="1" t="n">
        <v>46263</v>
      </c>
      <c r="F458" t="inlineStr">
        <is>
          <t>JÖNKÖPINGS LÄN</t>
        </is>
      </c>
      <c r="G458" t="inlineStr">
        <is>
          <t>EKSJÖ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26706-2022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46263</v>
      </c>
      <c r="F459" t="inlineStr">
        <is>
          <t>JÖNKÖPINGS LÄN</t>
        </is>
      </c>
      <c r="G459" t="inlineStr">
        <is>
          <t>EKSJÖ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71313-2021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44539</v>
      </c>
      <c r="E460" s="1" t="n">
        <v>46263</v>
      </c>
      <c r="F460" t="inlineStr">
        <is>
          <t>JÖNKÖPINGS LÄN</t>
        </is>
      </c>
      <c r="G460" t="inlineStr">
        <is>
          <t>EKSJÖ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44939</v>
      </c>
      <c r="E461" s="1" t="n">
        <v>46263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45086</v>
      </c>
      <c r="E462" s="1" t="n">
        <v>46263</v>
      </c>
      <c r="F462" t="inlineStr">
        <is>
          <t>JÖNKÖPINGS LÄN</t>
        </is>
      </c>
      <c r="G462" t="inlineStr">
        <is>
          <t>EKSJÖ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26054-2023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45091</v>
      </c>
      <c r="E463" s="1" t="n">
        <v>46263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45051</v>
      </c>
      <c r="E464" s="1" t="n">
        <v>46263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33644-2022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44789</v>
      </c>
      <c r="E465" s="1" t="n">
        <v>46263</v>
      </c>
      <c r="F465" t="inlineStr">
        <is>
          <t>JÖNKÖPINGS LÄN</t>
        </is>
      </c>
      <c r="G465" t="inlineStr">
        <is>
          <t>EKSJÖ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45411</v>
      </c>
      <c r="E466" s="1" t="n">
        <v>46263</v>
      </c>
      <c r="F466" t="inlineStr">
        <is>
          <t>JÖNKÖPINGS LÄN</t>
        </is>
      </c>
      <c r="G466" t="inlineStr">
        <is>
          <t>EKSJÖ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46263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25262-2023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45086</v>
      </c>
      <c r="E468" s="1" t="n">
        <v>46263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44925</v>
      </c>
      <c r="E469" s="1" t="n">
        <v>46263</v>
      </c>
      <c r="F469" t="inlineStr">
        <is>
          <t>JÖNKÖPINGS LÄN</t>
        </is>
      </c>
      <c r="G469" t="inlineStr">
        <is>
          <t>EKSJÖ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46263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45154</v>
      </c>
      <c r="E471" s="1" t="n">
        <v>46263</v>
      </c>
      <c r="F471" t="inlineStr">
        <is>
          <t>JÖNKÖPINGS LÄN</t>
        </is>
      </c>
      <c r="G471" t="inlineStr">
        <is>
          <t>EKSJÖ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44516</v>
      </c>
      <c r="E472" s="1" t="n">
        <v>46263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46263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46263</v>
      </c>
      <c r="F474" t="inlineStr">
        <is>
          <t>JÖNKÖPINGS LÄN</t>
        </is>
      </c>
      <c r="G474" t="inlineStr">
        <is>
          <t>EKSJÖ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46263</v>
      </c>
      <c r="F475" t="inlineStr">
        <is>
          <t>JÖNKÖPINGS LÄN</t>
        </is>
      </c>
      <c r="G475" t="inlineStr">
        <is>
          <t>EKSJÖ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44781</v>
      </c>
      <c r="E476" s="1" t="n">
        <v>46263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45337</v>
      </c>
      <c r="E477" s="1" t="n">
        <v>46263</v>
      </c>
      <c r="F477" t="inlineStr">
        <is>
          <t>JÖNKÖPINGS LÄN</t>
        </is>
      </c>
      <c r="G477" t="inlineStr">
        <is>
          <t>EKSJÖ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46263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46263</v>
      </c>
      <c r="F479" t="inlineStr">
        <is>
          <t>JÖNKÖPINGS LÄN</t>
        </is>
      </c>
      <c r="G479" t="inlineStr">
        <is>
          <t>EKSJÖ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46263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64541-2023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46263</v>
      </c>
      <c r="F481" t="inlineStr">
        <is>
          <t>JÖNKÖPINGS LÄN</t>
        </is>
      </c>
      <c r="G481" t="inlineStr">
        <is>
          <t>EKSJÖ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46263</v>
      </c>
      <c r="F482" t="inlineStr">
        <is>
          <t>JÖNKÖPINGS LÄN</t>
        </is>
      </c>
      <c r="G482" t="inlineStr">
        <is>
          <t>EKSJÖ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46263</v>
      </c>
      <c r="F483" t="inlineStr">
        <is>
          <t>JÖNKÖPINGS LÄN</t>
        </is>
      </c>
      <c r="G483" t="inlineStr">
        <is>
          <t>EKSJÖ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46263</v>
      </c>
      <c r="F484" t="inlineStr">
        <is>
          <t>JÖNKÖPINGS LÄN</t>
        </is>
      </c>
      <c r="G484" t="inlineStr">
        <is>
          <t>EKSJÖ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46263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64993-2023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45286</v>
      </c>
      <c r="E486" s="1" t="n">
        <v>46263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45659</v>
      </c>
      <c r="E487" s="1" t="n">
        <v>46263</v>
      </c>
      <c r="F487" t="inlineStr">
        <is>
          <t>JÖNKÖPINGS LÄN</t>
        </is>
      </c>
      <c r="G487" t="inlineStr">
        <is>
          <t>EKSJÖ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46263</v>
      </c>
      <c r="F488" t="inlineStr">
        <is>
          <t>JÖNKÖPINGS LÄN</t>
        </is>
      </c>
      <c r="G488" t="inlineStr">
        <is>
          <t>EKSJÖ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45882</v>
      </c>
      <c r="E489" s="1" t="n">
        <v>46263</v>
      </c>
      <c r="F489" t="inlineStr">
        <is>
          <t>JÖNKÖPINGS LÄN</t>
        </is>
      </c>
      <c r="G489" t="inlineStr">
        <is>
          <t>EKSJÖ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45370</v>
      </c>
      <c r="E490" s="1" t="n">
        <v>46263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45075</v>
      </c>
      <c r="E491" s="1" t="n">
        <v>46263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27395-2023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45096</v>
      </c>
      <c r="E492" s="1" t="n">
        <v>46263</v>
      </c>
      <c r="F492" t="inlineStr">
        <is>
          <t>JÖNKÖPINGS LÄN</t>
        </is>
      </c>
      <c r="G492" t="inlineStr">
        <is>
          <t>EKSJÖ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45152</v>
      </c>
      <c r="E493" s="1" t="n">
        <v>46263</v>
      </c>
      <c r="F493" t="inlineStr">
        <is>
          <t>JÖNKÖPINGS LÄN</t>
        </is>
      </c>
      <c r="G493" t="inlineStr">
        <is>
          <t>EKSJÖ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53053-2021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44467</v>
      </c>
      <c r="E494" s="1" t="n">
        <v>46263</v>
      </c>
      <c r="F494" t="inlineStr">
        <is>
          <t>JÖNKÖPINGS LÄN</t>
        </is>
      </c>
      <c r="G494" t="inlineStr">
        <is>
          <t>EKSJÖ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44925</v>
      </c>
      <c r="E495" s="1" t="n">
        <v>46263</v>
      </c>
      <c r="F495" t="inlineStr">
        <is>
          <t>JÖNKÖPINGS LÄN</t>
        </is>
      </c>
      <c r="G495" t="inlineStr">
        <is>
          <t>EKSJÖ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44940</v>
      </c>
      <c r="E496" s="1" t="n">
        <v>46263</v>
      </c>
      <c r="F496" t="inlineStr">
        <is>
          <t>JÖNKÖPINGS LÄN</t>
        </is>
      </c>
      <c r="G496" t="inlineStr">
        <is>
          <t>EKSJÖ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44941</v>
      </c>
      <c r="E497" s="1" t="n">
        <v>46263</v>
      </c>
      <c r="F497" t="inlineStr">
        <is>
          <t>JÖNKÖPINGS LÄN</t>
        </is>
      </c>
      <c r="G497" t="inlineStr">
        <is>
          <t>EKSJÖ</t>
        </is>
      </c>
      <c r="H497" t="inlineStr">
        <is>
          <t>Övriga Aktiebolag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45214</v>
      </c>
      <c r="E498" s="1" t="n">
        <v>46263</v>
      </c>
      <c r="F498" t="inlineStr">
        <is>
          <t>JÖNKÖPINGS LÄN</t>
        </is>
      </c>
      <c r="G498" t="inlineStr">
        <is>
          <t>EKSJÖ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46263</v>
      </c>
      <c r="F499" t="inlineStr">
        <is>
          <t>JÖNKÖPINGS LÄN</t>
        </is>
      </c>
      <c r="G499" t="inlineStr">
        <is>
          <t>EKSJÖ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49681-2023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45212</v>
      </c>
      <c r="E500" s="1" t="n">
        <v>46263</v>
      </c>
      <c r="F500" t="inlineStr">
        <is>
          <t>JÖNKÖPINGS LÄN</t>
        </is>
      </c>
      <c r="G500" t="inlineStr">
        <is>
          <t>EKSJÖ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46263</v>
      </c>
      <c r="F501" t="inlineStr">
        <is>
          <t>JÖNKÖPINGS LÄN</t>
        </is>
      </c>
      <c r="G501" t="inlineStr">
        <is>
          <t>EKSJÖ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34772-2023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45141</v>
      </c>
      <c r="E502" s="1" t="n">
        <v>46263</v>
      </c>
      <c r="F502" t="inlineStr">
        <is>
          <t>JÖNKÖPINGS LÄN</t>
        </is>
      </c>
      <c r="G502" t="inlineStr">
        <is>
          <t>EKSJÖ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45054</v>
      </c>
      <c r="E503" s="1" t="n">
        <v>46263</v>
      </c>
      <c r="F503" t="inlineStr">
        <is>
          <t>JÖNKÖPINGS LÄN</t>
        </is>
      </c>
      <c r="G503" t="inlineStr">
        <is>
          <t>EKSJÖ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46019-2022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44846</v>
      </c>
      <c r="E504" s="1" t="n">
        <v>46263</v>
      </c>
      <c r="F504" t="inlineStr">
        <is>
          <t>JÖNKÖPINGS LÄN</t>
        </is>
      </c>
      <c r="G504" t="inlineStr">
        <is>
          <t>EKSJÖ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45493-2022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44845</v>
      </c>
      <c r="E505" s="1" t="n">
        <v>46263</v>
      </c>
      <c r="F505" t="inlineStr">
        <is>
          <t>JÖNKÖPINGS LÄN</t>
        </is>
      </c>
      <c r="G505" t="inlineStr">
        <is>
          <t>EKSJÖ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45300</v>
      </c>
      <c r="E506" s="1" t="n">
        <v>46263</v>
      </c>
      <c r="F506" t="inlineStr">
        <is>
          <t>JÖNKÖPINGS LÄN</t>
        </is>
      </c>
      <c r="G506" t="inlineStr">
        <is>
          <t>EKSJÖ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36354-2022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46263</v>
      </c>
      <c r="F507" t="inlineStr">
        <is>
          <t>JÖNKÖPINGS LÄN</t>
        </is>
      </c>
      <c r="G507" t="inlineStr">
        <is>
          <t>EKSJÖ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48740-2023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45208</v>
      </c>
      <c r="E508" s="1" t="n">
        <v>46263</v>
      </c>
      <c r="F508" t="inlineStr">
        <is>
          <t>JÖNKÖPINGS LÄN</t>
        </is>
      </c>
      <c r="G508" t="inlineStr">
        <is>
          <t>EKSJÖ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45107</v>
      </c>
      <c r="E509" s="1" t="n">
        <v>46263</v>
      </c>
      <c r="F509" t="inlineStr">
        <is>
          <t>JÖNKÖPINGS LÄN</t>
        </is>
      </c>
      <c r="G509" t="inlineStr">
        <is>
          <t>EKSJÖ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44925</v>
      </c>
      <c r="E510" s="1" t="n">
        <v>46263</v>
      </c>
      <c r="F510" t="inlineStr">
        <is>
          <t>JÖNKÖPINGS LÄN</t>
        </is>
      </c>
      <c r="G510" t="inlineStr">
        <is>
          <t>EKSJÖ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46263</v>
      </c>
      <c r="F511" t="inlineStr">
        <is>
          <t>JÖNKÖPINGS LÄN</t>
        </is>
      </c>
      <c r="G511" t="inlineStr">
        <is>
          <t>EKSJÖ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50410-2024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45601</v>
      </c>
      <c r="E512" s="1" t="n">
        <v>46263</v>
      </c>
      <c r="F512" t="inlineStr">
        <is>
          <t>JÖNKÖPINGS LÄN</t>
        </is>
      </c>
      <c r="G512" t="inlineStr">
        <is>
          <t>EKSJÖ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46263</v>
      </c>
      <c r="F513" t="inlineStr">
        <is>
          <t>JÖNKÖPINGS LÄN</t>
        </is>
      </c>
      <c r="G513" t="inlineStr">
        <is>
          <t>EKSJÖ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46263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46263</v>
      </c>
      <c r="F515" t="inlineStr">
        <is>
          <t>JÖNKÖPINGS LÄN</t>
        </is>
      </c>
      <c r="G515" t="inlineStr">
        <is>
          <t>EKSJÖ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46263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45463</v>
      </c>
      <c r="E517" s="1" t="n">
        <v>46263</v>
      </c>
      <c r="F517" t="inlineStr">
        <is>
          <t>JÖNKÖPINGS LÄN</t>
        </is>
      </c>
      <c r="G517" t="inlineStr">
        <is>
          <t>EKSJÖ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45161</v>
      </c>
      <c r="E518" s="1" t="n">
        <v>46263</v>
      </c>
      <c r="F518" t="inlineStr">
        <is>
          <t>JÖNKÖPINGS LÄN</t>
        </is>
      </c>
      <c r="G518" t="inlineStr">
        <is>
          <t>EKSJÖ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54470-2024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45617</v>
      </c>
      <c r="E519" s="1" t="n">
        <v>46263</v>
      </c>
      <c r="F519" t="inlineStr">
        <is>
          <t>JÖNKÖPINGS LÄN</t>
        </is>
      </c>
      <c r="G519" t="inlineStr">
        <is>
          <t>EKSJÖ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44580</v>
      </c>
      <c r="E520" s="1" t="n">
        <v>46263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45475</v>
      </c>
      <c r="E521" s="1" t="n">
        <v>46263</v>
      </c>
      <c r="F521" t="inlineStr">
        <is>
          <t>JÖNKÖPINGS LÄN</t>
        </is>
      </c>
      <c r="G521" t="inlineStr">
        <is>
          <t>EKSJÖ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46263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45677</v>
      </c>
      <c r="E523" s="1" t="n">
        <v>46263</v>
      </c>
      <c r="F523" t="inlineStr">
        <is>
          <t>JÖNKÖPINGS LÄN</t>
        </is>
      </c>
      <c r="G523" t="inlineStr">
        <is>
          <t>EKSJÖ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45723</v>
      </c>
      <c r="E524" s="1" t="n">
        <v>46263</v>
      </c>
      <c r="F524" t="inlineStr">
        <is>
          <t>JÖNKÖPINGS LÄN</t>
        </is>
      </c>
      <c r="G524" t="inlineStr">
        <is>
          <t>EKSJÖ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51541-2023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46263</v>
      </c>
      <c r="F525" t="inlineStr">
        <is>
          <t>JÖNKÖPINGS LÄN</t>
        </is>
      </c>
      <c r="G525" t="inlineStr">
        <is>
          <t>EKSJÖ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46263</v>
      </c>
      <c r="F526" t="inlineStr">
        <is>
          <t>JÖNKÖPINGS LÄN</t>
        </is>
      </c>
      <c r="G526" t="inlineStr">
        <is>
          <t>EKSJÖ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63439-2025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46013</v>
      </c>
      <c r="E527" s="1" t="n">
        <v>46263</v>
      </c>
      <c r="F527" t="inlineStr">
        <is>
          <t>JÖNKÖPINGS LÄN</t>
        </is>
      </c>
      <c r="G527" t="inlineStr">
        <is>
          <t>EKSJÖ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46037</v>
      </c>
      <c r="E528" s="1" t="n">
        <v>46263</v>
      </c>
      <c r="F528" t="inlineStr">
        <is>
          <t>JÖNKÖPINGS LÄN</t>
        </is>
      </c>
      <c r="G528" t="inlineStr">
        <is>
          <t>EKSJÖ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45575</v>
      </c>
      <c r="E529" s="1" t="n">
        <v>46263</v>
      </c>
      <c r="F529" t="inlineStr">
        <is>
          <t>JÖNKÖPINGS LÄN</t>
        </is>
      </c>
      <c r="G529" t="inlineStr">
        <is>
          <t>EKSJÖ</t>
        </is>
      </c>
      <c r="H529" t="inlineStr">
        <is>
          <t>Övriga Aktiebolag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50287-2024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45600</v>
      </c>
      <c r="E530" s="1" t="n">
        <v>46263</v>
      </c>
      <c r="F530" t="inlineStr">
        <is>
          <t>JÖNKÖPINGS LÄN</t>
        </is>
      </c>
      <c r="G530" t="inlineStr">
        <is>
          <t>EKSJÖ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19469-2025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45770</v>
      </c>
      <c r="E531" s="1" t="n">
        <v>46263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46263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46263</v>
      </c>
      <c r="F533" t="inlineStr">
        <is>
          <t>JÖNKÖPINGS LÄN</t>
        </is>
      </c>
      <c r="G533" t="inlineStr">
        <is>
          <t>EKSJÖ</t>
        </is>
      </c>
      <c r="H533" t="inlineStr">
        <is>
          <t>Kommuner</t>
        </is>
      </c>
      <c r="I533" t="n">
        <v>9.6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60920-2025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45996</v>
      </c>
      <c r="E534" s="1" t="n">
        <v>46263</v>
      </c>
      <c r="F534" t="inlineStr">
        <is>
          <t>JÖNKÖPINGS LÄN</t>
        </is>
      </c>
      <c r="G534" t="inlineStr">
        <is>
          <t>EKSJÖ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46263</v>
      </c>
      <c r="F535" t="inlineStr">
        <is>
          <t>JÖNKÖPINGS LÄN</t>
        </is>
      </c>
      <c r="G535" t="inlineStr">
        <is>
          <t>EKSJÖ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46263</v>
      </c>
      <c r="F536" t="inlineStr">
        <is>
          <t>JÖNKÖPINGS LÄN</t>
        </is>
      </c>
      <c r="G536" t="inlineStr">
        <is>
          <t>EKSJÖ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46263</v>
      </c>
      <c r="F537" t="inlineStr">
        <is>
          <t>JÖNKÖPINGS LÄN</t>
        </is>
      </c>
      <c r="G537" t="inlineStr">
        <is>
          <t>EKSJÖ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46263</v>
      </c>
      <c r="F538" t="inlineStr">
        <is>
          <t>JÖNKÖPINGS LÄN</t>
        </is>
      </c>
      <c r="G538" t="inlineStr">
        <is>
          <t>EKSJÖ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46263</v>
      </c>
      <c r="F539" t="inlineStr">
        <is>
          <t>JÖNKÖPINGS LÄN</t>
        </is>
      </c>
      <c r="G539" t="inlineStr">
        <is>
          <t>EKSJÖ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46263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46263</v>
      </c>
      <c r="F541" t="inlineStr">
        <is>
          <t>JÖNKÖPINGS LÄN</t>
        </is>
      </c>
      <c r="G541" t="inlineStr">
        <is>
          <t>EKSJÖ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23573-2026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46263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44293-2025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45916</v>
      </c>
      <c r="E543" s="1" t="n">
        <v>46263</v>
      </c>
      <c r="F543" t="inlineStr">
        <is>
          <t>JÖNKÖPINGS LÄN</t>
        </is>
      </c>
      <c r="G543" t="inlineStr">
        <is>
          <t>EKSJÖ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25140-2026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46263</v>
      </c>
      <c r="F544" t="inlineStr">
        <is>
          <t>JÖNKÖPINGS LÄN</t>
        </is>
      </c>
      <c r="G544" t="inlineStr">
        <is>
          <t>EKSJÖ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46263</v>
      </c>
      <c r="F545" t="inlineStr">
        <is>
          <t>JÖNKÖPINGS LÄN</t>
        </is>
      </c>
      <c r="G545" t="inlineStr">
        <is>
          <t>EKSJÖ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25132-2026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46263</v>
      </c>
      <c r="F546" t="inlineStr">
        <is>
          <t>JÖNKÖPINGS LÄN</t>
        </is>
      </c>
      <c r="G546" t="inlineStr">
        <is>
          <t>EKSJÖ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46263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25654-2026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46263</v>
      </c>
      <c r="F548" t="inlineStr">
        <is>
          <t>JÖNKÖPINGS LÄN</t>
        </is>
      </c>
      <c r="G548" t="inlineStr">
        <is>
          <t>EKSJÖ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46263</v>
      </c>
      <c r="F549" t="inlineStr">
        <is>
          <t>JÖNKÖPINGS LÄN</t>
        </is>
      </c>
      <c r="G549" t="inlineStr">
        <is>
          <t>EKSJÖ</t>
        </is>
      </c>
      <c r="H549" t="inlineStr">
        <is>
          <t>Kyrkan</t>
        </is>
      </c>
      <c r="I549" t="n">
        <v>15.2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46263</v>
      </c>
      <c r="F550" t="inlineStr">
        <is>
          <t>JÖNKÖPINGS LÄN</t>
        </is>
      </c>
      <c r="G550" t="inlineStr">
        <is>
          <t>EKSJÖ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46263</v>
      </c>
      <c r="F551" t="inlineStr">
        <is>
          <t>JÖNKÖPINGS LÄN</t>
        </is>
      </c>
      <c r="G551" t="inlineStr">
        <is>
          <t>EKSJÖ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46263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46263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26649-2026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46184</v>
      </c>
      <c r="E554" s="1" t="n">
        <v>46263</v>
      </c>
      <c r="F554" t="inlineStr">
        <is>
          <t>JÖNKÖPINGS LÄN</t>
        </is>
      </c>
      <c r="G554" t="inlineStr">
        <is>
          <t>EKSJÖ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27220-2026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46188</v>
      </c>
      <c r="E555" s="1" t="n">
        <v>46263</v>
      </c>
      <c r="F555" t="inlineStr">
        <is>
          <t>JÖNKÖPINGS LÄN</t>
        </is>
      </c>
      <c r="G555" t="inlineStr">
        <is>
          <t>EKSJÖ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46197</v>
      </c>
      <c r="E556" s="1" t="n">
        <v>46263</v>
      </c>
      <c r="F556" t="inlineStr">
        <is>
          <t>JÖNKÖPINGS LÄN</t>
        </is>
      </c>
      <c r="G556" t="inlineStr">
        <is>
          <t>EKSJÖ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28401-2026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46197</v>
      </c>
      <c r="E557" s="1" t="n">
        <v>46263</v>
      </c>
      <c r="F557" t="inlineStr">
        <is>
          <t>JÖNKÖPINGS LÄN</t>
        </is>
      </c>
      <c r="G557" t="inlineStr">
        <is>
          <t>EKSJÖ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46263</v>
      </c>
      <c r="F558" t="inlineStr">
        <is>
          <t>JÖNKÖPINGS LÄN</t>
        </is>
      </c>
      <c r="G558" t="inlineStr">
        <is>
          <t>EKSJÖ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46263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46263</v>
      </c>
      <c r="F560" t="inlineStr">
        <is>
          <t>JÖNKÖPINGS LÄN</t>
        </is>
      </c>
      <c r="G560" t="inlineStr">
        <is>
          <t>EKSJÖ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46263</v>
      </c>
      <c r="F561" t="inlineStr">
        <is>
          <t>JÖNKÖPINGS LÄN</t>
        </is>
      </c>
      <c r="G561" t="inlineStr">
        <is>
          <t>EKSJÖ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46263</v>
      </c>
      <c r="F562" t="inlineStr">
        <is>
          <t>JÖNKÖPINGS LÄN</t>
        </is>
      </c>
      <c r="G562" t="inlineStr">
        <is>
          <t>EKSJÖ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46263</v>
      </c>
      <c r="F563" t="inlineStr">
        <is>
          <t>JÖNKÖPINGS LÄN</t>
        </is>
      </c>
      <c r="G563" t="inlineStr">
        <is>
          <t>EKSJÖ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46263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30362-2026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46263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46263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46263</v>
      </c>
      <c r="F567" t="inlineStr">
        <is>
          <t>JÖNKÖPINGS LÄN</t>
        </is>
      </c>
      <c r="G567" t="inlineStr">
        <is>
          <t>EKSJÖ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46263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46263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46263</v>
      </c>
      <c r="F570" t="inlineStr">
        <is>
          <t>JÖNKÖPINGS LÄN</t>
        </is>
      </c>
      <c r="G570" t="inlineStr">
        <is>
          <t>EKSJÖ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34352-2026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46263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46263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46263</v>
      </c>
      <c r="F573" t="inlineStr">
        <is>
          <t>JÖNKÖPINGS LÄN</t>
        </is>
      </c>
      <c r="G573" t="inlineStr">
        <is>
          <t>EKSJÖ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46263</v>
      </c>
      <c r="F574" t="inlineStr">
        <is>
          <t>JÖNKÖPINGS LÄN</t>
        </is>
      </c>
      <c r="G574" t="inlineStr">
        <is>
          <t>EKSJÖ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46263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46263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46263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46263</v>
      </c>
      <c r="F578" t="inlineStr">
        <is>
          <t>JÖNKÖPINGS LÄN</t>
        </is>
      </c>
      <c r="G578" t="inlineStr">
        <is>
          <t>EKSJÖ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46263</v>
      </c>
      <c r="F579" t="inlineStr">
        <is>
          <t>JÖNKÖPINGS LÄN</t>
        </is>
      </c>
      <c r="G579" t="inlineStr">
        <is>
          <t>EKSJÖ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46263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46263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46260</v>
      </c>
      <c r="E582" s="1" t="n">
        <v>46263</v>
      </c>
      <c r="F582" t="inlineStr">
        <is>
          <t>JÖNKÖPINGS LÄN</t>
        </is>
      </c>
      <c r="G582" t="inlineStr">
        <is>
          <t>EKSJÖ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46263</v>
      </c>
      <c r="F583" t="inlineStr">
        <is>
          <t>JÖNKÖPINGS LÄN</t>
        </is>
      </c>
      <c r="G583" t="inlineStr">
        <is>
          <t>EKSJÖ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46263</v>
      </c>
      <c r="F584" t="inlineStr">
        <is>
          <t>JÖNKÖPINGS LÄN</t>
        </is>
      </c>
      <c r="G584" t="inlineStr">
        <is>
          <t>EKSJÖ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46263</v>
      </c>
      <c r="F585" t="inlineStr">
        <is>
          <t>JÖNKÖPINGS LÄN</t>
        </is>
      </c>
      <c r="G585" t="inlineStr">
        <is>
          <t>EKSJÖ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46247</v>
      </c>
      <c r="E586" s="1" t="n">
        <v>46263</v>
      </c>
      <c r="F586" t="inlineStr">
        <is>
          <t>JÖNKÖPINGS LÄN</t>
        </is>
      </c>
      <c r="G586" t="inlineStr">
        <is>
          <t>EKSJÖ</t>
        </is>
      </c>
      <c r="H586" t="inlineStr">
        <is>
          <t>Sveaskog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46263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46263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46263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46263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46263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46263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46263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46263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46263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46263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46263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46263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46263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46263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46263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46263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46263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46263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46263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46263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46263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46263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46263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46263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46263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46263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46263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46263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46263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1973-2026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46210</v>
      </c>
      <c r="E616" s="1" t="n">
        <v>46263</v>
      </c>
      <c r="F616" t="inlineStr">
        <is>
          <t>JÖNKÖPINGS LÄN</t>
        </is>
      </c>
      <c r="G616" t="inlineStr">
        <is>
          <t>EKSJÖ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2026-08-29T01:56:03Z</dcterms:created>
  <dcterms:modified xmlns:dcterms="http://purl.org/dc/terms/" xmlns:xsi="http://www.w3.org/2001/XMLSchema-instance" xsi:type="dcterms:W3CDTF">2026-08-29T01:56:03Z</dcterms:modified>
</cp:coreProperties>
</file>