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46323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46323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46323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46323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46323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46323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46323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46323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46323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46323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46323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41013-2026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46297</v>
      </c>
      <c r="E14" s="1" t="n">
        <v>46323</v>
      </c>
      <c r="F14" t="inlineStr">
        <is>
          <t>JÖNKÖPINGS LÄN</t>
        </is>
      </c>
      <c r="G14" t="inlineStr">
        <is>
          <t>EKSJÖ</t>
        </is>
      </c>
      <c r="I14" t="n">
        <v>5.8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Storkorgsfibbla
Dropptaggsvamp</t>
        </is>
      </c>
      <c r="W14">
        <f>HYPERLINK("https://klasma.github.io/Logging_0686/artfynd/A 41013-2026 artfynd.xlsx", "A 41013-2026")</f>
        <v/>
      </c>
      <c r="X14">
        <f>HYPERLINK("https://klasma.github.io/Logging_0686/kartor/A 41013-2026 karta.png", "A 41013-2026")</f>
        <v/>
      </c>
      <c r="Y14">
        <f>HYPERLINK("https://klasma.github.io/Logging_0686/kartor_geotiff/A 41013-2026 georefererad karta.tif", "A 41013-2026")</f>
        <v/>
      </c>
      <c r="AA14">
        <f>HYPERLINK("https://klasma.github.io/Logging_0686/klagomål/A 41013-2026 FSC-klagomål.docx", "A 41013-2026")</f>
        <v/>
      </c>
      <c r="AB14">
        <f>HYPERLINK("https://klasma.github.io/Logging_0686/klagomålsmail/A 41013-2026 FSC-klagomål mail.docx", "A 41013-2026")</f>
        <v/>
      </c>
      <c r="AC14">
        <f>HYPERLINK("https://klasma.github.io/Logging_0686/tillsyn/A 41013-2026 tillsynsbegäran.docx", "A 41013-2026")</f>
        <v/>
      </c>
      <c r="AD14">
        <f>HYPERLINK("https://klasma.github.io/Logging_0686/tillsynsmail/A 41013-2026 tillsynsbegäran mail.docx", "A 41013-2026")</f>
        <v/>
      </c>
    </row>
    <row r="15" ht="15" customHeight="1">
      <c r="A15" t="inlineStr">
        <is>
          <t>A 42998-2026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46310</v>
      </c>
      <c r="E15" s="1" t="n">
        <v>46323</v>
      </c>
      <c r="F15" t="inlineStr">
        <is>
          <t>JÖNKÖPINGS LÄN</t>
        </is>
      </c>
      <c r="G15" t="inlineStr">
        <is>
          <t>EKSJÖ</t>
        </is>
      </c>
      <c r="I15" t="n">
        <v>3.1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Ryl
Rävticka</t>
        </is>
      </c>
      <c r="W15">
        <f>HYPERLINK("https://klasma.github.io/Logging_0686/artfynd/A 42998-2026 artfynd.xlsx", "A 42998-2026")</f>
        <v/>
      </c>
      <c r="X15">
        <f>HYPERLINK("https://klasma.github.io/Logging_0686/kartor/A 42998-2026 karta.png", "A 42998-2026")</f>
        <v/>
      </c>
      <c r="Y15">
        <f>HYPERLINK("https://klasma.github.io/Logging_0686/kartor_geotiff/A 42998-2026 georefererad karta.tif", "A 42998-2026")</f>
        <v/>
      </c>
      <c r="AA15">
        <f>HYPERLINK("https://klasma.github.io/Logging_0686/klagomål/A 42998-2026 FSC-klagomål.docx", "A 42998-2026")</f>
        <v/>
      </c>
      <c r="AB15">
        <f>HYPERLINK("https://klasma.github.io/Logging_0686/klagomålsmail/A 42998-2026 FSC-klagomål mail.docx", "A 42998-2026")</f>
        <v/>
      </c>
      <c r="AC15">
        <f>HYPERLINK("https://klasma.github.io/Logging_0686/tillsyn/A 42998-2026 tillsynsbegäran.docx", "A 42998-2026")</f>
        <v/>
      </c>
      <c r="AD15">
        <f>HYPERLINK("https://klasma.github.io/Logging_0686/tillsynsmail/A 42998-2026 tillsynsbegäran mail.docx", "A 42998-2026")</f>
        <v/>
      </c>
    </row>
    <row r="16" ht="15" customHeight="1">
      <c r="A16" t="inlineStr">
        <is>
          <t>A 64978-2023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45285</v>
      </c>
      <c r="E16" s="1" t="n">
        <v>46323</v>
      </c>
      <c r="F16" t="inlineStr">
        <is>
          <t>JÖNKÖPINGS LÄN</t>
        </is>
      </c>
      <c r="G16" t="inlineStr">
        <is>
          <t>EKSJÖ</t>
        </is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Svart trolldruva
Blåsippa</t>
        </is>
      </c>
      <c r="W16">
        <f>HYPERLINK("https://klasma.github.io/Logging_0686/artfynd/A 64978-2023 artfynd.xlsx", "A 64978-2023")</f>
        <v/>
      </c>
      <c r="X16">
        <f>HYPERLINK("https://klasma.github.io/Logging_0686/kartor/A 64978-2023 karta.png", "A 64978-2023")</f>
        <v/>
      </c>
      <c r="Y16">
        <f>HYPERLINK("https://klasma.github.io/Logging_0686/kartor_geotiff/A 64978-2023 georefererad karta.tif", "A 64978-2023")</f>
        <v/>
      </c>
      <c r="AA16">
        <f>HYPERLINK("https://klasma.github.io/Logging_0686/klagomål/A 64978-2023 FSC-klagomål.docx", "A 64978-2023")</f>
        <v/>
      </c>
      <c r="AB16">
        <f>HYPERLINK("https://klasma.github.io/Logging_0686/klagomålsmail/A 64978-2023 FSC-klagomål mail.docx", "A 64978-2023")</f>
        <v/>
      </c>
      <c r="AC16">
        <f>HYPERLINK("https://klasma.github.io/Logging_0686/tillsyn/A 64978-2023 tillsynsbegäran.docx", "A 64978-2023")</f>
        <v/>
      </c>
      <c r="AD16">
        <f>HYPERLINK("https://klasma.github.io/Logging_0686/tillsynsmail/A 64978-2023 tillsynsbegäran mail.docx", "A 64978-2023")</f>
        <v/>
      </c>
    </row>
    <row r="17" ht="15" customHeight="1">
      <c r="A17" t="inlineStr">
        <is>
          <t>A 44585-2024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45574</v>
      </c>
      <c r="E17" s="1" t="n">
        <v>46323</v>
      </c>
      <c r="F17" t="inlineStr">
        <is>
          <t>JÖNKÖPINGS LÄN</t>
        </is>
      </c>
      <c r="G17" t="inlineStr">
        <is>
          <t>EKSJÖ</t>
        </is>
      </c>
      <c r="H17" t="inlineStr">
        <is>
          <t>Sveaskog</t>
        </is>
      </c>
      <c r="I17" t="n">
        <v>1.5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Större brunfladdermus</t>
        </is>
      </c>
      <c r="W17">
        <f>HYPERLINK("https://klasma.github.io/Logging_0686/artfynd/A 44585-2024 artfynd.xlsx", "A 44585-2024")</f>
        <v/>
      </c>
      <c r="X17">
        <f>HYPERLINK("https://klasma.github.io/Logging_0686/kartor/A 44585-2024 karta.png", "A 44585-2024")</f>
        <v/>
      </c>
      <c r="Y17">
        <f>HYPERLINK("https://klasma.github.io/Logging_0686/kartor_geotiff/A 44585-2024 georefererad karta.tif", "A 44585-2024")</f>
        <v/>
      </c>
      <c r="AA17">
        <f>HYPERLINK("https://klasma.github.io/Logging_0686/klagomål/A 44585-2024 FSC-klagomål.docx", "A 44585-2024")</f>
        <v/>
      </c>
      <c r="AB17">
        <f>HYPERLINK("https://klasma.github.io/Logging_0686/klagomålsmail/A 44585-2024 FSC-klagomål mail.docx", "A 44585-2024")</f>
        <v/>
      </c>
      <c r="AC17">
        <f>HYPERLINK("https://klasma.github.io/Logging_0686/tillsyn/A 44585-2024 tillsynsbegäran.docx", "A 44585-2024")</f>
        <v/>
      </c>
      <c r="AD17">
        <f>HYPERLINK("https://klasma.github.io/Logging_0686/tillsynsmail/A 44585-2024 tillsynsbegäran mail.docx", "A 44585-2024")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46323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46323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46323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46323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46323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46323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46323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46323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46323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46323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46323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46323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46323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46323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46323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46323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18327-2024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45422</v>
      </c>
      <c r="E34" s="1" t="n">
        <v>46323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Dvärgbägarlav</t>
        </is>
      </c>
      <c r="W34">
        <f>HYPERLINK("https://klasma.github.io/Logging_0686/artfynd/A 18327-2024 artfynd.xlsx", "A 18327-2024")</f>
        <v/>
      </c>
      <c r="X34">
        <f>HYPERLINK("https://klasma.github.io/Logging_0686/kartor/A 18327-2024 karta.png", "A 18327-2024")</f>
        <v/>
      </c>
      <c r="Y34">
        <f>HYPERLINK("https://klasma.github.io/Logging_0686/kartor_geotiff/A 18327-2024 georefererad karta.tif", "A 18327-2024")</f>
        <v/>
      </c>
      <c r="AA34">
        <f>HYPERLINK("https://klasma.github.io/Logging_0686/klagomål/A 18327-2024 FSC-klagomål.docx", "A 18327-2024")</f>
        <v/>
      </c>
      <c r="AB34">
        <f>HYPERLINK("https://klasma.github.io/Logging_0686/klagomålsmail/A 18327-2024 FSC-klagomål mail.docx", "A 18327-2024")</f>
        <v/>
      </c>
      <c r="AC34">
        <f>HYPERLINK("https://klasma.github.io/Logging_0686/tillsyn/A 18327-2024 tillsynsbegäran.docx", "A 18327-2024")</f>
        <v/>
      </c>
      <c r="AD34">
        <f>HYPERLINK("https://klasma.github.io/Logging_0686/tillsynsmail/A 18327-2024 tillsynsbegäran mail.docx", "A 18327-2024")</f>
        <v/>
      </c>
    </row>
    <row r="35" ht="15" customHeight="1">
      <c r="A35" t="inlineStr">
        <is>
          <t>A 5128-2024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46323</v>
      </c>
      <c r="F35" t="inlineStr">
        <is>
          <t>JÖNKÖPINGS LÄN</t>
        </is>
      </c>
      <c r="G35" t="inlineStr">
        <is>
          <t>EKSJÖ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0</v>
      </c>
      <c r="V35" s="2" t="inlineStr">
        <is>
          <t>Ask</t>
        </is>
      </c>
      <c r="W35">
        <f>HYPERLINK("https://klasma.github.io/Logging_0686/artfynd/A 5128-2024 artfynd.xlsx", "A 5128-2024")</f>
        <v/>
      </c>
      <c r="X35">
        <f>HYPERLINK("https://klasma.github.io/Logging_0686/kartor/A 5128-2024 karta.png", "A 5128-2024")</f>
        <v/>
      </c>
      <c r="Y35">
        <f>HYPERLINK("https://klasma.github.io/Logging_0686/kartor_geotiff/A 5128-2024 georefererad karta.tif", "A 5128-2024")</f>
        <v/>
      </c>
      <c r="AA35">
        <f>HYPERLINK("https://klasma.github.io/Logging_0686/klagomål/A 5128-2024 FSC-klagomål.docx", "A 5128-2024")</f>
        <v/>
      </c>
      <c r="AB35">
        <f>HYPERLINK("https://klasma.github.io/Logging_0686/klagomålsmail/A 5128-2024 FSC-klagomål mail.docx", "A 5128-2024")</f>
        <v/>
      </c>
      <c r="AC35">
        <f>HYPERLINK("https://klasma.github.io/Logging_0686/tillsyn/A 5128-2024 tillsynsbegäran.docx", "A 5128-2024")</f>
        <v/>
      </c>
      <c r="AD35">
        <f>HYPERLINK("https://klasma.github.io/Logging_0686/tillsynsmail/A 5128-2024 tillsynsbegäran mail.docx", "A 5128-2024")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46323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41746-2023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46323</v>
      </c>
      <c r="F37" t="inlineStr">
        <is>
          <t>JÖNKÖPINGS LÄN</t>
        </is>
      </c>
      <c r="G37" t="inlineStr">
        <is>
          <t>EKSJÖ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HYPERLINK("https://klasma.github.io/Logging_0686/artfynd/A 41746-2023 artfynd.xlsx", "A 41746-2023")</f>
        <v/>
      </c>
      <c r="X37">
        <f>HYPERLINK("https://klasma.github.io/Logging_0686/kartor/A 41746-2023 karta.png", "A 41746-2023")</f>
        <v/>
      </c>
      <c r="Y37">
        <f>HYPERLINK("https://klasma.github.io/Logging_0686/kartor_geotiff/A 41746-2023 georefererad karta.tif", "A 41746-2023")</f>
        <v/>
      </c>
      <c r="AA37">
        <f>HYPERLINK("https://klasma.github.io/Logging_0686/klagomål/A 41746-2023 FSC-klagomål.docx", "A 41746-2023")</f>
        <v/>
      </c>
      <c r="AB37">
        <f>HYPERLINK("https://klasma.github.io/Logging_0686/klagomålsmail/A 41746-2023 FSC-klagomål mail.docx", "A 41746-2023")</f>
        <v/>
      </c>
      <c r="AC37">
        <f>HYPERLINK("https://klasma.github.io/Logging_0686/tillsyn/A 41746-2023 tillsynsbegäran.docx", "A 41746-2023")</f>
        <v/>
      </c>
      <c r="AD37">
        <f>HYPERLINK("https://klasma.github.io/Logging_0686/tillsynsmail/A 41746-2023 tillsynsbegäran mail.docx", "A 41746-2023")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46323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46323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40986-2026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46297</v>
      </c>
      <c r="E40" s="1" t="n">
        <v>46323</v>
      </c>
      <c r="F40" t="inlineStr">
        <is>
          <t>JÖNKÖPINGS LÄN</t>
        </is>
      </c>
      <c r="G40" t="inlineStr">
        <is>
          <t>EKSJÖ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HYPERLINK("https://klasma.github.io/Logging_0686/artfynd/A 40986-2026 artfynd.xlsx", "A 40986-2026")</f>
        <v/>
      </c>
      <c r="X40">
        <f>HYPERLINK("https://klasma.github.io/Logging_0686/kartor/A 40986-2026 karta.png", "A 40986-2026")</f>
        <v/>
      </c>
      <c r="Y40">
        <f>HYPERLINK("https://klasma.github.io/Logging_0686/kartor_geotiff/A 40986-2026 georefererad karta.tif", "A 40986-2026")</f>
        <v/>
      </c>
      <c r="AA40">
        <f>HYPERLINK("https://klasma.github.io/Logging_0686/klagomål/A 40986-2026 FSC-klagomål.docx", "A 40986-2026")</f>
        <v/>
      </c>
      <c r="AB40">
        <f>HYPERLINK("https://klasma.github.io/Logging_0686/klagomålsmail/A 40986-2026 FSC-klagomål mail.docx", "A 40986-2026")</f>
        <v/>
      </c>
      <c r="AC40">
        <f>HYPERLINK("https://klasma.github.io/Logging_0686/tillsyn/A 40986-2026 tillsynsbegäran.docx", "A 40986-2026")</f>
        <v/>
      </c>
      <c r="AD40">
        <f>HYPERLINK("https://klasma.github.io/Logging_0686/tillsynsmail/A 40986-2026 tillsynsbegäran mail.docx", "A 40986-2026")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46323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46323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46323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42346-2026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46307</v>
      </c>
      <c r="E44" s="1" t="n">
        <v>46323</v>
      </c>
      <c r="F44" t="inlineStr">
        <is>
          <t>JÖNKÖPINGS LÄN</t>
        </is>
      </c>
      <c r="G44" t="inlineStr">
        <is>
          <t>EKSJÖ</t>
        </is>
      </c>
      <c r="I44" t="n">
        <v>0.7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Stoftfibbla</t>
        </is>
      </c>
      <c r="W44">
        <f>HYPERLINK("https://klasma.github.io/Logging_0686/artfynd/A 42346-2026 artfynd.xlsx", "A 42346-2026")</f>
        <v/>
      </c>
      <c r="X44">
        <f>HYPERLINK("https://klasma.github.io/Logging_0686/kartor/A 42346-2026 karta.png", "A 42346-2026")</f>
        <v/>
      </c>
      <c r="Y44">
        <f>HYPERLINK("https://klasma.github.io/Logging_0686/kartor_geotiff/A 42346-2026 georefererad karta.tif", "A 42346-2026")</f>
        <v/>
      </c>
      <c r="AA44">
        <f>HYPERLINK("https://klasma.github.io/Logging_0686/klagomål/A 42346-2026 FSC-klagomål.docx", "A 42346-2026")</f>
        <v/>
      </c>
      <c r="AB44">
        <f>HYPERLINK("https://klasma.github.io/Logging_0686/klagomålsmail/A 42346-2026 FSC-klagomål mail.docx", "A 42346-2026")</f>
        <v/>
      </c>
      <c r="AC44">
        <f>HYPERLINK("https://klasma.github.io/Logging_0686/tillsyn/A 42346-2026 tillsynsbegäran.docx", "A 42346-2026")</f>
        <v/>
      </c>
      <c r="AD44">
        <f>HYPERLINK("https://klasma.github.io/Logging_0686/tillsynsmail/A 42346-2026 tillsynsbegäran mail.docx", "A 42346-2026")</f>
        <v/>
      </c>
    </row>
    <row r="45" ht="15" customHeight="1">
      <c r="A45" t="inlineStr">
        <is>
          <t>A 38596-2026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46283</v>
      </c>
      <c r="E45" s="1" t="n">
        <v>46323</v>
      </c>
      <c r="F45" t="inlineStr">
        <is>
          <t>JÖNKÖPINGS LÄN</t>
        </is>
      </c>
      <c r="G45" t="inlineStr">
        <is>
          <t>EKSJÖ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Svart trolldruva</t>
        </is>
      </c>
      <c r="W45">
        <f>HYPERLINK("https://klasma.github.io/Logging_0686/artfynd/A 38596-2026 artfynd.xlsx", "A 38596-2026")</f>
        <v/>
      </c>
      <c r="X45">
        <f>HYPERLINK("https://klasma.github.io/Logging_0686/kartor/A 38596-2026 karta.png", "A 38596-2026")</f>
        <v/>
      </c>
      <c r="Y45">
        <f>HYPERLINK("https://klasma.github.io/Logging_0686/kartor_geotiff/A 38596-2026 georefererad karta.tif", "A 38596-2026")</f>
        <v/>
      </c>
      <c r="AA45">
        <f>HYPERLINK("https://klasma.github.io/Logging_0686/klagomål/A 38596-2026 FSC-klagomål.docx", "A 38596-2026")</f>
        <v/>
      </c>
      <c r="AB45">
        <f>HYPERLINK("https://klasma.github.io/Logging_0686/klagomålsmail/A 38596-2026 FSC-klagomål mail.docx", "A 38596-2026")</f>
        <v/>
      </c>
      <c r="AC45">
        <f>HYPERLINK("https://klasma.github.io/Logging_0686/tillsyn/A 38596-2026 tillsynsbegäran.docx", "A 38596-2026")</f>
        <v/>
      </c>
      <c r="AD45">
        <f>HYPERLINK("https://klasma.github.io/Logging_0686/tillsynsmail/A 38596-2026 tillsynsbegäran mail.docx", "A 38596-2026")</f>
        <v/>
      </c>
    </row>
    <row r="46" ht="15" customHeight="1">
      <c r="A46" t="inlineStr">
        <is>
          <t>A 41670-2026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46323</v>
      </c>
      <c r="F46" t="inlineStr">
        <is>
          <t>JÖNKÖPINGS LÄN</t>
        </is>
      </c>
      <c r="G46" t="inlineStr">
        <is>
          <t>EKSJÖ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Vätteros</t>
        </is>
      </c>
      <c r="W46">
        <f>HYPERLINK("https://klasma.github.io/Logging_0686/artfynd/A 41670-2026 artfynd.xlsx", "A 41670-2026")</f>
        <v/>
      </c>
      <c r="X46">
        <f>HYPERLINK("https://klasma.github.io/Logging_0686/kartor/A 41670-2026 karta.png", "A 41670-2026")</f>
        <v/>
      </c>
      <c r="Y46">
        <f>HYPERLINK("https://klasma.github.io/Logging_0686/kartor_geotiff/A 41670-2026 georefererad karta.tif", "A 41670-2026")</f>
        <v/>
      </c>
      <c r="AA46">
        <f>HYPERLINK("https://klasma.github.io/Logging_0686/klagomål/A 41670-2026 FSC-klagomål.docx", "A 41670-2026")</f>
        <v/>
      </c>
      <c r="AB46">
        <f>HYPERLINK("https://klasma.github.io/Logging_0686/klagomålsmail/A 41670-2026 FSC-klagomål mail.docx", "A 41670-2026")</f>
        <v/>
      </c>
      <c r="AC46">
        <f>HYPERLINK("https://klasma.github.io/Logging_0686/tillsyn/A 41670-2026 tillsynsbegäran.docx", "A 41670-2026")</f>
        <v/>
      </c>
      <c r="AD46">
        <f>HYPERLINK("https://klasma.github.io/Logging_0686/tillsynsmail/A 41670-2026 tillsynsbegäran mail.docx", "A 41670-2026")</f>
        <v/>
      </c>
    </row>
    <row r="47" ht="15" customHeight="1">
      <c r="A47" t="inlineStr">
        <is>
          <t>A 1073-2025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46323</v>
      </c>
      <c r="F47" t="inlineStr">
        <is>
          <t>JÖNKÖPINGS LÄN</t>
        </is>
      </c>
      <c r="G47" t="inlineStr">
        <is>
          <t>EKSJÖ</t>
        </is>
      </c>
      <c r="I47" t="n">
        <v>1.8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Myggblomster</t>
        </is>
      </c>
      <c r="W47">
        <f>HYPERLINK("https://klasma.github.io/Logging_0686/artfynd/A 1073-2025 artfynd.xlsx", "A 1073-2025")</f>
        <v/>
      </c>
      <c r="X47">
        <f>HYPERLINK("https://klasma.github.io/Logging_0686/kartor/A 1073-2025 karta.png", "A 1073-2025")</f>
        <v/>
      </c>
      <c r="Y47">
        <f>HYPERLINK("https://klasma.github.io/Logging_0686/kartor_geotiff/A 1073-2025 georefererad karta.tif", "A 1073-2025")</f>
        <v/>
      </c>
      <c r="AA47">
        <f>HYPERLINK("https://klasma.github.io/Logging_0686/klagomål/A 1073-2025 FSC-klagomål.docx", "A 1073-2025")</f>
        <v/>
      </c>
      <c r="AB47">
        <f>HYPERLINK("https://klasma.github.io/Logging_0686/klagomålsmail/A 1073-2025 FSC-klagomål mail.docx", "A 1073-2025")</f>
        <v/>
      </c>
      <c r="AC47">
        <f>HYPERLINK("https://klasma.github.io/Logging_0686/tillsyn/A 1073-2025 tillsynsbegäran.docx", "A 1073-2025")</f>
        <v/>
      </c>
      <c r="AD47">
        <f>HYPERLINK("https://klasma.github.io/Logging_0686/tillsynsmail/A 1073-2025 tillsynsbegäran mail.docx", "A 1073-2025")</f>
        <v/>
      </c>
    </row>
    <row r="48" ht="15" customHeight="1">
      <c r="A48" t="inlineStr">
        <is>
          <t>A 23536-2026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46163</v>
      </c>
      <c r="E48" s="1" t="n">
        <v>46323</v>
      </c>
      <c r="F48" t="inlineStr">
        <is>
          <t>JÖNKÖPINGS LÄN</t>
        </is>
      </c>
      <c r="G48" t="inlineStr">
        <is>
          <t>EKSJÖ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Spindelört</t>
        </is>
      </c>
      <c r="W48">
        <f>HYPERLINK("https://klasma.github.io/Logging_0686/artfynd/A 23536-2026 artfynd.xlsx", "A 23536-2026")</f>
        <v/>
      </c>
      <c r="X48">
        <f>HYPERLINK("https://klasma.github.io/Logging_0686/kartor/A 23536-2026 karta.png", "A 23536-2026")</f>
        <v/>
      </c>
      <c r="Y48">
        <f>HYPERLINK("https://klasma.github.io/Logging_0686/kartor_geotiff/A 23536-2026 georefererad karta.tif", "A 23536-2026")</f>
        <v/>
      </c>
      <c r="AA48">
        <f>HYPERLINK("https://klasma.github.io/Logging_0686/klagomål/A 23536-2026 FSC-klagomål.docx", "A 23536-2026")</f>
        <v/>
      </c>
      <c r="AB48">
        <f>HYPERLINK("https://klasma.github.io/Logging_0686/klagomålsmail/A 23536-2026 FSC-klagomål mail.docx", "A 23536-2026")</f>
        <v/>
      </c>
      <c r="AC48">
        <f>HYPERLINK("https://klasma.github.io/Logging_0686/tillsyn/A 23536-2026 tillsynsbegäran.docx", "A 23536-2026")</f>
        <v/>
      </c>
      <c r="AD48">
        <f>HYPERLINK("https://klasma.github.io/Logging_0686/tillsynsmail/A 23536-2026 tillsynsbegäran mail.docx", "A 23536-2026")</f>
        <v/>
      </c>
    </row>
    <row r="49" ht="15" customHeight="1">
      <c r="A49" t="inlineStr">
        <is>
          <t>A 23519-2026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46163</v>
      </c>
      <c r="E49" s="1" t="n">
        <v>46323</v>
      </c>
      <c r="F49" t="inlineStr">
        <is>
          <t>JÖNKÖPINGS LÄN</t>
        </is>
      </c>
      <c r="G49" t="inlineStr">
        <is>
          <t>EKSJÖ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Svartvit flugsnappare</t>
        </is>
      </c>
      <c r="W49">
        <f>HYPERLINK("https://klasma.github.io/Logging_0686/artfynd/A 23519-2026 artfynd.xlsx", "A 23519-2026")</f>
        <v/>
      </c>
      <c r="X49">
        <f>HYPERLINK("https://klasma.github.io/Logging_0686/kartor/A 23519-2026 karta.png", "A 23519-2026")</f>
        <v/>
      </c>
      <c r="Y49">
        <f>HYPERLINK("https://klasma.github.io/Logging_0686/kartor_geotiff/A 23519-2026 georefererad karta.tif", "A 23519-2026")</f>
        <v/>
      </c>
      <c r="AA49">
        <f>HYPERLINK("https://klasma.github.io/Logging_0686/klagomål/A 23519-2026 FSC-klagomål.docx", "A 23519-2026")</f>
        <v/>
      </c>
      <c r="AB49">
        <f>HYPERLINK("https://klasma.github.io/Logging_0686/klagomålsmail/A 23519-2026 FSC-klagomål mail.docx", "A 23519-2026")</f>
        <v/>
      </c>
      <c r="AC49">
        <f>HYPERLINK("https://klasma.github.io/Logging_0686/tillsyn/A 23519-2026 tillsynsbegäran.docx", "A 23519-2026")</f>
        <v/>
      </c>
      <c r="AD49">
        <f>HYPERLINK("https://klasma.github.io/Logging_0686/tillsynsmail/A 23519-2026 tillsynsbegäran mail.docx", "A 23519-2026")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46323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46323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46323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46323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46323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46323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46323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46323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46323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46323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46323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46323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46323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46323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46323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46323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46323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46323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46323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46323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46323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46323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46323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46323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46323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46323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46323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46323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73675-2021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46323</v>
      </c>
      <c r="F78" t="inlineStr">
        <is>
          <t>JÖNKÖPINGS LÄN</t>
        </is>
      </c>
      <c r="G78" t="inlineStr">
        <is>
          <t>EKSJÖ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46323</v>
      </c>
      <c r="F79" t="inlineStr">
        <is>
          <t>JÖNKÖPINGS LÄN</t>
        </is>
      </c>
      <c r="G79" t="inlineStr">
        <is>
          <t>EKSJÖ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46323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46323</v>
      </c>
      <c r="F81" t="inlineStr">
        <is>
          <t>JÖNKÖPINGS LÄN</t>
        </is>
      </c>
      <c r="G81" t="inlineStr">
        <is>
          <t>EKSJÖ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46323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44592</v>
      </c>
      <c r="E83" s="1" t="n">
        <v>46323</v>
      </c>
      <c r="F83" t="inlineStr">
        <is>
          <t>JÖNKÖPINGS LÄN</t>
        </is>
      </c>
      <c r="G83" t="inlineStr">
        <is>
          <t>EKSJÖ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44616</v>
      </c>
      <c r="E84" s="1" t="n">
        <v>46323</v>
      </c>
      <c r="F84" t="inlineStr">
        <is>
          <t>JÖNKÖPINGS LÄN</t>
        </is>
      </c>
      <c r="G84" t="inlineStr">
        <is>
          <t>EKSJÖ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44701</v>
      </c>
      <c r="E85" s="1" t="n">
        <v>46323</v>
      </c>
      <c r="F85" t="inlineStr">
        <is>
          <t>JÖNKÖPINGS LÄN</t>
        </is>
      </c>
      <c r="G85" t="inlineStr">
        <is>
          <t>EKSJÖ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46323</v>
      </c>
      <c r="F86" t="inlineStr">
        <is>
          <t>JÖNKÖPINGS LÄN</t>
        </is>
      </c>
      <c r="G86" t="inlineStr">
        <is>
          <t>EKSJÖ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46323</v>
      </c>
      <c r="F87" t="inlineStr">
        <is>
          <t>JÖNKÖPINGS LÄN</t>
        </is>
      </c>
      <c r="G87" t="inlineStr">
        <is>
          <t>EKSJÖ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67308-2021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46323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44748</v>
      </c>
      <c r="E89" s="1" t="n">
        <v>46323</v>
      </c>
      <c r="F89" t="inlineStr">
        <is>
          <t>JÖNKÖPINGS LÄN</t>
        </is>
      </c>
      <c r="G89" t="inlineStr">
        <is>
          <t>EKSJÖ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46323</v>
      </c>
      <c r="F90" t="inlineStr">
        <is>
          <t>JÖNKÖPINGS LÄN</t>
        </is>
      </c>
      <c r="G90" t="inlineStr">
        <is>
          <t>EKSJÖ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46323</v>
      </c>
      <c r="F91" t="inlineStr">
        <is>
          <t>JÖNKÖPINGS LÄN</t>
        </is>
      </c>
      <c r="G91" t="inlineStr">
        <is>
          <t>EKSJÖ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46323</v>
      </c>
      <c r="F92" t="inlineStr">
        <is>
          <t>JÖNKÖPINGS LÄN</t>
        </is>
      </c>
      <c r="G92" t="inlineStr">
        <is>
          <t>EKSJÖ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46323</v>
      </c>
      <c r="F93" t="inlineStr">
        <is>
          <t>JÖNKÖPINGS LÄN</t>
        </is>
      </c>
      <c r="G93" t="inlineStr">
        <is>
          <t>EKSJÖ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46323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46323</v>
      </c>
      <c r="F95" t="inlineStr">
        <is>
          <t>JÖNKÖPINGS LÄN</t>
        </is>
      </c>
      <c r="G95" t="inlineStr">
        <is>
          <t>EKSJÖ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46323</v>
      </c>
      <c r="F96" t="inlineStr">
        <is>
          <t>JÖNKÖPINGS LÄN</t>
        </is>
      </c>
      <c r="G96" t="inlineStr">
        <is>
          <t>EKSJÖ</t>
        </is>
      </c>
      <c r="H96" t="inlineStr">
        <is>
          <t>Kyrkan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45463</v>
      </c>
      <c r="E97" s="1" t="n">
        <v>46323</v>
      </c>
      <c r="F97" t="inlineStr">
        <is>
          <t>JÖNKÖPINGS LÄN</t>
        </is>
      </c>
      <c r="G97" t="inlineStr">
        <is>
          <t>EKSJÖ</t>
        </is>
      </c>
      <c r="H97" t="inlineStr">
        <is>
          <t>Övriga Aktiebolag</t>
        </is>
      </c>
      <c r="I97" t="n">
        <v>17.5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46323</v>
      </c>
      <c r="F98" t="inlineStr">
        <is>
          <t>JÖNKÖPINGS LÄN</t>
        </is>
      </c>
      <c r="G98" t="inlineStr">
        <is>
          <t>EKSJÖ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46323</v>
      </c>
      <c r="F99" t="inlineStr">
        <is>
          <t>JÖNKÖPINGS LÄN</t>
        </is>
      </c>
      <c r="G99" t="inlineStr">
        <is>
          <t>EKSJÖ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46323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46323</v>
      </c>
      <c r="F101" t="inlineStr">
        <is>
          <t>JÖNKÖPINGS LÄN</t>
        </is>
      </c>
      <c r="G101" t="inlineStr">
        <is>
          <t>EKSJÖ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44925</v>
      </c>
      <c r="E102" s="1" t="n">
        <v>46323</v>
      </c>
      <c r="F102" t="inlineStr">
        <is>
          <t>JÖNKÖPINGS LÄN</t>
        </is>
      </c>
      <c r="G102" t="inlineStr">
        <is>
          <t>EKSJÖ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46323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46323</v>
      </c>
      <c r="F104" t="inlineStr">
        <is>
          <t>JÖNKÖPINGS LÄN</t>
        </is>
      </c>
      <c r="G104" t="inlineStr">
        <is>
          <t>EKSJÖ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36355-2022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46323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45715</v>
      </c>
      <c r="E106" s="1" t="n">
        <v>46323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46323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46323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46323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46323</v>
      </c>
      <c r="F110" t="inlineStr">
        <is>
          <t>JÖNKÖPINGS LÄN</t>
        </is>
      </c>
      <c r="G110" t="inlineStr">
        <is>
          <t>EKSJÖ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46323</v>
      </c>
      <c r="F111" t="inlineStr">
        <is>
          <t>JÖNKÖPINGS LÄN</t>
        </is>
      </c>
      <c r="G111" t="inlineStr">
        <is>
          <t>EKSJÖ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45628</v>
      </c>
      <c r="E112" s="1" t="n">
        <v>46323</v>
      </c>
      <c r="F112" t="inlineStr">
        <is>
          <t>JÖNKÖPINGS LÄN</t>
        </is>
      </c>
      <c r="G112" t="inlineStr">
        <is>
          <t>EKSJÖ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66930-2021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46323</v>
      </c>
      <c r="F113" t="inlineStr">
        <is>
          <t>JÖNKÖPINGS LÄN</t>
        </is>
      </c>
      <c r="G113" t="inlineStr">
        <is>
          <t>EKSJÖ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8335-2022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46323</v>
      </c>
      <c r="F114" t="inlineStr">
        <is>
          <t>JÖNKÖPINGS LÄN</t>
        </is>
      </c>
      <c r="G114" t="inlineStr">
        <is>
          <t>EKSJÖ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46323</v>
      </c>
      <c r="F115" t="inlineStr">
        <is>
          <t>JÖNKÖPINGS LÄN</t>
        </is>
      </c>
      <c r="G115" t="inlineStr">
        <is>
          <t>EKSJÖ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46323</v>
      </c>
      <c r="F116" t="inlineStr">
        <is>
          <t>JÖNKÖPINGS LÄN</t>
        </is>
      </c>
      <c r="G116" t="inlineStr">
        <is>
          <t>EKSJÖ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46323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46323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45086</v>
      </c>
      <c r="E119" s="1" t="n">
        <v>46323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46323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46323</v>
      </c>
      <c r="F121" t="inlineStr">
        <is>
          <t>JÖNKÖPINGS LÄN</t>
        </is>
      </c>
      <c r="G121" t="inlineStr">
        <is>
          <t>EKSJÖ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46323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46323</v>
      </c>
      <c r="F123" t="inlineStr">
        <is>
          <t>JÖNKÖPINGS LÄN</t>
        </is>
      </c>
      <c r="G123" t="inlineStr">
        <is>
          <t>EKSJÖ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46323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43411-2022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44834</v>
      </c>
      <c r="E125" s="1" t="n">
        <v>46323</v>
      </c>
      <c r="F125" t="inlineStr">
        <is>
          <t>JÖNKÖPINGS LÄN</t>
        </is>
      </c>
      <c r="G125" t="inlineStr">
        <is>
          <t>EKSJÖ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46323</v>
      </c>
      <c r="F126" t="inlineStr">
        <is>
          <t>JÖNKÖPINGS LÄN</t>
        </is>
      </c>
      <c r="G126" t="inlineStr">
        <is>
          <t>EKSJÖ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13273-2023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45003</v>
      </c>
      <c r="E127" s="1" t="n">
        <v>46323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46323</v>
      </c>
      <c r="F128" t="inlineStr">
        <is>
          <t>JÖNKÖPINGS LÄN</t>
        </is>
      </c>
      <c r="G128" t="inlineStr">
        <is>
          <t>EKSJÖ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45512</v>
      </c>
      <c r="E129" s="1" t="n">
        <v>46323</v>
      </c>
      <c r="F129" t="inlineStr">
        <is>
          <t>JÖNKÖPINGS LÄN</t>
        </is>
      </c>
      <c r="G129" t="inlineStr">
        <is>
          <t>EKSJÖ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46323</v>
      </c>
      <c r="F130" t="inlineStr">
        <is>
          <t>JÖNKÖPINGS LÄN</t>
        </is>
      </c>
      <c r="G130" t="inlineStr">
        <is>
          <t>EKSJÖ</t>
        </is>
      </c>
      <c r="H130" t="inlineStr">
        <is>
          <t>Kommuner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46323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46323</v>
      </c>
      <c r="F132" t="inlineStr">
        <is>
          <t>JÖNKÖPINGS LÄN</t>
        </is>
      </c>
      <c r="G132" t="inlineStr">
        <is>
          <t>EKSJÖ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46323</v>
      </c>
      <c r="F133" t="inlineStr">
        <is>
          <t>JÖNKÖPINGS LÄN</t>
        </is>
      </c>
      <c r="G133" t="inlineStr">
        <is>
          <t>EKSJÖ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54292-2023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45232</v>
      </c>
      <c r="E134" s="1" t="n">
        <v>46323</v>
      </c>
      <c r="F134" t="inlineStr">
        <is>
          <t>JÖNKÖPINGS LÄN</t>
        </is>
      </c>
      <c r="G134" t="inlineStr">
        <is>
          <t>EKSJÖ</t>
        </is>
      </c>
      <c r="I134" t="n">
        <v>18.3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46323</v>
      </c>
      <c r="F135" t="inlineStr">
        <is>
          <t>JÖNKÖPINGS LÄN</t>
        </is>
      </c>
      <c r="G135" t="inlineStr">
        <is>
          <t>EKSJÖ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46323</v>
      </c>
      <c r="F136" t="inlineStr">
        <is>
          <t>JÖNKÖPINGS LÄN</t>
        </is>
      </c>
      <c r="G136" t="inlineStr">
        <is>
          <t>EKSJÖ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45365</v>
      </c>
      <c r="E137" s="1" t="n">
        <v>46323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45463</v>
      </c>
      <c r="E138" s="1" t="n">
        <v>46323</v>
      </c>
      <c r="F138" t="inlineStr">
        <is>
          <t>JÖNKÖPINGS LÄN</t>
        </is>
      </c>
      <c r="G138" t="inlineStr">
        <is>
          <t>EKSJÖ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46323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46323</v>
      </c>
      <c r="F140" t="inlineStr">
        <is>
          <t>JÖNKÖPINGS LÄN</t>
        </is>
      </c>
      <c r="G140" t="inlineStr">
        <is>
          <t>EKSJÖ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46323</v>
      </c>
      <c r="F141" t="inlineStr">
        <is>
          <t>JÖNKÖPINGS LÄN</t>
        </is>
      </c>
      <c r="G141" t="inlineStr">
        <is>
          <t>EKSJÖ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46323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45617</v>
      </c>
      <c r="E143" s="1" t="n">
        <v>46323</v>
      </c>
      <c r="F143" t="inlineStr">
        <is>
          <t>JÖNKÖPINGS LÄN</t>
        </is>
      </c>
      <c r="G143" t="inlineStr">
        <is>
          <t>EKSJÖ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45114</v>
      </c>
      <c r="E144" s="1" t="n">
        <v>46323</v>
      </c>
      <c r="F144" t="inlineStr">
        <is>
          <t>JÖNKÖPINGS LÄN</t>
        </is>
      </c>
      <c r="G144" t="inlineStr">
        <is>
          <t>EKSJÖ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46323</v>
      </c>
      <c r="F145" t="inlineStr">
        <is>
          <t>JÖNKÖPINGS LÄN</t>
        </is>
      </c>
      <c r="G145" t="inlineStr">
        <is>
          <t>EKSJÖ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44580</v>
      </c>
      <c r="E146" s="1" t="n">
        <v>46323</v>
      </c>
      <c r="F146" t="inlineStr">
        <is>
          <t>JÖNKÖPINGS LÄN</t>
        </is>
      </c>
      <c r="G146" t="inlineStr">
        <is>
          <t>EKSJÖ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45475</v>
      </c>
      <c r="E147" s="1" t="n">
        <v>46323</v>
      </c>
      <c r="F147" t="inlineStr">
        <is>
          <t>JÖNKÖPINGS LÄN</t>
        </is>
      </c>
      <c r="G147" t="inlineStr">
        <is>
          <t>EKSJÖ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46323</v>
      </c>
      <c r="F148" t="inlineStr">
        <is>
          <t>JÖNKÖPINGS LÄN</t>
        </is>
      </c>
      <c r="G148" t="inlineStr">
        <is>
          <t>EKSJÖ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46323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45677</v>
      </c>
      <c r="E150" s="1" t="n">
        <v>46323</v>
      </c>
      <c r="F150" t="inlineStr">
        <is>
          <t>JÖNKÖPINGS LÄN</t>
        </is>
      </c>
      <c r="G150" t="inlineStr">
        <is>
          <t>EKSJÖ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45723</v>
      </c>
      <c r="E151" s="1" t="n">
        <v>46323</v>
      </c>
      <c r="F151" t="inlineStr">
        <is>
          <t>JÖNKÖPINGS LÄN</t>
        </is>
      </c>
      <c r="G151" t="inlineStr">
        <is>
          <t>EKSJÖ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46323</v>
      </c>
      <c r="F152" t="inlineStr">
        <is>
          <t>JÖNKÖPINGS LÄN</t>
        </is>
      </c>
      <c r="G152" t="inlineStr">
        <is>
          <t>EKSJÖ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46323</v>
      </c>
      <c r="F153" t="inlineStr">
        <is>
          <t>JÖNKÖPINGS LÄN</t>
        </is>
      </c>
      <c r="G153" t="inlineStr">
        <is>
          <t>EKSJÖ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46323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57327-2023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46323</v>
      </c>
      <c r="F155" t="inlineStr">
        <is>
          <t>JÖNKÖPINGS LÄN</t>
        </is>
      </c>
      <c r="G155" t="inlineStr">
        <is>
          <t>EKSJÖ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46323</v>
      </c>
      <c r="F156" t="inlineStr">
        <is>
          <t>JÖNKÖPINGS LÄN</t>
        </is>
      </c>
      <c r="G156" t="inlineStr">
        <is>
          <t>EKSJÖ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46323</v>
      </c>
      <c r="F157" t="inlineStr">
        <is>
          <t>JÖNKÖPINGS LÄN</t>
        </is>
      </c>
      <c r="G157" t="inlineStr">
        <is>
          <t>EKSJÖ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46323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46323</v>
      </c>
      <c r="F159" t="inlineStr">
        <is>
          <t>JÖNKÖPINGS LÄN</t>
        </is>
      </c>
      <c r="G159" t="inlineStr">
        <is>
          <t>EKSJÖ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45837</v>
      </c>
      <c r="E160" s="1" t="n">
        <v>46323</v>
      </c>
      <c r="F160" t="inlineStr">
        <is>
          <t>JÖNKÖPINGS LÄN</t>
        </is>
      </c>
      <c r="G160" t="inlineStr">
        <is>
          <t>EKSJÖ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45575</v>
      </c>
      <c r="E161" s="1" t="n">
        <v>46323</v>
      </c>
      <c r="F161" t="inlineStr">
        <is>
          <t>JÖNKÖPINGS LÄN</t>
        </is>
      </c>
      <c r="G161" t="inlineStr">
        <is>
          <t>EKSJÖ</t>
        </is>
      </c>
      <c r="H161" t="inlineStr">
        <is>
          <t>Övriga Aktiebolag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45845</v>
      </c>
      <c r="E162" s="1" t="n">
        <v>46323</v>
      </c>
      <c r="F162" t="inlineStr">
        <is>
          <t>JÖNKÖPINGS LÄN</t>
        </is>
      </c>
      <c r="G162" t="inlineStr">
        <is>
          <t>EKSJÖ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46323</v>
      </c>
      <c r="F163" t="inlineStr">
        <is>
          <t>JÖNKÖPINGS LÄN</t>
        </is>
      </c>
      <c r="G163" t="inlineStr">
        <is>
          <t>EKSJÖ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46323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46323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45485</v>
      </c>
      <c r="E166" s="1" t="n">
        <v>46323</v>
      </c>
      <c r="F166" t="inlineStr">
        <is>
          <t>JÖNKÖPINGS LÄN</t>
        </is>
      </c>
      <c r="G166" t="inlineStr">
        <is>
          <t>EKSJÖ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44846</v>
      </c>
      <c r="E167" s="1" t="n">
        <v>46323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46323</v>
      </c>
      <c r="F168" t="inlineStr">
        <is>
          <t>JÖNKÖPINGS LÄN</t>
        </is>
      </c>
      <c r="G168" t="inlineStr">
        <is>
          <t>EKSJÖ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46323</v>
      </c>
      <c r="F169" t="inlineStr">
        <is>
          <t>JÖNKÖPINGS LÄN</t>
        </is>
      </c>
      <c r="G169" t="inlineStr">
        <is>
          <t>EKSJÖ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46323</v>
      </c>
      <c r="F170" t="inlineStr">
        <is>
          <t>JÖNKÖPINGS LÄN</t>
        </is>
      </c>
      <c r="G170" t="inlineStr">
        <is>
          <t>EKSJÖ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46323</v>
      </c>
      <c r="F171" t="inlineStr">
        <is>
          <t>JÖNKÖPINGS LÄN</t>
        </is>
      </c>
      <c r="G171" t="inlineStr">
        <is>
          <t>EKSJÖ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46323</v>
      </c>
      <c r="F172" t="inlineStr">
        <is>
          <t>JÖNKÖPINGS LÄN</t>
        </is>
      </c>
      <c r="G172" t="inlineStr">
        <is>
          <t>EKSJÖ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46323</v>
      </c>
      <c r="F173" t="inlineStr">
        <is>
          <t>JÖNKÖPINGS LÄN</t>
        </is>
      </c>
      <c r="G173" t="inlineStr">
        <is>
          <t>EKSJÖ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46323</v>
      </c>
      <c r="F174" t="inlineStr">
        <is>
          <t>JÖNKÖPINGS LÄN</t>
        </is>
      </c>
      <c r="G174" t="inlineStr">
        <is>
          <t>EKSJÖ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45224</v>
      </c>
      <c r="E175" s="1" t="n">
        <v>46323</v>
      </c>
      <c r="F175" t="inlineStr">
        <is>
          <t>JÖNKÖPINGS LÄN</t>
        </is>
      </c>
      <c r="G175" t="inlineStr">
        <is>
          <t>EKSJÖ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46323</v>
      </c>
      <c r="F176" t="inlineStr">
        <is>
          <t>JÖNKÖPINGS LÄN</t>
        </is>
      </c>
      <c r="G176" t="inlineStr">
        <is>
          <t>EKSJÖ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46323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46323</v>
      </c>
      <c r="F178" t="inlineStr">
        <is>
          <t>JÖNKÖPINGS LÄN</t>
        </is>
      </c>
      <c r="G178" t="inlineStr">
        <is>
          <t>EKSJÖ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46323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45714</v>
      </c>
      <c r="E180" s="1" t="n">
        <v>46323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46323</v>
      </c>
      <c r="F181" t="inlineStr">
        <is>
          <t>JÖNKÖPINGS LÄN</t>
        </is>
      </c>
      <c r="G181" t="inlineStr">
        <is>
          <t>EKSJÖ</t>
        </is>
      </c>
      <c r="H181" t="inlineStr">
        <is>
          <t>Övriga Aktiebolag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46323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46323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46323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46323</v>
      </c>
      <c r="F185" t="inlineStr">
        <is>
          <t>JÖNKÖPINGS LÄN</t>
        </is>
      </c>
      <c r="G185" t="inlineStr">
        <is>
          <t>EKSJÖ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46323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46323</v>
      </c>
      <c r="F187" t="inlineStr">
        <is>
          <t>JÖNKÖPINGS LÄN</t>
        </is>
      </c>
      <c r="G187" t="inlineStr">
        <is>
          <t>EKSJÖ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46323</v>
      </c>
      <c r="F188" t="inlineStr">
        <is>
          <t>JÖNKÖPINGS LÄN</t>
        </is>
      </c>
      <c r="G188" t="inlineStr">
        <is>
          <t>EKSJÖ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46323</v>
      </c>
      <c r="F189" t="inlineStr">
        <is>
          <t>JÖNKÖPINGS LÄN</t>
        </is>
      </c>
      <c r="G189" t="inlineStr">
        <is>
          <t>EKSJÖ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46323</v>
      </c>
      <c r="F190" t="inlineStr">
        <is>
          <t>JÖNKÖPINGS LÄN</t>
        </is>
      </c>
      <c r="G190" t="inlineStr">
        <is>
          <t>EKSJÖ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45671</v>
      </c>
      <c r="E191" s="1" t="n">
        <v>46323</v>
      </c>
      <c r="F191" t="inlineStr">
        <is>
          <t>JÖNKÖPINGS LÄN</t>
        </is>
      </c>
      <c r="G191" t="inlineStr">
        <is>
          <t>EKSJÖ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46323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46323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45197</v>
      </c>
      <c r="E194" s="1" t="n">
        <v>46323</v>
      </c>
      <c r="F194" t="inlineStr">
        <is>
          <t>JÖNKÖPINGS LÄN</t>
        </is>
      </c>
      <c r="G194" t="inlineStr">
        <is>
          <t>EKSJÖ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45173</v>
      </c>
      <c r="E195" s="1" t="n">
        <v>46323</v>
      </c>
      <c r="F195" t="inlineStr">
        <is>
          <t>JÖNKÖPINGS LÄN</t>
        </is>
      </c>
      <c r="G195" t="inlineStr">
        <is>
          <t>EKSJÖ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46323</v>
      </c>
      <c r="F196" t="inlineStr">
        <is>
          <t>JÖNKÖPINGS LÄN</t>
        </is>
      </c>
      <c r="G196" t="inlineStr">
        <is>
          <t>EKSJÖ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46323</v>
      </c>
      <c r="F197" t="inlineStr">
        <is>
          <t>JÖNKÖPINGS LÄN</t>
        </is>
      </c>
      <c r="G197" t="inlineStr">
        <is>
          <t>EKSJÖ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46323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45072</v>
      </c>
      <c r="E199" s="1" t="n">
        <v>46323</v>
      </c>
      <c r="F199" t="inlineStr">
        <is>
          <t>JÖNKÖPINGS LÄN</t>
        </is>
      </c>
      <c r="G199" t="inlineStr">
        <is>
          <t>EKSJÖ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45418</v>
      </c>
      <c r="E200" s="1" t="n">
        <v>46323</v>
      </c>
      <c r="F200" t="inlineStr">
        <is>
          <t>JÖNKÖPINGS LÄN</t>
        </is>
      </c>
      <c r="G200" t="inlineStr">
        <is>
          <t>EKSJÖ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46323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46323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46323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45068</v>
      </c>
      <c r="E204" s="1" t="n">
        <v>46323</v>
      </c>
      <c r="F204" t="inlineStr">
        <is>
          <t>JÖNKÖPINGS LÄN</t>
        </is>
      </c>
      <c r="G204" t="inlineStr">
        <is>
          <t>EKSJÖ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46323</v>
      </c>
      <c r="F205" t="inlineStr">
        <is>
          <t>JÖNKÖPINGS LÄN</t>
        </is>
      </c>
      <c r="G205" t="inlineStr">
        <is>
          <t>EKSJÖ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46323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46323</v>
      </c>
      <c r="F207" t="inlineStr">
        <is>
          <t>JÖNKÖPINGS LÄN</t>
        </is>
      </c>
      <c r="G207" t="inlineStr">
        <is>
          <t>EKSJÖ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46323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46323</v>
      </c>
      <c r="F209" t="inlineStr">
        <is>
          <t>JÖNKÖPINGS LÄN</t>
        </is>
      </c>
      <c r="G209" t="inlineStr">
        <is>
          <t>EKSJÖ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50287-2024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45600</v>
      </c>
      <c r="E210" s="1" t="n">
        <v>46323</v>
      </c>
      <c r="F210" t="inlineStr">
        <is>
          <t>JÖNKÖPINGS LÄN</t>
        </is>
      </c>
      <c r="G210" t="inlineStr">
        <is>
          <t>EKSJÖ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45111</v>
      </c>
      <c r="E211" s="1" t="n">
        <v>46323</v>
      </c>
      <c r="F211" t="inlineStr">
        <is>
          <t>JÖNKÖPINGS LÄN</t>
        </is>
      </c>
      <c r="G211" t="inlineStr">
        <is>
          <t>EKSJÖ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44526-2025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45916</v>
      </c>
      <c r="E212" s="1" t="n">
        <v>46323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46323</v>
      </c>
      <c r="F213" t="inlineStr">
        <is>
          <t>JÖNKÖPINGS LÄN</t>
        </is>
      </c>
      <c r="G213" t="inlineStr">
        <is>
          <t>EKSJÖ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46323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30931-2023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45113</v>
      </c>
      <c r="E215" s="1" t="n">
        <v>46323</v>
      </c>
      <c r="F215" t="inlineStr">
        <is>
          <t>JÖNKÖPINGS LÄN</t>
        </is>
      </c>
      <c r="G215" t="inlineStr">
        <is>
          <t>EKSJÖ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46323</v>
      </c>
      <c r="F216" t="inlineStr">
        <is>
          <t>JÖNKÖPINGS LÄN</t>
        </is>
      </c>
      <c r="G216" t="inlineStr">
        <is>
          <t>EKSJÖ</t>
        </is>
      </c>
      <c r="H216" t="inlineStr">
        <is>
          <t>Kommuner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45334</v>
      </c>
      <c r="E217" s="1" t="n">
        <v>46323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46323</v>
      </c>
      <c r="F218" t="inlineStr">
        <is>
          <t>JÖNKÖPINGS LÄN</t>
        </is>
      </c>
      <c r="G218" t="inlineStr">
        <is>
          <t>EKSJÖ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46323</v>
      </c>
      <c r="F219" t="inlineStr">
        <is>
          <t>JÖNKÖPINGS LÄN</t>
        </is>
      </c>
      <c r="G219" t="inlineStr">
        <is>
          <t>EKSJÖ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19469-2025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45770</v>
      </c>
      <c r="E220" s="1" t="n">
        <v>46323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46323</v>
      </c>
      <c r="F221" t="inlineStr">
        <is>
          <t>JÖNKÖPINGS LÄN</t>
        </is>
      </c>
      <c r="G221" t="inlineStr">
        <is>
          <t>EKSJÖ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45426</v>
      </c>
      <c r="E222" s="1" t="n">
        <v>46323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45222</v>
      </c>
      <c r="E223" s="1" t="n">
        <v>46323</v>
      </c>
      <c r="F223" t="inlineStr">
        <is>
          <t>JÖNKÖPINGS LÄN</t>
        </is>
      </c>
      <c r="G223" t="inlineStr">
        <is>
          <t>EKSJÖ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45530</v>
      </c>
      <c r="E224" s="1" t="n">
        <v>46323</v>
      </c>
      <c r="F224" t="inlineStr">
        <is>
          <t>JÖNKÖPINGS LÄN</t>
        </is>
      </c>
      <c r="G224" t="inlineStr">
        <is>
          <t>EKSJÖ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44861</v>
      </c>
      <c r="E225" s="1" t="n">
        <v>46323</v>
      </c>
      <c r="F225" t="inlineStr">
        <is>
          <t>JÖNKÖPINGS LÄN</t>
        </is>
      </c>
      <c r="G225" t="inlineStr">
        <is>
          <t>EKSJÖ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29773-2024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45485</v>
      </c>
      <c r="E226" s="1" t="n">
        <v>46323</v>
      </c>
      <c r="F226" t="inlineStr">
        <is>
          <t>JÖNKÖPINGS LÄN</t>
        </is>
      </c>
      <c r="G226" t="inlineStr">
        <is>
          <t>EKSJÖ</t>
        </is>
      </c>
      <c r="H226" t="inlineStr">
        <is>
          <t>Övriga Aktiebolag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46323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9.6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45777</v>
      </c>
      <c r="E228" s="1" t="n">
        <v>46323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46323</v>
      </c>
      <c r="F229" t="inlineStr">
        <is>
          <t>JÖNKÖPINGS LÄN</t>
        </is>
      </c>
      <c r="G229" t="inlineStr">
        <is>
          <t>EKSJÖ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46323</v>
      </c>
      <c r="F230" t="inlineStr">
        <is>
          <t>JÖNKÖPINGS LÄN</t>
        </is>
      </c>
      <c r="G230" t="inlineStr">
        <is>
          <t>EKSJÖ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46323</v>
      </c>
      <c r="F231" t="inlineStr">
        <is>
          <t>JÖNKÖPINGS LÄN</t>
        </is>
      </c>
      <c r="G231" t="inlineStr">
        <is>
          <t>EKSJÖ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45533</v>
      </c>
      <c r="E232" s="1" t="n">
        <v>46323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46323</v>
      </c>
      <c r="F233" t="inlineStr">
        <is>
          <t>JÖNKÖPINGS LÄN</t>
        </is>
      </c>
      <c r="G233" t="inlineStr">
        <is>
          <t>EKSJÖ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45940</v>
      </c>
      <c r="E234" s="1" t="n">
        <v>46323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44966</v>
      </c>
      <c r="E235" s="1" t="n">
        <v>46323</v>
      </c>
      <c r="F235" t="inlineStr">
        <is>
          <t>JÖNKÖPINGS LÄN</t>
        </is>
      </c>
      <c r="G235" t="inlineStr">
        <is>
          <t>EKSJÖ</t>
        </is>
      </c>
      <c r="H235" t="inlineStr">
        <is>
          <t>Kyrkan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46323</v>
      </c>
      <c r="F236" t="inlineStr">
        <is>
          <t>JÖNKÖPINGS LÄN</t>
        </is>
      </c>
      <c r="G236" t="inlineStr">
        <is>
          <t>EKSJÖ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46323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46323</v>
      </c>
      <c r="F238" t="inlineStr">
        <is>
          <t>JÖNKÖPINGS LÄN</t>
        </is>
      </c>
      <c r="G238" t="inlineStr">
        <is>
          <t>EKSJÖ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45391</v>
      </c>
      <c r="E239" s="1" t="n">
        <v>46323</v>
      </c>
      <c r="F239" t="inlineStr">
        <is>
          <t>JÖNKÖPINGS LÄN</t>
        </is>
      </c>
      <c r="G239" t="inlineStr">
        <is>
          <t>EKSJÖ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46323</v>
      </c>
      <c r="F240" t="inlineStr">
        <is>
          <t>JÖNKÖPINGS LÄN</t>
        </is>
      </c>
      <c r="G240" t="inlineStr">
        <is>
          <t>EKSJÖ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45537</v>
      </c>
      <c r="E241" s="1" t="n">
        <v>46323</v>
      </c>
      <c r="F241" t="inlineStr">
        <is>
          <t>JÖNKÖPINGS LÄN</t>
        </is>
      </c>
      <c r="G241" t="inlineStr">
        <is>
          <t>EKSJÖ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21224-2025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45779</v>
      </c>
      <c r="E242" s="1" t="n">
        <v>46323</v>
      </c>
      <c r="F242" t="inlineStr">
        <is>
          <t>JÖNKÖPINGS LÄN</t>
        </is>
      </c>
      <c r="G242" t="inlineStr">
        <is>
          <t>EKSJÖ</t>
        </is>
      </c>
      <c r="H242" t="inlineStr">
        <is>
          <t>Kommuner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46323</v>
      </c>
      <c r="F243" t="inlineStr">
        <is>
          <t>JÖNKÖPINGS LÄN</t>
        </is>
      </c>
      <c r="G243" t="inlineStr">
        <is>
          <t>EKSJÖ</t>
        </is>
      </c>
      <c r="H243" t="inlineStr">
        <is>
          <t>Övriga Aktiebolag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46323</v>
      </c>
      <c r="F244" t="inlineStr">
        <is>
          <t>JÖNKÖPINGS LÄN</t>
        </is>
      </c>
      <c r="G244" t="inlineStr">
        <is>
          <t>EKSJÖ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46323</v>
      </c>
      <c r="F245" t="inlineStr">
        <is>
          <t>JÖNKÖPINGS LÄN</t>
        </is>
      </c>
      <c r="G245" t="inlineStr">
        <is>
          <t>EKSJÖ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46323</v>
      </c>
      <c r="F246" t="inlineStr">
        <is>
          <t>JÖNKÖPINGS LÄN</t>
        </is>
      </c>
      <c r="G246" t="inlineStr">
        <is>
          <t>EKSJÖ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46323</v>
      </c>
      <c r="F247" t="inlineStr">
        <is>
          <t>JÖNKÖPINGS LÄN</t>
        </is>
      </c>
      <c r="G247" t="inlineStr">
        <is>
          <t>EKSJÖ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46323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51020-2023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46323</v>
      </c>
      <c r="F249" t="inlineStr">
        <is>
          <t>JÖNKÖPINGS LÄN</t>
        </is>
      </c>
      <c r="G249" t="inlineStr">
        <is>
          <t>EKSJÖ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46323</v>
      </c>
      <c r="F250" t="inlineStr">
        <is>
          <t>JÖNKÖPINGS LÄN</t>
        </is>
      </c>
      <c r="G250" t="inlineStr">
        <is>
          <t>EKSJÖ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46323</v>
      </c>
      <c r="F251" t="inlineStr">
        <is>
          <t>JÖNKÖPINGS LÄN</t>
        </is>
      </c>
      <c r="G251" t="inlineStr">
        <is>
          <t>EKSJÖ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46323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46323</v>
      </c>
      <c r="F253" t="inlineStr">
        <is>
          <t>JÖNKÖPINGS LÄN</t>
        </is>
      </c>
      <c r="G253" t="inlineStr">
        <is>
          <t>EKSJÖ</t>
        </is>
      </c>
      <c r="H253" t="inlineStr">
        <is>
          <t>Kyrkan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46323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46323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32601-2024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45513</v>
      </c>
      <c r="E256" s="1" t="n">
        <v>46323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46323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46323</v>
      </c>
      <c r="F258" t="inlineStr">
        <is>
          <t>JÖNKÖPINGS LÄN</t>
        </is>
      </c>
      <c r="G258" t="inlineStr">
        <is>
          <t>EKSJÖ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45334</v>
      </c>
      <c r="E259" s="1" t="n">
        <v>46323</v>
      </c>
      <c r="F259" t="inlineStr">
        <is>
          <t>JÖNKÖPINGS LÄN</t>
        </is>
      </c>
      <c r="G259" t="inlineStr">
        <is>
          <t>EKSJÖ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46323</v>
      </c>
      <c r="F260" t="inlineStr">
        <is>
          <t>JÖNKÖPINGS LÄN</t>
        </is>
      </c>
      <c r="G260" t="inlineStr">
        <is>
          <t>EKSJÖ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46323</v>
      </c>
      <c r="F261" t="inlineStr">
        <is>
          <t>JÖNKÖPINGS LÄN</t>
        </is>
      </c>
      <c r="G261" t="inlineStr">
        <is>
          <t>EKSJÖ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44511</v>
      </c>
      <c r="E262" s="1" t="n">
        <v>46323</v>
      </c>
      <c r="F262" t="inlineStr">
        <is>
          <t>JÖNKÖPINGS LÄN</t>
        </is>
      </c>
      <c r="G262" t="inlineStr">
        <is>
          <t>EKSJÖ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44888</v>
      </c>
      <c r="E263" s="1" t="n">
        <v>46323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45408</v>
      </c>
      <c r="E264" s="1" t="n">
        <v>46323</v>
      </c>
      <c r="F264" t="inlineStr">
        <is>
          <t>JÖNKÖPINGS LÄN</t>
        </is>
      </c>
      <c r="G264" t="inlineStr">
        <is>
          <t>EKSJÖ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45468</v>
      </c>
      <c r="E265" s="1" t="n">
        <v>46323</v>
      </c>
      <c r="F265" t="inlineStr">
        <is>
          <t>JÖNKÖPINGS LÄN</t>
        </is>
      </c>
      <c r="G265" t="inlineStr">
        <is>
          <t>EKSJÖ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45315</v>
      </c>
      <c r="E266" s="1" t="n">
        <v>46323</v>
      </c>
      <c r="F266" t="inlineStr">
        <is>
          <t>JÖNKÖPINGS LÄN</t>
        </is>
      </c>
      <c r="G266" t="inlineStr">
        <is>
          <t>EKSJÖ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46323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46323</v>
      </c>
      <c r="F268" t="inlineStr">
        <is>
          <t>JÖNKÖPINGS LÄN</t>
        </is>
      </c>
      <c r="G268" t="inlineStr">
        <is>
          <t>EKSJÖ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46323</v>
      </c>
      <c r="F269" t="inlineStr">
        <is>
          <t>JÖNKÖPINGS LÄN</t>
        </is>
      </c>
      <c r="G269" t="inlineStr">
        <is>
          <t>EKSJÖ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46323</v>
      </c>
      <c r="F270" t="inlineStr">
        <is>
          <t>JÖNKÖPINGS LÄN</t>
        </is>
      </c>
      <c r="G270" t="inlineStr">
        <is>
          <t>EKSJÖ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46323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46323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8165-2022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44609</v>
      </c>
      <c r="E273" s="1" t="n">
        <v>46323</v>
      </c>
      <c r="F273" t="inlineStr">
        <is>
          <t>JÖNKÖPINGS LÄN</t>
        </is>
      </c>
      <c r="G273" t="inlineStr">
        <is>
          <t>EKSJÖ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44623</v>
      </c>
      <c r="E274" s="1" t="n">
        <v>46323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46323</v>
      </c>
      <c r="F275" t="inlineStr">
        <is>
          <t>JÖNKÖPINGS LÄN</t>
        </is>
      </c>
      <c r="G275" t="inlineStr">
        <is>
          <t>EKSJÖ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12821-2024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45384</v>
      </c>
      <c r="E276" s="1" t="n">
        <v>46323</v>
      </c>
      <c r="F276" t="inlineStr">
        <is>
          <t>JÖNKÖPINGS LÄN</t>
        </is>
      </c>
      <c r="G276" t="inlineStr">
        <is>
          <t>EKSJÖ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46323</v>
      </c>
      <c r="F277" t="inlineStr">
        <is>
          <t>JÖNKÖPINGS LÄN</t>
        </is>
      </c>
      <c r="G277" t="inlineStr">
        <is>
          <t>EKSJÖ</t>
        </is>
      </c>
      <c r="H277" t="inlineStr">
        <is>
          <t>Övriga Aktiebolag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46323</v>
      </c>
      <c r="F278" t="inlineStr">
        <is>
          <t>JÖNKÖPINGS LÄN</t>
        </is>
      </c>
      <c r="G278" t="inlineStr">
        <is>
          <t>EKSJÖ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45533</v>
      </c>
      <c r="E279" s="1" t="n">
        <v>46323</v>
      </c>
      <c r="F279" t="inlineStr">
        <is>
          <t>JÖNKÖPINGS LÄN</t>
        </is>
      </c>
      <c r="G279" t="inlineStr">
        <is>
          <t>EKSJÖ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46323</v>
      </c>
      <c r="F280" t="inlineStr">
        <is>
          <t>JÖNKÖPINGS LÄN</t>
        </is>
      </c>
      <c r="G280" t="inlineStr">
        <is>
          <t>EKSJÖ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46323</v>
      </c>
      <c r="F281" t="inlineStr">
        <is>
          <t>JÖNKÖPINGS LÄN</t>
        </is>
      </c>
      <c r="G281" t="inlineStr">
        <is>
          <t>EKSJÖ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46323</v>
      </c>
      <c r="F282" t="inlineStr">
        <is>
          <t>JÖNKÖPINGS LÄN</t>
        </is>
      </c>
      <c r="G282" t="inlineStr">
        <is>
          <t>EKSJÖ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45344</v>
      </c>
      <c r="E283" s="1" t="n">
        <v>46323</v>
      </c>
      <c r="F283" t="inlineStr">
        <is>
          <t>JÖNKÖPINGS LÄN</t>
        </is>
      </c>
      <c r="G283" t="inlineStr">
        <is>
          <t>EKSJÖ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46323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46323</v>
      </c>
      <c r="F285" t="inlineStr">
        <is>
          <t>JÖNKÖPINGS LÄN</t>
        </is>
      </c>
      <c r="G285" t="inlineStr">
        <is>
          <t>EKSJÖ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46323</v>
      </c>
      <c r="F286" t="inlineStr">
        <is>
          <t>JÖNKÖPINGS LÄN</t>
        </is>
      </c>
      <c r="G286" t="inlineStr">
        <is>
          <t>EKSJÖ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15619-2024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45402</v>
      </c>
      <c r="E287" s="1" t="n">
        <v>46323</v>
      </c>
      <c r="F287" t="inlineStr">
        <is>
          <t>JÖNKÖPINGS LÄN</t>
        </is>
      </c>
      <c r="G287" t="inlineStr">
        <is>
          <t>EKSJÖ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45635</v>
      </c>
      <c r="E288" s="1" t="n">
        <v>46323</v>
      </c>
      <c r="F288" t="inlineStr">
        <is>
          <t>JÖNKÖPINGS LÄN</t>
        </is>
      </c>
      <c r="G288" t="inlineStr">
        <is>
          <t>EKSJÖ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46323</v>
      </c>
      <c r="F289" t="inlineStr">
        <is>
          <t>JÖNKÖPINGS LÄN</t>
        </is>
      </c>
      <c r="G289" t="inlineStr">
        <is>
          <t>EKSJÖ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45071</v>
      </c>
      <c r="E290" s="1" t="n">
        <v>46323</v>
      </c>
      <c r="F290" t="inlineStr">
        <is>
          <t>JÖNKÖPINGS LÄN</t>
        </is>
      </c>
      <c r="G290" t="inlineStr">
        <is>
          <t>EKSJÖ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46323</v>
      </c>
      <c r="F291" t="inlineStr">
        <is>
          <t>JÖNKÖPINGS LÄN</t>
        </is>
      </c>
      <c r="G291" t="inlineStr">
        <is>
          <t>EKSJÖ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45523</v>
      </c>
      <c r="E292" s="1" t="n">
        <v>46323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46323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46323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46323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44999</v>
      </c>
      <c r="E296" s="1" t="n">
        <v>46323</v>
      </c>
      <c r="F296" t="inlineStr">
        <is>
          <t>JÖNKÖPINGS LÄN</t>
        </is>
      </c>
      <c r="G296" t="inlineStr">
        <is>
          <t>EKSJÖ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44999</v>
      </c>
      <c r="E297" s="1" t="n">
        <v>46323</v>
      </c>
      <c r="F297" t="inlineStr">
        <is>
          <t>JÖNKÖPINGS LÄN</t>
        </is>
      </c>
      <c r="G297" t="inlineStr">
        <is>
          <t>EKSJÖ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45329</v>
      </c>
      <c r="E298" s="1" t="n">
        <v>46323</v>
      </c>
      <c r="F298" t="inlineStr">
        <is>
          <t>JÖNKÖPINGS LÄN</t>
        </is>
      </c>
      <c r="G298" t="inlineStr">
        <is>
          <t>EKSJÖ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45204</v>
      </c>
      <c r="E299" s="1" t="n">
        <v>46323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46323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45991</v>
      </c>
      <c r="E301" s="1" t="n">
        <v>46323</v>
      </c>
      <c r="F301" t="inlineStr">
        <is>
          <t>JÖNKÖPINGS LÄN</t>
        </is>
      </c>
      <c r="G301" t="inlineStr">
        <is>
          <t>EKSJÖ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45786</v>
      </c>
      <c r="E302" s="1" t="n">
        <v>46323</v>
      </c>
      <c r="F302" t="inlineStr">
        <is>
          <t>JÖNKÖPINGS LÄN</t>
        </is>
      </c>
      <c r="G302" t="inlineStr">
        <is>
          <t>EKSJÖ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46323</v>
      </c>
      <c r="F303" t="inlineStr">
        <is>
          <t>JÖNKÖPINGS LÄN</t>
        </is>
      </c>
      <c r="G303" t="inlineStr">
        <is>
          <t>EKSJÖ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46323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46323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46323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46323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46323</v>
      </c>
      <c r="F308" t="inlineStr">
        <is>
          <t>JÖNKÖPINGS LÄN</t>
        </is>
      </c>
      <c r="G308" t="inlineStr">
        <is>
          <t>EKSJÖ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46323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46323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63643-2025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46014</v>
      </c>
      <c r="E311" s="1" t="n">
        <v>46323</v>
      </c>
      <c r="F311" t="inlineStr">
        <is>
          <t>JÖNKÖPINGS LÄN</t>
        </is>
      </c>
      <c r="G311" t="inlineStr">
        <is>
          <t>EKSJÖ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46323</v>
      </c>
      <c r="F312" t="inlineStr">
        <is>
          <t>JÖNKÖPINGS LÄN</t>
        </is>
      </c>
      <c r="G312" t="inlineStr">
        <is>
          <t>EKSJÖ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45345</v>
      </c>
      <c r="E313" s="1" t="n">
        <v>46323</v>
      </c>
      <c r="F313" t="inlineStr">
        <is>
          <t>JÖNKÖPINGS LÄN</t>
        </is>
      </c>
      <c r="G313" t="inlineStr">
        <is>
          <t>EKSJÖ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46323</v>
      </c>
      <c r="F314" t="inlineStr">
        <is>
          <t>JÖNKÖPINGS LÄN</t>
        </is>
      </c>
      <c r="G314" t="inlineStr">
        <is>
          <t>EKSJÖ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22987-2025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45790</v>
      </c>
      <c r="E315" s="1" t="n">
        <v>46323</v>
      </c>
      <c r="F315" t="inlineStr">
        <is>
          <t>JÖNKÖPINGS LÄN</t>
        </is>
      </c>
      <c r="G315" t="inlineStr">
        <is>
          <t>EKSJÖ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45705</v>
      </c>
      <c r="E316" s="1" t="n">
        <v>46323</v>
      </c>
      <c r="F316" t="inlineStr">
        <is>
          <t>JÖNKÖPINGS LÄN</t>
        </is>
      </c>
      <c r="G316" t="inlineStr">
        <is>
          <t>EKSJÖ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2819-2022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44581</v>
      </c>
      <c r="E317" s="1" t="n">
        <v>46323</v>
      </c>
      <c r="F317" t="inlineStr">
        <is>
          <t>JÖNKÖPINGS LÄN</t>
        </is>
      </c>
      <c r="G317" t="inlineStr">
        <is>
          <t>EKSJÖ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35253-2024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45530</v>
      </c>
      <c r="E318" s="1" t="n">
        <v>46323</v>
      </c>
      <c r="F318" t="inlineStr">
        <is>
          <t>JÖNKÖPINGS LÄN</t>
        </is>
      </c>
      <c r="G318" t="inlineStr">
        <is>
          <t>EKSJÖ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9058-2022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44615</v>
      </c>
      <c r="E319" s="1" t="n">
        <v>46323</v>
      </c>
      <c r="F319" t="inlineStr">
        <is>
          <t>JÖNKÖPINGS LÄN</t>
        </is>
      </c>
      <c r="G319" t="inlineStr">
        <is>
          <t>EKSJÖ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46323</v>
      </c>
      <c r="F320" t="inlineStr">
        <is>
          <t>JÖNKÖPINGS LÄN</t>
        </is>
      </c>
      <c r="G320" t="inlineStr">
        <is>
          <t>EKSJÖ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46323</v>
      </c>
      <c r="F321" t="inlineStr">
        <is>
          <t>JÖNKÖPINGS LÄN</t>
        </is>
      </c>
      <c r="G321" t="inlineStr">
        <is>
          <t>EKSJÖ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41030-2023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46323</v>
      </c>
      <c r="F322" t="inlineStr">
        <is>
          <t>JÖNKÖPINGS LÄN</t>
        </is>
      </c>
      <c r="G322" t="inlineStr">
        <is>
          <t>EKSJÖ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46323</v>
      </c>
      <c r="F323" t="inlineStr">
        <is>
          <t>JÖNKÖPINGS LÄN</t>
        </is>
      </c>
      <c r="G323" t="inlineStr">
        <is>
          <t>EKSJÖ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46323</v>
      </c>
      <c r="F324" t="inlineStr">
        <is>
          <t>JÖNKÖPINGS LÄN</t>
        </is>
      </c>
      <c r="G324" t="inlineStr">
        <is>
          <t>EKSJÖ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29193-2026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46323</v>
      </c>
      <c r="F325" t="inlineStr">
        <is>
          <t>JÖNKÖPINGS LÄN</t>
        </is>
      </c>
      <c r="G325" t="inlineStr">
        <is>
          <t>EKSJÖ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45078</v>
      </c>
      <c r="E326" s="1" t="n">
        <v>46323</v>
      </c>
      <c r="F326" t="inlineStr">
        <is>
          <t>JÖNKÖPINGS LÄN</t>
        </is>
      </c>
      <c r="G326" t="inlineStr">
        <is>
          <t>EKSJÖ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46323</v>
      </c>
      <c r="F327" t="inlineStr">
        <is>
          <t>JÖNKÖPINGS LÄN</t>
        </is>
      </c>
      <c r="G327" t="inlineStr">
        <is>
          <t>EKSJÖ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47987-2023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45204</v>
      </c>
      <c r="E328" s="1" t="n">
        <v>46323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46323</v>
      </c>
      <c r="F329" t="inlineStr">
        <is>
          <t>JÖNKÖPINGS LÄN</t>
        </is>
      </c>
      <c r="G329" t="inlineStr">
        <is>
          <t>EKSJÖ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45791</v>
      </c>
      <c r="E330" s="1" t="n">
        <v>46323</v>
      </c>
      <c r="F330" t="inlineStr">
        <is>
          <t>JÖNKÖPINGS LÄN</t>
        </is>
      </c>
      <c r="G330" t="inlineStr">
        <is>
          <t>EKSJÖ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45686</v>
      </c>
      <c r="E331" s="1" t="n">
        <v>46323</v>
      </c>
      <c r="F331" t="inlineStr">
        <is>
          <t>JÖNKÖPINGS LÄN</t>
        </is>
      </c>
      <c r="G331" t="inlineStr">
        <is>
          <t>EKSJÖ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46323</v>
      </c>
      <c r="F332" t="inlineStr">
        <is>
          <t>JÖNKÖPINGS LÄN</t>
        </is>
      </c>
      <c r="G332" t="inlineStr">
        <is>
          <t>EKSJÖ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46323</v>
      </c>
      <c r="F333" t="inlineStr">
        <is>
          <t>JÖNKÖPINGS LÄN</t>
        </is>
      </c>
      <c r="G333" t="inlineStr">
        <is>
          <t>EKSJÖ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46323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45791</v>
      </c>
      <c r="E335" s="1" t="n">
        <v>46323</v>
      </c>
      <c r="F335" t="inlineStr">
        <is>
          <t>JÖNKÖPINGS LÄN</t>
        </is>
      </c>
      <c r="G335" t="inlineStr">
        <is>
          <t>EKSJÖ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46323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45743-2024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45579</v>
      </c>
      <c r="E337" s="1" t="n">
        <v>46323</v>
      </c>
      <c r="F337" t="inlineStr">
        <is>
          <t>JÖNKÖPINGS LÄN</t>
        </is>
      </c>
      <c r="G337" t="inlineStr">
        <is>
          <t>EKSJÖ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46323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30362-2026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46209</v>
      </c>
      <c r="E339" s="1" t="n">
        <v>46323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45176</v>
      </c>
      <c r="E340" s="1" t="n">
        <v>46323</v>
      </c>
      <c r="F340" t="inlineStr">
        <is>
          <t>JÖNKÖPINGS LÄN</t>
        </is>
      </c>
      <c r="G340" t="inlineStr">
        <is>
          <t>EKSJÖ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55817-2023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45239</v>
      </c>
      <c r="E341" s="1" t="n">
        <v>46323</v>
      </c>
      <c r="F341" t="inlineStr">
        <is>
          <t>JÖNKÖPINGS LÄN</t>
        </is>
      </c>
      <c r="G341" t="inlineStr">
        <is>
          <t>EKSJÖ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45231</v>
      </c>
      <c r="E342" s="1" t="n">
        <v>46323</v>
      </c>
      <c r="F342" t="inlineStr">
        <is>
          <t>JÖNKÖPINGS LÄN</t>
        </is>
      </c>
      <c r="G342" t="inlineStr">
        <is>
          <t>EKSJÖ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46212</v>
      </c>
      <c r="E343" s="1" t="n">
        <v>46323</v>
      </c>
      <c r="F343" t="inlineStr">
        <is>
          <t>JÖNKÖPINGS LÄN</t>
        </is>
      </c>
      <c r="G343" t="inlineStr">
        <is>
          <t>EKSJÖ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46323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46209</v>
      </c>
      <c r="E345" s="1" t="n">
        <v>46323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46323</v>
      </c>
      <c r="F346" t="inlineStr">
        <is>
          <t>JÖNKÖPINGS LÄN</t>
        </is>
      </c>
      <c r="G346" t="inlineStr">
        <is>
          <t>EKSJÖ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46323</v>
      </c>
      <c r="F347" t="inlineStr">
        <is>
          <t>JÖNKÖPINGS LÄN</t>
        </is>
      </c>
      <c r="G347" t="inlineStr">
        <is>
          <t>EKSJÖ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46323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46323</v>
      </c>
      <c r="F349" t="inlineStr">
        <is>
          <t>JÖNKÖPINGS LÄN</t>
        </is>
      </c>
      <c r="G349" t="inlineStr">
        <is>
          <t>EKSJÖ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46323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54292-2023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45232</v>
      </c>
      <c r="E351" s="1" t="n">
        <v>46323</v>
      </c>
      <c r="F351" t="inlineStr">
        <is>
          <t>JÖNKÖPINGS LÄN</t>
        </is>
      </c>
      <c r="G351" t="inlineStr">
        <is>
          <t>EKSJÖ</t>
        </is>
      </c>
      <c r="I351" t="n">
        <v>18.3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46323</v>
      </c>
      <c r="F352" t="inlineStr">
        <is>
          <t>JÖNKÖPINGS LÄN</t>
        </is>
      </c>
      <c r="G352" t="inlineStr">
        <is>
          <t>EKSJÖ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46323</v>
      </c>
      <c r="F353" t="inlineStr">
        <is>
          <t>JÖNKÖPINGS LÄN</t>
        </is>
      </c>
      <c r="G353" t="inlineStr">
        <is>
          <t>EKSJÖ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46323</v>
      </c>
      <c r="F354" t="inlineStr">
        <is>
          <t>JÖNKÖPINGS LÄN</t>
        </is>
      </c>
      <c r="G354" t="inlineStr">
        <is>
          <t>EKSJÖ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45420</v>
      </c>
      <c r="E355" s="1" t="n">
        <v>46323</v>
      </c>
      <c r="F355" t="inlineStr">
        <is>
          <t>JÖNKÖPINGS LÄN</t>
        </is>
      </c>
      <c r="G355" t="inlineStr">
        <is>
          <t>EKSJÖ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46323</v>
      </c>
      <c r="F356" t="inlineStr">
        <is>
          <t>JÖNKÖPINGS LÄN</t>
        </is>
      </c>
      <c r="G356" t="inlineStr">
        <is>
          <t>EKSJÖ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45770</v>
      </c>
      <c r="E357" s="1" t="n">
        <v>46323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45741</v>
      </c>
      <c r="E358" s="1" t="n">
        <v>46323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45728</v>
      </c>
      <c r="E359" s="1" t="n">
        <v>46323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46323</v>
      </c>
      <c r="F360" t="inlineStr">
        <is>
          <t>JÖNKÖPINGS LÄN</t>
        </is>
      </c>
      <c r="G360" t="inlineStr">
        <is>
          <t>EKSJÖ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45743</v>
      </c>
      <c r="E361" s="1" t="n">
        <v>46323</v>
      </c>
      <c r="F361" t="inlineStr">
        <is>
          <t>JÖNKÖPINGS LÄN</t>
        </is>
      </c>
      <c r="G361" t="inlineStr">
        <is>
          <t>EKSJÖ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53479-2023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46323</v>
      </c>
      <c r="F362" t="inlineStr">
        <is>
          <t>JÖNKÖPINGS LÄN</t>
        </is>
      </c>
      <c r="G362" t="inlineStr">
        <is>
          <t>EKSJÖ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14382-2025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45741</v>
      </c>
      <c r="E363" s="1" t="n">
        <v>46323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45666</v>
      </c>
      <c r="E364" s="1" t="n">
        <v>46323</v>
      </c>
      <c r="F364" t="inlineStr">
        <is>
          <t>JÖNKÖPINGS LÄN</t>
        </is>
      </c>
      <c r="G364" t="inlineStr">
        <is>
          <t>EKSJÖ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45743</v>
      </c>
      <c r="E365" s="1" t="n">
        <v>46323</v>
      </c>
      <c r="F365" t="inlineStr">
        <is>
          <t>JÖNKÖPINGS LÄN</t>
        </is>
      </c>
      <c r="G365" t="inlineStr">
        <is>
          <t>EKSJÖ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46323</v>
      </c>
      <c r="F366" t="inlineStr">
        <is>
          <t>JÖNKÖPINGS LÄN</t>
        </is>
      </c>
      <c r="G366" t="inlineStr">
        <is>
          <t>EKSJÖ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34045-2024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45523</v>
      </c>
      <c r="E367" s="1" t="n">
        <v>46323</v>
      </c>
      <c r="F367" t="inlineStr">
        <is>
          <t>JÖNKÖPINGS LÄN</t>
        </is>
      </c>
      <c r="G367" t="inlineStr">
        <is>
          <t>EKSJÖ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46323</v>
      </c>
      <c r="F368" t="inlineStr">
        <is>
          <t>JÖNKÖPINGS LÄN</t>
        </is>
      </c>
      <c r="G368" t="inlineStr">
        <is>
          <t>EKSJÖ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46323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45195</v>
      </c>
      <c r="E370" s="1" t="n">
        <v>46323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45195</v>
      </c>
      <c r="E371" s="1" t="n">
        <v>46323</v>
      </c>
      <c r="F371" t="inlineStr">
        <is>
          <t>JÖNKÖPINGS LÄN</t>
        </is>
      </c>
      <c r="G371" t="inlineStr">
        <is>
          <t>EKSJÖ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45741</v>
      </c>
      <c r="E372" s="1" t="n">
        <v>46323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45175</v>
      </c>
      <c r="E373" s="1" t="n">
        <v>46323</v>
      </c>
      <c r="F373" t="inlineStr">
        <is>
          <t>JÖNKÖPINGS LÄN</t>
        </is>
      </c>
      <c r="G373" t="inlineStr">
        <is>
          <t>EKSJÖ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45680</v>
      </c>
      <c r="E374" s="1" t="n">
        <v>46323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46323</v>
      </c>
      <c r="F375" t="inlineStr">
        <is>
          <t>JÖNKÖPINGS LÄN</t>
        </is>
      </c>
      <c r="G375" t="inlineStr">
        <is>
          <t>EKSJÖ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18324-2022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44685</v>
      </c>
      <c r="E376" s="1" t="n">
        <v>46323</v>
      </c>
      <c r="F376" t="inlineStr">
        <is>
          <t>JÖNKÖPINGS LÄN</t>
        </is>
      </c>
      <c r="G376" t="inlineStr">
        <is>
          <t>EKSJÖ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46323</v>
      </c>
      <c r="F377" t="inlineStr">
        <is>
          <t>JÖNKÖPINGS LÄN</t>
        </is>
      </c>
      <c r="G377" t="inlineStr">
        <is>
          <t>EKSJÖ</t>
        </is>
      </c>
      <c r="H377" t="inlineStr">
        <is>
          <t>Övriga Aktiebolag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8056-2025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45707</v>
      </c>
      <c r="E378" s="1" t="n">
        <v>46323</v>
      </c>
      <c r="F378" t="inlineStr">
        <is>
          <t>JÖNKÖPINGS LÄN</t>
        </is>
      </c>
      <c r="G378" t="inlineStr">
        <is>
          <t>EKSJÖ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44908</v>
      </c>
      <c r="E379" s="1" t="n">
        <v>46323</v>
      </c>
      <c r="F379" t="inlineStr">
        <is>
          <t>JÖNKÖPINGS LÄN</t>
        </is>
      </c>
      <c r="G379" t="inlineStr">
        <is>
          <t>EKSJÖ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46323</v>
      </c>
      <c r="F380" t="inlineStr">
        <is>
          <t>JÖNKÖPINGS LÄN</t>
        </is>
      </c>
      <c r="G380" t="inlineStr">
        <is>
          <t>EKSJÖ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45624</v>
      </c>
      <c r="E381" s="1" t="n">
        <v>46323</v>
      </c>
      <c r="F381" t="inlineStr">
        <is>
          <t>JÖNKÖPINGS LÄN</t>
        </is>
      </c>
      <c r="G381" t="inlineStr">
        <is>
          <t>EKSJÖ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46323</v>
      </c>
      <c r="F382" t="inlineStr">
        <is>
          <t>JÖNKÖPINGS LÄN</t>
        </is>
      </c>
      <c r="G382" t="inlineStr">
        <is>
          <t>EKSJÖ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38207-2026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46281</v>
      </c>
      <c r="E383" s="1" t="n">
        <v>46323</v>
      </c>
      <c r="F383" t="inlineStr">
        <is>
          <t>JÖNKÖPINGS LÄN</t>
        </is>
      </c>
      <c r="G383" t="inlineStr">
        <is>
          <t>EKSJÖ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46323</v>
      </c>
      <c r="F384" t="inlineStr">
        <is>
          <t>JÖNKÖPINGS LÄN</t>
        </is>
      </c>
      <c r="G384" t="inlineStr">
        <is>
          <t>EKSJÖ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46323</v>
      </c>
      <c r="F385" t="inlineStr">
        <is>
          <t>JÖNKÖPINGS LÄN</t>
        </is>
      </c>
      <c r="G385" t="inlineStr">
        <is>
          <t>EKSJÖ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46323</v>
      </c>
      <c r="F386" t="inlineStr">
        <is>
          <t>JÖNKÖPINGS LÄN</t>
        </is>
      </c>
      <c r="G386" t="inlineStr">
        <is>
          <t>EKSJÖ</t>
        </is>
      </c>
      <c r="H386" t="inlineStr">
        <is>
          <t>Kommuner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46281</v>
      </c>
      <c r="E387" s="1" t="n">
        <v>46323</v>
      </c>
      <c r="F387" t="inlineStr">
        <is>
          <t>JÖNKÖPINGS LÄN</t>
        </is>
      </c>
      <c r="G387" t="inlineStr">
        <is>
          <t>EKSJÖ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45314</v>
      </c>
      <c r="E388" s="1" t="n">
        <v>46323</v>
      </c>
      <c r="F388" t="inlineStr">
        <is>
          <t>JÖNKÖPINGS LÄN</t>
        </is>
      </c>
      <c r="G388" t="inlineStr">
        <is>
          <t>EKSJÖ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45314</v>
      </c>
      <c r="E389" s="1" t="n">
        <v>46323</v>
      </c>
      <c r="F389" t="inlineStr">
        <is>
          <t>JÖNKÖPINGS LÄN</t>
        </is>
      </c>
      <c r="G389" t="inlineStr">
        <is>
          <t>EKSJÖ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45463</v>
      </c>
      <c r="E390" s="1" t="n">
        <v>46323</v>
      </c>
      <c r="F390" t="inlineStr">
        <is>
          <t>JÖNKÖPINGS LÄN</t>
        </is>
      </c>
      <c r="G390" t="inlineStr">
        <is>
          <t>EKSJÖ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46323</v>
      </c>
      <c r="F391" t="inlineStr">
        <is>
          <t>JÖNKÖPINGS LÄN</t>
        </is>
      </c>
      <c r="G391" t="inlineStr">
        <is>
          <t>EKSJÖ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46323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46323</v>
      </c>
      <c r="F393" t="inlineStr">
        <is>
          <t>JÖNKÖPINGS LÄN</t>
        </is>
      </c>
      <c r="G393" t="inlineStr">
        <is>
          <t>EKSJÖ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46323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9429-2025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45715</v>
      </c>
      <c r="E395" s="1" t="n">
        <v>46323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44746</v>
      </c>
      <c r="E396" s="1" t="n">
        <v>46323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45176</v>
      </c>
      <c r="E397" s="1" t="n">
        <v>46323</v>
      </c>
      <c r="F397" t="inlineStr">
        <is>
          <t>JÖNKÖPINGS LÄN</t>
        </is>
      </c>
      <c r="G397" t="inlineStr">
        <is>
          <t>EKSJÖ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45737</v>
      </c>
      <c r="E398" s="1" t="n">
        <v>46323</v>
      </c>
      <c r="F398" t="inlineStr">
        <is>
          <t>JÖNKÖPINGS LÄN</t>
        </is>
      </c>
      <c r="G398" t="inlineStr">
        <is>
          <t>EKSJÖ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55656-2022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44888</v>
      </c>
      <c r="E399" s="1" t="n">
        <v>46323</v>
      </c>
      <c r="F399" t="inlineStr">
        <is>
          <t>JÖNKÖPINGS LÄN</t>
        </is>
      </c>
      <c r="G399" t="inlineStr">
        <is>
          <t>EKSJÖ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61384-2023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46323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46323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46247</v>
      </c>
      <c r="E402" s="1" t="n">
        <v>46323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46247</v>
      </c>
      <c r="E403" s="1" t="n">
        <v>46323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46247</v>
      </c>
      <c r="E404" s="1" t="n">
        <v>46323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46013-2022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44846</v>
      </c>
      <c r="E405" s="1" t="n">
        <v>46323</v>
      </c>
      <c r="F405" t="inlineStr">
        <is>
          <t>JÖNKÖPINGS LÄN</t>
        </is>
      </c>
      <c r="G405" t="inlineStr">
        <is>
          <t>EKSJÖ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44846</v>
      </c>
      <c r="E406" s="1" t="n">
        <v>46323</v>
      </c>
      <c r="F406" t="inlineStr">
        <is>
          <t>JÖNKÖPINGS LÄN</t>
        </is>
      </c>
      <c r="G406" t="inlineStr">
        <is>
          <t>EKSJÖ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45358</v>
      </c>
      <c r="E407" s="1" t="n">
        <v>46323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56563-2023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46323</v>
      </c>
      <c r="F408" t="inlineStr">
        <is>
          <t>JÖNKÖPINGS LÄN</t>
        </is>
      </c>
      <c r="G408" t="inlineStr">
        <is>
          <t>EKSJÖ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39606-2026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46289</v>
      </c>
      <c r="E409" s="1" t="n">
        <v>46323</v>
      </c>
      <c r="F409" t="inlineStr">
        <is>
          <t>JÖNKÖPINGS LÄN</t>
        </is>
      </c>
      <c r="G409" t="inlineStr">
        <is>
          <t>EKSJÖ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44630</v>
      </c>
      <c r="E410" s="1" t="n">
        <v>46323</v>
      </c>
      <c r="F410" t="inlineStr">
        <is>
          <t>JÖNKÖPINGS LÄN</t>
        </is>
      </c>
      <c r="G410" t="inlineStr">
        <is>
          <t>EKSJÖ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46323</v>
      </c>
      <c r="F411" t="inlineStr">
        <is>
          <t>JÖNKÖPINGS LÄN</t>
        </is>
      </c>
      <c r="G411" t="inlineStr">
        <is>
          <t>EKSJÖ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39477-2026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46289</v>
      </c>
      <c r="E412" s="1" t="n">
        <v>46323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50275-2023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45209</v>
      </c>
      <c r="E413" s="1" t="n">
        <v>46323</v>
      </c>
      <c r="F413" t="inlineStr">
        <is>
          <t>JÖNKÖPINGS LÄN</t>
        </is>
      </c>
      <c r="G413" t="inlineStr">
        <is>
          <t>EKSJÖ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47204-2022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46323</v>
      </c>
      <c r="F414" t="inlineStr">
        <is>
          <t>JÖNKÖPINGS LÄN</t>
        </is>
      </c>
      <c r="G414" t="inlineStr">
        <is>
          <t>EKSJÖ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46100</v>
      </c>
      <c r="E415" s="1" t="n">
        <v>46323</v>
      </c>
      <c r="F415" t="inlineStr">
        <is>
          <t>JÖNKÖPINGS LÄN</t>
        </is>
      </c>
      <c r="G415" t="inlineStr">
        <is>
          <t>EKSJÖ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45160</v>
      </c>
      <c r="E416" s="1" t="n">
        <v>46323</v>
      </c>
      <c r="F416" t="inlineStr">
        <is>
          <t>JÖNKÖPINGS LÄN</t>
        </is>
      </c>
      <c r="G416" t="inlineStr">
        <is>
          <t>EKSJÖ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15750-2026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46323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46323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46323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46323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46323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46323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46577-2022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44848</v>
      </c>
      <c r="E423" s="1" t="n">
        <v>46323</v>
      </c>
      <c r="F423" t="inlineStr">
        <is>
          <t>JÖNKÖPINGS LÄN</t>
        </is>
      </c>
      <c r="G423" t="inlineStr">
        <is>
          <t>EKSJÖ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35738-2024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45532</v>
      </c>
      <c r="E424" s="1" t="n">
        <v>46323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46323</v>
      </c>
      <c r="F425" t="inlineStr">
        <is>
          <t>JÖNKÖPINGS LÄN</t>
        </is>
      </c>
      <c r="G425" t="inlineStr">
        <is>
          <t>EKSJÖ</t>
        </is>
      </c>
      <c r="H425" t="inlineStr">
        <is>
          <t>Kommuner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46323</v>
      </c>
      <c r="F426" t="inlineStr">
        <is>
          <t>JÖNKÖPINGS LÄN</t>
        </is>
      </c>
      <c r="G426" t="inlineStr">
        <is>
          <t>EKSJÖ</t>
        </is>
      </c>
      <c r="H426" t="inlineStr">
        <is>
          <t>Kommuner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46323</v>
      </c>
      <c r="F427" t="inlineStr">
        <is>
          <t>JÖNKÖPINGS LÄN</t>
        </is>
      </c>
      <c r="G427" t="inlineStr">
        <is>
          <t>EKSJÖ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13892-2024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45391</v>
      </c>
      <c r="E428" s="1" t="n">
        <v>46323</v>
      </c>
      <c r="F428" t="inlineStr">
        <is>
          <t>JÖNKÖPINGS LÄN</t>
        </is>
      </c>
      <c r="G428" t="inlineStr">
        <is>
          <t>EKSJÖ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46323</v>
      </c>
      <c r="F429" t="inlineStr">
        <is>
          <t>JÖNKÖPINGS LÄN</t>
        </is>
      </c>
      <c r="G429" t="inlineStr">
        <is>
          <t>EKSJÖ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46323</v>
      </c>
      <c r="F430" t="inlineStr">
        <is>
          <t>JÖNKÖPINGS LÄN</t>
        </is>
      </c>
      <c r="G430" t="inlineStr">
        <is>
          <t>EKSJÖ</t>
        </is>
      </c>
      <c r="H430" t="inlineStr">
        <is>
          <t>Övriga Aktiebolag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46113</v>
      </c>
      <c r="E431" s="1" t="n">
        <v>46323</v>
      </c>
      <c r="F431" t="inlineStr">
        <is>
          <t>JÖNKÖPINGS LÄN</t>
        </is>
      </c>
      <c r="G431" t="inlineStr">
        <is>
          <t>EKSJÖ</t>
        </is>
      </c>
      <c r="H431" t="inlineStr">
        <is>
          <t>Övriga Aktiebolag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46323</v>
      </c>
      <c r="F432" t="inlineStr">
        <is>
          <t>JÖNKÖPINGS LÄN</t>
        </is>
      </c>
      <c r="G432" t="inlineStr">
        <is>
          <t>EKSJÖ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46323</v>
      </c>
      <c r="F433" t="inlineStr">
        <is>
          <t>JÖNKÖPINGS LÄN</t>
        </is>
      </c>
      <c r="G433" t="inlineStr">
        <is>
          <t>EKSJÖ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46297</v>
      </c>
      <c r="E434" s="1" t="n">
        <v>46323</v>
      </c>
      <c r="F434" t="inlineStr">
        <is>
          <t>JÖNKÖPINGS LÄN</t>
        </is>
      </c>
      <c r="G434" t="inlineStr">
        <is>
          <t>EKSJÖ</t>
        </is>
      </c>
      <c r="H434" t="inlineStr">
        <is>
          <t>Kyrkan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45576</v>
      </c>
      <c r="E435" s="1" t="n">
        <v>46323</v>
      </c>
      <c r="F435" t="inlineStr">
        <is>
          <t>JÖNKÖPINGS LÄN</t>
        </is>
      </c>
      <c r="G435" t="inlineStr">
        <is>
          <t>EKSJÖ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44739</v>
      </c>
      <c r="E436" s="1" t="n">
        <v>46323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46323</v>
      </c>
      <c r="F437" t="inlineStr">
        <is>
          <t>JÖNKÖPINGS LÄN</t>
        </is>
      </c>
      <c r="G437" t="inlineStr">
        <is>
          <t>EKSJÖ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46323</v>
      </c>
      <c r="F438" t="inlineStr">
        <is>
          <t>JÖNKÖPINGS LÄN</t>
        </is>
      </c>
      <c r="G438" t="inlineStr">
        <is>
          <t>EKSJÖ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46323</v>
      </c>
      <c r="F439" t="inlineStr">
        <is>
          <t>JÖNKÖPINGS LÄN</t>
        </is>
      </c>
      <c r="G439" t="inlineStr">
        <is>
          <t>EKSJÖ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46323</v>
      </c>
      <c r="F440" t="inlineStr">
        <is>
          <t>JÖNKÖPINGS LÄN</t>
        </is>
      </c>
      <c r="G440" t="inlineStr">
        <is>
          <t>EKSJÖ</t>
        </is>
      </c>
      <c r="H440" t="inlineStr">
        <is>
          <t>Sveaskog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46255</v>
      </c>
      <c r="E441" s="1" t="n">
        <v>46323</v>
      </c>
      <c r="F441" t="inlineStr">
        <is>
          <t>JÖNKÖPINGS LÄN</t>
        </is>
      </c>
      <c r="G441" t="inlineStr">
        <is>
          <t>EKSJÖ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71313-2021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44539</v>
      </c>
      <c r="E442" s="1" t="n">
        <v>46323</v>
      </c>
      <c r="F442" t="inlineStr">
        <is>
          <t>JÖNKÖPINGS LÄN</t>
        </is>
      </c>
      <c r="G442" t="inlineStr">
        <is>
          <t>EKSJÖ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46323</v>
      </c>
      <c r="F443" t="inlineStr">
        <is>
          <t>JÖNKÖPINGS LÄN</t>
        </is>
      </c>
      <c r="G443" t="inlineStr">
        <is>
          <t>EKSJÖ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46323</v>
      </c>
      <c r="F444" t="inlineStr">
        <is>
          <t>JÖNKÖPINGS LÄN</t>
        </is>
      </c>
      <c r="G444" t="inlineStr">
        <is>
          <t>EKSJÖ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46323</v>
      </c>
      <c r="F445" t="inlineStr">
        <is>
          <t>JÖNKÖPINGS LÄN</t>
        </is>
      </c>
      <c r="G445" t="inlineStr">
        <is>
          <t>EKSJÖ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46297</v>
      </c>
      <c r="E446" s="1" t="n">
        <v>46323</v>
      </c>
      <c r="F446" t="inlineStr">
        <is>
          <t>JÖNKÖPINGS LÄN</t>
        </is>
      </c>
      <c r="G446" t="inlineStr">
        <is>
          <t>EKSJÖ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41110-2026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46300</v>
      </c>
      <c r="E447" s="1" t="n">
        <v>46323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46323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44939</v>
      </c>
      <c r="E449" s="1" t="n">
        <v>46323</v>
      </c>
      <c r="F449" t="inlineStr">
        <is>
          <t>JÖNKÖPINGS LÄN</t>
        </is>
      </c>
      <c r="G449" t="inlineStr">
        <is>
          <t>EKSJÖ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46323</v>
      </c>
      <c r="F450" t="inlineStr">
        <is>
          <t>JÖNKÖPINGS LÄN</t>
        </is>
      </c>
      <c r="G450" t="inlineStr">
        <is>
          <t>EKSJÖ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45091</v>
      </c>
      <c r="E451" s="1" t="n">
        <v>46323</v>
      </c>
      <c r="F451" t="inlineStr">
        <is>
          <t>JÖNKÖPINGS LÄN</t>
        </is>
      </c>
      <c r="G451" t="inlineStr">
        <is>
          <t>EKSJÖ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45086</v>
      </c>
      <c r="E452" s="1" t="n">
        <v>46323</v>
      </c>
      <c r="F452" t="inlineStr">
        <is>
          <t>JÖNKÖPINGS LÄN</t>
        </is>
      </c>
      <c r="G452" t="inlineStr">
        <is>
          <t>EKSJÖ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19095-2026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46323</v>
      </c>
      <c r="F453" t="inlineStr">
        <is>
          <t>JÖNKÖPINGS LÄN</t>
        </is>
      </c>
      <c r="G453" t="inlineStr">
        <is>
          <t>EKSJÖ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46323</v>
      </c>
      <c r="F454" t="inlineStr">
        <is>
          <t>JÖNKÖPINGS LÄN</t>
        </is>
      </c>
      <c r="G454" t="inlineStr">
        <is>
          <t>EKSJÖ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46323</v>
      </c>
      <c r="F455" t="inlineStr">
        <is>
          <t>JÖNKÖPINGS LÄN</t>
        </is>
      </c>
      <c r="G455" t="inlineStr">
        <is>
          <t>EKSJÖ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26054-2023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45091</v>
      </c>
      <c r="E456" s="1" t="n">
        <v>46323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46323</v>
      </c>
      <c r="F457" t="inlineStr">
        <is>
          <t>JÖNKÖPINGS LÄN</t>
        </is>
      </c>
      <c r="G457" t="inlineStr">
        <is>
          <t>EKSJÖ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45051</v>
      </c>
      <c r="E458" s="1" t="n">
        <v>46323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44789</v>
      </c>
      <c r="E459" s="1" t="n">
        <v>46323</v>
      </c>
      <c r="F459" t="inlineStr">
        <is>
          <t>JÖNKÖPINGS LÄN</t>
        </is>
      </c>
      <c r="G459" t="inlineStr">
        <is>
          <t>EKSJÖ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46323</v>
      </c>
      <c r="F460" t="inlineStr">
        <is>
          <t>JÖNKÖPINGS LÄN</t>
        </is>
      </c>
      <c r="G460" t="inlineStr">
        <is>
          <t>EKSJÖ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46323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45086</v>
      </c>
      <c r="E462" s="1" t="n">
        <v>46323</v>
      </c>
      <c r="F462" t="inlineStr">
        <is>
          <t>JÖNKÖPINGS LÄN</t>
        </is>
      </c>
      <c r="G462" t="inlineStr">
        <is>
          <t>EKSJÖ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19856-2025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46323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46323</v>
      </c>
      <c r="F464" t="inlineStr">
        <is>
          <t>JÖNKÖPINGS LÄN</t>
        </is>
      </c>
      <c r="G464" t="inlineStr">
        <is>
          <t>EKSJÖ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45628</v>
      </c>
      <c r="E465" s="1" t="n">
        <v>46323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46323</v>
      </c>
      <c r="F466" t="inlineStr">
        <is>
          <t>JÖNKÖPINGS LÄN</t>
        </is>
      </c>
      <c r="G466" t="inlineStr">
        <is>
          <t>EKSJÖ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44925</v>
      </c>
      <c r="E467" s="1" t="n">
        <v>46323</v>
      </c>
      <c r="F467" t="inlineStr">
        <is>
          <t>JÖNKÖPINGS LÄN</t>
        </is>
      </c>
      <c r="G467" t="inlineStr">
        <is>
          <t>EKSJÖ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38102-2025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46323</v>
      </c>
      <c r="F468" t="inlineStr">
        <is>
          <t>JÖNKÖPINGS LÄN</t>
        </is>
      </c>
      <c r="G468" t="inlineStr">
        <is>
          <t>EKSJÖ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43407-2025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45911</v>
      </c>
      <c r="E469" s="1" t="n">
        <v>46323</v>
      </c>
      <c r="F469" t="inlineStr">
        <is>
          <t>JÖNKÖPINGS LÄN</t>
        </is>
      </c>
      <c r="G469" t="inlineStr">
        <is>
          <t>EKSJÖ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45758</v>
      </c>
      <c r="E470" s="1" t="n">
        <v>46323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46304</v>
      </c>
      <c r="E471" s="1" t="n">
        <v>46323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41885-2026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46303</v>
      </c>
      <c r="E472" s="1" t="n">
        <v>46323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8.4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45078</v>
      </c>
      <c r="E473" s="1" t="n">
        <v>46323</v>
      </c>
      <c r="F473" t="inlineStr">
        <is>
          <t>JÖNKÖPINGS LÄN</t>
        </is>
      </c>
      <c r="G473" t="inlineStr">
        <is>
          <t>EKSJÖ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41907-2026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46303</v>
      </c>
      <c r="E474" s="1" t="n">
        <v>46323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46323</v>
      </c>
      <c r="F475" t="inlineStr">
        <is>
          <t>JÖNKÖPINGS LÄN</t>
        </is>
      </c>
      <c r="G475" t="inlineStr">
        <is>
          <t>EKSJÖ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45154</v>
      </c>
      <c r="E476" s="1" t="n">
        <v>46323</v>
      </c>
      <c r="F476" t="inlineStr">
        <is>
          <t>JÖNKÖPINGS LÄN</t>
        </is>
      </c>
      <c r="G476" t="inlineStr">
        <is>
          <t>EKSJÖ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65554-2021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44516</v>
      </c>
      <c r="E477" s="1" t="n">
        <v>46323</v>
      </c>
      <c r="F477" t="inlineStr">
        <is>
          <t>JÖNKÖPINGS LÄN</t>
        </is>
      </c>
      <c r="G477" t="inlineStr">
        <is>
          <t>EKSJÖ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26405-2026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46323</v>
      </c>
      <c r="F478" t="inlineStr">
        <is>
          <t>JÖNKÖPINGS LÄN</t>
        </is>
      </c>
      <c r="G478" t="inlineStr">
        <is>
          <t>EKSJÖ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40094-2025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45894</v>
      </c>
      <c r="E479" s="1" t="n">
        <v>46323</v>
      </c>
      <c r="F479" t="inlineStr">
        <is>
          <t>JÖNKÖPINGS LÄN</t>
        </is>
      </c>
      <c r="G479" t="inlineStr">
        <is>
          <t>EKSJÖ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45811</v>
      </c>
      <c r="E480" s="1" t="n">
        <v>46323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46323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44746</v>
      </c>
      <c r="E482" s="1" t="n">
        <v>46323</v>
      </c>
      <c r="F482" t="inlineStr">
        <is>
          <t>JÖNKÖPINGS LÄN</t>
        </is>
      </c>
      <c r="G482" t="inlineStr">
        <is>
          <t>EKSJÖ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44781</v>
      </c>
      <c r="E483" s="1" t="n">
        <v>46323</v>
      </c>
      <c r="F483" t="inlineStr">
        <is>
          <t>JÖNKÖPINGS LÄN</t>
        </is>
      </c>
      <c r="G483" t="inlineStr">
        <is>
          <t>EKSJÖ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32336-2022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44781</v>
      </c>
      <c r="E484" s="1" t="n">
        <v>46323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46308</v>
      </c>
      <c r="E485" s="1" t="n">
        <v>46323</v>
      </c>
      <c r="F485" t="inlineStr">
        <is>
          <t>JÖNKÖPINGS LÄN</t>
        </is>
      </c>
      <c r="G485" t="inlineStr">
        <is>
          <t>EKSJÖ</t>
        </is>
      </c>
      <c r="H485" t="inlineStr">
        <is>
          <t>Övriga Aktiebolag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46323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45337</v>
      </c>
      <c r="E487" s="1" t="n">
        <v>46323</v>
      </c>
      <c r="F487" t="inlineStr">
        <is>
          <t>JÖNKÖPINGS LÄN</t>
        </is>
      </c>
      <c r="G487" t="inlineStr">
        <is>
          <t>EKSJÖ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45680</v>
      </c>
      <c r="E488" s="1" t="n">
        <v>46323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46918-2023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46323</v>
      </c>
      <c r="F489" t="inlineStr">
        <is>
          <t>JÖNKÖPINGS LÄN</t>
        </is>
      </c>
      <c r="G489" t="inlineStr">
        <is>
          <t>EKSJÖ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46308</v>
      </c>
      <c r="E490" s="1" t="n">
        <v>46323</v>
      </c>
      <c r="F490" t="inlineStr">
        <is>
          <t>JÖNKÖPINGS LÄN</t>
        </is>
      </c>
      <c r="G490" t="inlineStr">
        <is>
          <t>EKSJÖ</t>
        </is>
      </c>
      <c r="H490" t="inlineStr">
        <is>
          <t>Övriga Aktiebolag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8183-2023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46323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64541-2023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46323</v>
      </c>
      <c r="F492" t="inlineStr">
        <is>
          <t>JÖNKÖPINGS LÄN</t>
        </is>
      </c>
      <c r="G492" t="inlineStr">
        <is>
          <t>EKSJÖ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58631-2023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46323</v>
      </c>
      <c r="F493" t="inlineStr">
        <is>
          <t>JÖNKÖPINGS LÄN</t>
        </is>
      </c>
      <c r="G493" t="inlineStr">
        <is>
          <t>EKSJÖ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42699-2026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46309</v>
      </c>
      <c r="E494" s="1" t="n">
        <v>46323</v>
      </c>
      <c r="F494" t="inlineStr">
        <is>
          <t>JÖNKÖPINGS LÄN</t>
        </is>
      </c>
      <c r="G494" t="inlineStr">
        <is>
          <t>EKSJÖ</t>
        </is>
      </c>
      <c r="H494" t="inlineStr">
        <is>
          <t>Övriga Aktiebolag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42875-2026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46310</v>
      </c>
      <c r="E495" s="1" t="n">
        <v>46323</v>
      </c>
      <c r="F495" t="inlineStr">
        <is>
          <t>JÖNKÖPINGS LÄN</t>
        </is>
      </c>
      <c r="G495" t="inlineStr">
        <is>
          <t>EKSJÖ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44949</v>
      </c>
      <c r="E496" s="1" t="n">
        <v>46323</v>
      </c>
      <c r="F496" t="inlineStr">
        <is>
          <t>JÖNKÖPINGS LÄN</t>
        </is>
      </c>
      <c r="G496" t="inlineStr">
        <is>
          <t>EKSJÖ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8923-2025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46323</v>
      </c>
      <c r="F497" t="inlineStr">
        <is>
          <t>JÖNKÖPINGS LÄN</t>
        </is>
      </c>
      <c r="G497" t="inlineStr">
        <is>
          <t>EKSJÖ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46309</v>
      </c>
      <c r="E498" s="1" t="n">
        <v>46323</v>
      </c>
      <c r="F498" t="inlineStr">
        <is>
          <t>JÖNKÖPINGS LÄN</t>
        </is>
      </c>
      <c r="G498" t="inlineStr">
        <is>
          <t>EKSJÖ</t>
        </is>
      </c>
      <c r="H498" t="inlineStr">
        <is>
          <t>Kommuner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45057</v>
      </c>
      <c r="E499" s="1" t="n">
        <v>46323</v>
      </c>
      <c r="F499" t="inlineStr">
        <is>
          <t>JÖNKÖPINGS LÄN</t>
        </is>
      </c>
      <c r="G499" t="inlineStr">
        <is>
          <t>EKSJÖ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46323</v>
      </c>
      <c r="F500" t="inlineStr">
        <is>
          <t>JÖNKÖPINGS LÄN</t>
        </is>
      </c>
      <c r="G500" t="inlineStr">
        <is>
          <t>EKSJÖ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42872-2026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46310</v>
      </c>
      <c r="E501" s="1" t="n">
        <v>46323</v>
      </c>
      <c r="F501" t="inlineStr">
        <is>
          <t>JÖNKÖPINGS LÄN</t>
        </is>
      </c>
      <c r="G501" t="inlineStr">
        <is>
          <t>EKSJÖ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42709-2026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46309</v>
      </c>
      <c r="E502" s="1" t="n">
        <v>46323</v>
      </c>
      <c r="F502" t="inlineStr">
        <is>
          <t>JÖNKÖPINGS LÄN</t>
        </is>
      </c>
      <c r="G502" t="inlineStr">
        <is>
          <t>EKSJÖ</t>
        </is>
      </c>
      <c r="H502" t="inlineStr">
        <is>
          <t>Övriga Aktiebolag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46323</v>
      </c>
      <c r="F503" t="inlineStr">
        <is>
          <t>JÖNKÖPINGS LÄN</t>
        </is>
      </c>
      <c r="G503" t="inlineStr">
        <is>
          <t>EKSJÖ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64993-2023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45286</v>
      </c>
      <c r="E504" s="1" t="n">
        <v>46323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28276-2025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45818</v>
      </c>
      <c r="E505" s="1" t="n">
        <v>46323</v>
      </c>
      <c r="F505" t="inlineStr">
        <is>
          <t>JÖNKÖPINGS LÄN</t>
        </is>
      </c>
      <c r="G505" t="inlineStr">
        <is>
          <t>EKSJÖ</t>
        </is>
      </c>
      <c r="H505" t="inlineStr">
        <is>
          <t>Övriga Aktiebolag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45819</v>
      </c>
      <c r="E506" s="1" t="n">
        <v>46323</v>
      </c>
      <c r="F506" t="inlineStr">
        <is>
          <t>JÖNKÖPINGS LÄN</t>
        </is>
      </c>
      <c r="G506" t="inlineStr">
        <is>
          <t>EKSJÖ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45659</v>
      </c>
      <c r="E507" s="1" t="n">
        <v>46323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18337-2025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45762</v>
      </c>
      <c r="E508" s="1" t="n">
        <v>46323</v>
      </c>
      <c r="F508" t="inlineStr">
        <is>
          <t>JÖNKÖPINGS LÄN</t>
        </is>
      </c>
      <c r="G508" t="inlineStr">
        <is>
          <t>EKSJÖ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45370</v>
      </c>
      <c r="E509" s="1" t="n">
        <v>46323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46323</v>
      </c>
      <c r="F510" t="inlineStr">
        <is>
          <t>JÖNKÖPINGS LÄN</t>
        </is>
      </c>
      <c r="G510" t="inlineStr">
        <is>
          <t>EKSJÖ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46323</v>
      </c>
      <c r="F511" t="inlineStr">
        <is>
          <t>JÖNKÖPINGS LÄN</t>
        </is>
      </c>
      <c r="G511" t="inlineStr">
        <is>
          <t>EKSJÖ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46311</v>
      </c>
      <c r="E512" s="1" t="n">
        <v>46323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43022-2026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46311</v>
      </c>
      <c r="E513" s="1" t="n">
        <v>46323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43414-2026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46314</v>
      </c>
      <c r="E514" s="1" t="n">
        <v>46323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36306-2023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45152</v>
      </c>
      <c r="E515" s="1" t="n">
        <v>46323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46297</v>
      </c>
      <c r="E516" s="1" t="n">
        <v>46323</v>
      </c>
      <c r="F516" t="inlineStr">
        <is>
          <t>JÖNKÖPINGS LÄN</t>
        </is>
      </c>
      <c r="G516" t="inlineStr">
        <is>
          <t>EKSJÖ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46323</v>
      </c>
      <c r="F517" t="inlineStr">
        <is>
          <t>JÖNKÖPINGS LÄN</t>
        </is>
      </c>
      <c r="G517" t="inlineStr">
        <is>
          <t>EKSJÖ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44925</v>
      </c>
      <c r="E518" s="1" t="n">
        <v>46323</v>
      </c>
      <c r="F518" t="inlineStr">
        <is>
          <t>JÖNKÖPINGS LÄN</t>
        </is>
      </c>
      <c r="G518" t="inlineStr">
        <is>
          <t>EKSJÖ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43015-2026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46311</v>
      </c>
      <c r="E519" s="1" t="n">
        <v>46323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44940</v>
      </c>
      <c r="E520" s="1" t="n">
        <v>46323</v>
      </c>
      <c r="F520" t="inlineStr">
        <is>
          <t>JÖNKÖPINGS LÄN</t>
        </is>
      </c>
      <c r="G520" t="inlineStr">
        <is>
          <t>EKSJÖ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44941</v>
      </c>
      <c r="E521" s="1" t="n">
        <v>46323</v>
      </c>
      <c r="F521" t="inlineStr">
        <is>
          <t>JÖNKÖPINGS LÄN</t>
        </is>
      </c>
      <c r="G521" t="inlineStr">
        <is>
          <t>EKSJÖ</t>
        </is>
      </c>
      <c r="H521" t="inlineStr">
        <is>
          <t>Övriga Aktiebolag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43260-2026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46314</v>
      </c>
      <c r="E522" s="1" t="n">
        <v>46323</v>
      </c>
      <c r="F522" t="inlineStr">
        <is>
          <t>JÖNKÖPINGS LÄN</t>
        </is>
      </c>
      <c r="G522" t="inlineStr">
        <is>
          <t>EKSJÖ</t>
        </is>
      </c>
      <c r="H522" t="inlineStr">
        <is>
          <t>Övriga Aktiebolag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43043-2026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46311</v>
      </c>
      <c r="E523" s="1" t="n">
        <v>46323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38106-2025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46323</v>
      </c>
      <c r="F524" t="inlineStr">
        <is>
          <t>JÖNKÖPINGS LÄN</t>
        </is>
      </c>
      <c r="G524" t="inlineStr">
        <is>
          <t>EKSJÖ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45214</v>
      </c>
      <c r="E525" s="1" t="n">
        <v>46323</v>
      </c>
      <c r="F525" t="inlineStr">
        <is>
          <t>JÖNKÖPINGS LÄN</t>
        </is>
      </c>
      <c r="G525" t="inlineStr">
        <is>
          <t>EKSJÖ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46323</v>
      </c>
      <c r="F526" t="inlineStr">
        <is>
          <t>JÖNKÖPINGS LÄN</t>
        </is>
      </c>
      <c r="G526" t="inlineStr">
        <is>
          <t>EKSJÖ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46273</v>
      </c>
      <c r="E527" s="1" t="n">
        <v>46323</v>
      </c>
      <c r="F527" t="inlineStr">
        <is>
          <t>JÖNKÖPINGS LÄN</t>
        </is>
      </c>
      <c r="G527" t="inlineStr">
        <is>
          <t>EKSJÖ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43680-2026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46316</v>
      </c>
      <c r="E528" s="1" t="n">
        <v>46323</v>
      </c>
      <c r="F528" t="inlineStr">
        <is>
          <t>JÖNKÖPINGS LÄN</t>
        </is>
      </c>
      <c r="G528" t="inlineStr">
        <is>
          <t>EKSJÖ</t>
        </is>
      </c>
      <c r="H528" t="inlineStr">
        <is>
          <t>Kommuner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49681-2023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46323</v>
      </c>
      <c r="F529" t="inlineStr">
        <is>
          <t>JÖNKÖPINGS LÄN</t>
        </is>
      </c>
      <c r="G529" t="inlineStr">
        <is>
          <t>EKSJÖ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46323</v>
      </c>
      <c r="F530" t="inlineStr">
        <is>
          <t>JÖNKÖPINGS LÄN</t>
        </is>
      </c>
      <c r="G530" t="inlineStr">
        <is>
          <t>EKSJÖ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43475-2026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46315</v>
      </c>
      <c r="E531" s="1" t="n">
        <v>46323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43481-2026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46315</v>
      </c>
      <c r="E532" s="1" t="n">
        <v>46323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45649</v>
      </c>
      <c r="E533" s="1" t="n">
        <v>46323</v>
      </c>
      <c r="F533" t="inlineStr">
        <is>
          <t>JÖNKÖPINGS LÄN</t>
        </is>
      </c>
      <c r="G533" t="inlineStr">
        <is>
          <t>EKSJÖ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34772-2023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45141</v>
      </c>
      <c r="E534" s="1" t="n">
        <v>46323</v>
      </c>
      <c r="F534" t="inlineStr">
        <is>
          <t>JÖNKÖPINGS LÄN</t>
        </is>
      </c>
      <c r="G534" t="inlineStr">
        <is>
          <t>EKSJÖ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43477-2026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46315</v>
      </c>
      <c r="E535" s="1" t="n">
        <v>46323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45054</v>
      </c>
      <c r="E536" s="1" t="n">
        <v>46323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46317</v>
      </c>
      <c r="E537" s="1" t="n">
        <v>46323</v>
      </c>
      <c r="F537" t="inlineStr">
        <is>
          <t>JÖNKÖPINGS LÄN</t>
        </is>
      </c>
      <c r="G537" t="inlineStr">
        <is>
          <t>EKSJÖ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44008-2026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46317</v>
      </c>
      <c r="E538" s="1" t="n">
        <v>46323</v>
      </c>
      <c r="F538" t="inlineStr">
        <is>
          <t>JÖNKÖPINGS LÄN</t>
        </is>
      </c>
      <c r="G538" t="inlineStr">
        <is>
          <t>EKSJÖ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44991</v>
      </c>
      <c r="E539" s="1" t="n">
        <v>46323</v>
      </c>
      <c r="F539" t="inlineStr">
        <is>
          <t>JÖNKÖPINGS LÄN</t>
        </is>
      </c>
      <c r="G539" t="inlineStr">
        <is>
          <t>EKSJÖ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46323</v>
      </c>
      <c r="F540" t="inlineStr">
        <is>
          <t>JÖNKÖPINGS LÄN</t>
        </is>
      </c>
      <c r="G540" t="inlineStr">
        <is>
          <t>EKSJÖ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46019-2022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44846</v>
      </c>
      <c r="E541" s="1" t="n">
        <v>46323</v>
      </c>
      <c r="F541" t="inlineStr">
        <is>
          <t>JÖNKÖPINGS LÄN</t>
        </is>
      </c>
      <c r="G541" t="inlineStr">
        <is>
          <t>EKSJÖ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46146</v>
      </c>
      <c r="E542" s="1" t="n">
        <v>46323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44178-2026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46318</v>
      </c>
      <c r="E543" s="1" t="n">
        <v>46323</v>
      </c>
      <c r="F543" t="inlineStr">
        <is>
          <t>JÖNKÖPINGS LÄN</t>
        </is>
      </c>
      <c r="G543" t="inlineStr">
        <is>
          <t>EKSJÖ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41440-2024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45560</v>
      </c>
      <c r="E544" s="1" t="n">
        <v>46323</v>
      </c>
      <c r="F544" t="inlineStr">
        <is>
          <t>JÖNKÖPINGS LÄN</t>
        </is>
      </c>
      <c r="G544" t="inlineStr">
        <is>
          <t>EKSJÖ</t>
        </is>
      </c>
      <c r="H544" t="inlineStr">
        <is>
          <t>Kyrkan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44016-2026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46317</v>
      </c>
      <c r="E545" s="1" t="n">
        <v>46323</v>
      </c>
      <c r="F545" t="inlineStr">
        <is>
          <t>JÖNKÖPINGS LÄN</t>
        </is>
      </c>
      <c r="G545" t="inlineStr">
        <is>
          <t>EKSJÖ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44212-2026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46318</v>
      </c>
      <c r="E546" s="1" t="n">
        <v>46323</v>
      </c>
      <c r="F546" t="inlineStr">
        <is>
          <t>JÖNKÖPINGS LÄN</t>
        </is>
      </c>
      <c r="G546" t="inlineStr">
        <is>
          <t>EKSJÖ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46317</v>
      </c>
      <c r="E547" s="1" t="n">
        <v>46323</v>
      </c>
      <c r="F547" t="inlineStr">
        <is>
          <t>JÖNKÖPINGS LÄN</t>
        </is>
      </c>
      <c r="G547" t="inlineStr">
        <is>
          <t>EKSJÖ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44257-2026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46318</v>
      </c>
      <c r="E548" s="1" t="n">
        <v>46323</v>
      </c>
      <c r="F548" t="inlineStr">
        <is>
          <t>JÖNKÖPINGS LÄN</t>
        </is>
      </c>
      <c r="G548" t="inlineStr">
        <is>
          <t>EKSJÖ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39476-2026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46323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40413-2026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46323</v>
      </c>
      <c r="F550" t="inlineStr">
        <is>
          <t>JÖNKÖPINGS LÄN</t>
        </is>
      </c>
      <c r="G550" t="inlineStr">
        <is>
          <t>EKSJÖ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32873-2025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45839</v>
      </c>
      <c r="E551" s="1" t="n">
        <v>46323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33614-2025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45841</v>
      </c>
      <c r="E552" s="1" t="n">
        <v>46323</v>
      </c>
      <c r="F552" t="inlineStr">
        <is>
          <t>JÖNKÖPINGS LÄN</t>
        </is>
      </c>
      <c r="G552" t="inlineStr">
        <is>
          <t>EKSJÖ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33609-2025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46323</v>
      </c>
      <c r="F553" t="inlineStr">
        <is>
          <t>JÖNKÖPINGS LÄN</t>
        </is>
      </c>
      <c r="G553" t="inlineStr">
        <is>
          <t>EKSJÖ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33775-2025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45842</v>
      </c>
      <c r="E554" s="1" t="n">
        <v>46323</v>
      </c>
      <c r="F554" t="inlineStr">
        <is>
          <t>JÖNKÖPINGS LÄN</t>
        </is>
      </c>
      <c r="G554" t="inlineStr">
        <is>
          <t>EKSJÖ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45845</v>
      </c>
      <c r="E555" s="1" t="n">
        <v>46323</v>
      </c>
      <c r="F555" t="inlineStr">
        <is>
          <t>JÖNKÖPINGS LÄN</t>
        </is>
      </c>
      <c r="G555" t="inlineStr">
        <is>
          <t>EKSJÖ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46013</v>
      </c>
      <c r="E556" s="1" t="n">
        <v>46323</v>
      </c>
      <c r="F556" t="inlineStr">
        <is>
          <t>JÖNKÖPINGS LÄN</t>
        </is>
      </c>
      <c r="G556" t="inlineStr">
        <is>
          <t>EKSJÖ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45842</v>
      </c>
      <c r="E557" s="1" t="n">
        <v>46323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46323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44974</v>
      </c>
      <c r="E559" s="1" t="n">
        <v>46323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60920-2025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45996</v>
      </c>
      <c r="E560" s="1" t="n">
        <v>46323</v>
      </c>
      <c r="F560" t="inlineStr">
        <is>
          <t>JÖNKÖPINGS LÄN</t>
        </is>
      </c>
      <c r="G560" t="inlineStr">
        <is>
          <t>EKSJÖ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45695</v>
      </c>
      <c r="E561" s="1" t="n">
        <v>46323</v>
      </c>
      <c r="F561" t="inlineStr">
        <is>
          <t>JÖNKÖPINGS LÄN</t>
        </is>
      </c>
      <c r="G561" t="inlineStr">
        <is>
          <t>EKSJÖ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22176-2025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45785</v>
      </c>
      <c r="E562" s="1" t="n">
        <v>46323</v>
      </c>
      <c r="F562" t="inlineStr">
        <is>
          <t>JÖNKÖPINGS LÄN</t>
        </is>
      </c>
      <c r="G562" t="inlineStr">
        <is>
          <t>EKSJÖ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24928-2024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45461</v>
      </c>
      <c r="E563" s="1" t="n">
        <v>46323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35784-2025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45860</v>
      </c>
      <c r="E564" s="1" t="n">
        <v>46323</v>
      </c>
      <c r="F564" t="inlineStr">
        <is>
          <t>JÖNKÖPINGS LÄN</t>
        </is>
      </c>
      <c r="G564" t="inlineStr">
        <is>
          <t>EKSJÖ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35785-2025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45860</v>
      </c>
      <c r="E565" s="1" t="n">
        <v>46323</v>
      </c>
      <c r="F565" t="inlineStr">
        <is>
          <t>JÖNKÖPINGS LÄN</t>
        </is>
      </c>
      <c r="G565" t="inlineStr">
        <is>
          <t>EKSJÖ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46323</v>
      </c>
      <c r="F566" t="inlineStr">
        <is>
          <t>JÖNKÖPINGS LÄN</t>
        </is>
      </c>
      <c r="G566" t="inlineStr">
        <is>
          <t>EKSJÖ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45866</v>
      </c>
      <c r="E567" s="1" t="n">
        <v>46323</v>
      </c>
      <c r="F567" t="inlineStr">
        <is>
          <t>JÖNKÖPINGS LÄN</t>
        </is>
      </c>
      <c r="G567" t="inlineStr">
        <is>
          <t>EKSJÖ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46323</v>
      </c>
      <c r="F568" t="inlineStr">
        <is>
          <t>JÖNKÖPINGS LÄN</t>
        </is>
      </c>
      <c r="G568" t="inlineStr">
        <is>
          <t>EKSJÖ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46163</v>
      </c>
      <c r="E569" s="1" t="n">
        <v>46323</v>
      </c>
      <c r="F569" t="inlineStr">
        <is>
          <t>JÖNKÖPINGS LÄN</t>
        </is>
      </c>
      <c r="G569" t="inlineStr">
        <is>
          <t>EKSJÖ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46323</v>
      </c>
      <c r="F570" t="inlineStr">
        <is>
          <t>JÖNKÖPINGS LÄN</t>
        </is>
      </c>
      <c r="G570" t="inlineStr">
        <is>
          <t>EKSJÖ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23451-2026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46323</v>
      </c>
      <c r="F571" t="inlineStr">
        <is>
          <t>JÖNKÖPINGS LÄN</t>
        </is>
      </c>
      <c r="G571" t="inlineStr">
        <is>
          <t>EKSJÖ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46163</v>
      </c>
      <c r="E572" s="1" t="n">
        <v>46323</v>
      </c>
      <c r="F572" t="inlineStr">
        <is>
          <t>JÖNKÖPINGS LÄN</t>
        </is>
      </c>
      <c r="G572" t="inlineStr">
        <is>
          <t>EKSJÖ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46323</v>
      </c>
      <c r="F573" t="inlineStr">
        <is>
          <t>JÖNKÖPINGS LÄN</t>
        </is>
      </c>
      <c r="G573" t="inlineStr">
        <is>
          <t>EKSJÖ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46323</v>
      </c>
      <c r="F574" t="inlineStr">
        <is>
          <t>JÖNKÖPINGS LÄN</t>
        </is>
      </c>
      <c r="G574" t="inlineStr">
        <is>
          <t>EKSJÖ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46323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45819</v>
      </c>
      <c r="E576" s="1" t="n">
        <v>46323</v>
      </c>
      <c r="F576" t="inlineStr">
        <is>
          <t>JÖNKÖPINGS LÄN</t>
        </is>
      </c>
      <c r="G576" t="inlineStr">
        <is>
          <t>EKSJÖ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44293-2025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45916</v>
      </c>
      <c r="E577" s="1" t="n">
        <v>46323</v>
      </c>
      <c r="F577" t="inlineStr">
        <is>
          <t>JÖNKÖPINGS LÄN</t>
        </is>
      </c>
      <c r="G577" t="inlineStr">
        <is>
          <t>EKSJÖ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33971-2025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45842</v>
      </c>
      <c r="E578" s="1" t="n">
        <v>46323</v>
      </c>
      <c r="F578" t="inlineStr">
        <is>
          <t>JÖNKÖPINGS LÄN</t>
        </is>
      </c>
      <c r="G578" t="inlineStr">
        <is>
          <t>EKSJÖ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18413-2025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45762</v>
      </c>
      <c r="E579" s="1" t="n">
        <v>46323</v>
      </c>
      <c r="F579" t="inlineStr">
        <is>
          <t>JÖNKÖPINGS LÄN</t>
        </is>
      </c>
      <c r="G579" t="inlineStr">
        <is>
          <t>EKSJÖ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46175</v>
      </c>
      <c r="E580" s="1" t="n">
        <v>46323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46323</v>
      </c>
      <c r="F581" t="inlineStr">
        <is>
          <t>JÖNKÖPINGS LÄN</t>
        </is>
      </c>
      <c r="G581" t="inlineStr">
        <is>
          <t>EKSJÖ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25132-2026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46323</v>
      </c>
      <c r="F582" t="inlineStr">
        <is>
          <t>JÖNKÖPINGS LÄN</t>
        </is>
      </c>
      <c r="G582" t="inlineStr">
        <is>
          <t>EKSJÖ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46323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25654-2026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46323</v>
      </c>
      <c r="F584" t="inlineStr">
        <is>
          <t>JÖNKÖPINGS LÄN</t>
        </is>
      </c>
      <c r="G584" t="inlineStr">
        <is>
          <t>EKSJÖ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26179-2026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46323</v>
      </c>
      <c r="F585" t="inlineStr">
        <is>
          <t>JÖNKÖPINGS LÄN</t>
        </is>
      </c>
      <c r="G585" t="inlineStr">
        <is>
          <t>EKSJÖ</t>
        </is>
      </c>
      <c r="H585" t="inlineStr">
        <is>
          <t>Kyrkan</t>
        </is>
      </c>
      <c r="I585" t="n">
        <v>15.2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46323</v>
      </c>
      <c r="F586" t="inlineStr">
        <is>
          <t>JÖNKÖPINGS LÄN</t>
        </is>
      </c>
      <c r="G586" t="inlineStr">
        <is>
          <t>EKSJÖ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46323</v>
      </c>
      <c r="F587" t="inlineStr">
        <is>
          <t>JÖNKÖPINGS LÄN</t>
        </is>
      </c>
      <c r="G587" t="inlineStr">
        <is>
          <t>EKSJÖ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26648-2026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46184</v>
      </c>
      <c r="E588" s="1" t="n">
        <v>46323</v>
      </c>
      <c r="F588" t="inlineStr">
        <is>
          <t>JÖNKÖPINGS LÄN</t>
        </is>
      </c>
      <c r="G588" t="inlineStr">
        <is>
          <t>EKSJÖ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46323</v>
      </c>
      <c r="F589" t="inlineStr">
        <is>
          <t>JÖNKÖPINGS LÄN</t>
        </is>
      </c>
      <c r="G589" t="inlineStr">
        <is>
          <t>EKSJÖ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46323</v>
      </c>
      <c r="F590" t="inlineStr">
        <is>
          <t>JÖNKÖPINGS LÄN</t>
        </is>
      </c>
      <c r="G590" t="inlineStr">
        <is>
          <t>EKSJÖ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46197</v>
      </c>
      <c r="E591" s="1" t="n">
        <v>46323</v>
      </c>
      <c r="F591" t="inlineStr">
        <is>
          <t>JÖNKÖPINGS LÄN</t>
        </is>
      </c>
      <c r="G591" t="inlineStr">
        <is>
          <t>EKSJÖ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46197</v>
      </c>
      <c r="E592" s="1" t="n">
        <v>46323</v>
      </c>
      <c r="F592" t="inlineStr">
        <is>
          <t>JÖNKÖPINGS LÄN</t>
        </is>
      </c>
      <c r="G592" t="inlineStr">
        <is>
          <t>EKSJÖ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545-2024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46323</v>
      </c>
      <c r="F593" t="inlineStr">
        <is>
          <t>JÖNKÖPINGS LÄN</t>
        </is>
      </c>
      <c r="G593" t="inlineStr">
        <is>
          <t>EKSJÖ</t>
        </is>
      </c>
      <c r="I593" t="n">
        <v>40.5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538-2024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46323</v>
      </c>
      <c r="F594" t="inlineStr">
        <is>
          <t>JÖNKÖPINGS LÄN</t>
        </is>
      </c>
      <c r="G594" t="inlineStr">
        <is>
          <t>EKSJÖ</t>
        </is>
      </c>
      <c r="I594" t="n">
        <v>25.6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544-2024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46323</v>
      </c>
      <c r="F595" t="inlineStr">
        <is>
          <t>JÖNKÖPINGS LÄN</t>
        </is>
      </c>
      <c r="G595" t="inlineStr">
        <is>
          <t>EKSJÖ</t>
        </is>
      </c>
      <c r="I595" t="n">
        <v>37.3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46323</v>
      </c>
      <c r="F596" t="inlineStr">
        <is>
          <t>JÖNKÖPINGS LÄN</t>
        </is>
      </c>
      <c r="G596" t="inlineStr">
        <is>
          <t>EKSJÖ</t>
        </is>
      </c>
      <c r="I596" t="n">
        <v>30.9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2245-2023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46323</v>
      </c>
      <c r="F597" t="inlineStr">
        <is>
          <t>JÖNKÖPINGS LÄN</t>
        </is>
      </c>
      <c r="G597" t="inlineStr">
        <is>
          <t>EKSJÖ</t>
        </is>
      </c>
      <c r="I597" t="n">
        <v>33.4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2246-2023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46323</v>
      </c>
      <c r="F598" t="inlineStr">
        <is>
          <t>JÖNKÖPINGS LÄN</t>
        </is>
      </c>
      <c r="G598" t="inlineStr">
        <is>
          <t>EKSJÖ</t>
        </is>
      </c>
      <c r="I598" t="n">
        <v>22.7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541-2024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46323</v>
      </c>
      <c r="F599" t="inlineStr">
        <is>
          <t>JÖNKÖPINGS LÄN</t>
        </is>
      </c>
      <c r="G599" t="inlineStr">
        <is>
          <t>EKSJÖ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2270-2023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45103</v>
      </c>
      <c r="E600" s="1" t="n">
        <v>46323</v>
      </c>
      <c r="F600" t="inlineStr">
        <is>
          <t>JÖNKÖPINGS LÄN</t>
        </is>
      </c>
      <c r="G600" t="inlineStr">
        <is>
          <t>EKSJÖ</t>
        </is>
      </c>
      <c r="I600" t="n">
        <v>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4938-2024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45628</v>
      </c>
      <c r="E601" s="1" t="n">
        <v>46323</v>
      </c>
      <c r="F601" t="inlineStr">
        <is>
          <t>JÖNKÖPINGS LÄN</t>
        </is>
      </c>
      <c r="G601" t="inlineStr">
        <is>
          <t>EKSJÖ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546-2024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46323</v>
      </c>
      <c r="F602" t="inlineStr">
        <is>
          <t>JÖNKÖPINGS LÄN</t>
        </is>
      </c>
      <c r="G602" t="inlineStr">
        <is>
          <t>EKSJÖ</t>
        </is>
      </c>
      <c r="I602" t="n">
        <v>11.2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540-2024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45349</v>
      </c>
      <c r="E603" s="1" t="n">
        <v>46323</v>
      </c>
      <c r="F603" t="inlineStr">
        <is>
          <t>JÖNKÖPINGS LÄN</t>
        </is>
      </c>
      <c r="G603" t="inlineStr">
        <is>
          <t>EKSJÖ</t>
        </is>
      </c>
      <c r="I603" t="n">
        <v>25.9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543-2024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45349</v>
      </c>
      <c r="E604" s="1" t="n">
        <v>46323</v>
      </c>
      <c r="F604" t="inlineStr">
        <is>
          <t>JÖNKÖPINGS LÄN</t>
        </is>
      </c>
      <c r="G604" t="inlineStr">
        <is>
          <t>EKSJÖ</t>
        </is>
      </c>
      <c r="I604" t="n">
        <v>21.4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1407-2023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45042</v>
      </c>
      <c r="E605" s="1" t="n">
        <v>46323</v>
      </c>
      <c r="F605" t="inlineStr">
        <is>
          <t>JÖNKÖPINGS LÄN</t>
        </is>
      </c>
      <c r="G605" t="inlineStr">
        <is>
          <t>EKSJÖ</t>
        </is>
      </c>
      <c r="I605" t="n">
        <v>60.7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539-2024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45349</v>
      </c>
      <c r="E606" s="1" t="n">
        <v>46323</v>
      </c>
      <c r="F606" t="inlineStr">
        <is>
          <t>JÖNKÖPINGS LÄN</t>
        </is>
      </c>
      <c r="G606" t="inlineStr">
        <is>
          <t>EKSJÖ</t>
        </is>
      </c>
      <c r="I606" t="n">
        <v>41.7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2244-2023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45100</v>
      </c>
      <c r="E607" s="1" t="n">
        <v>46323</v>
      </c>
      <c r="F607" t="inlineStr">
        <is>
          <t>JÖNKÖPINGS LÄN</t>
        </is>
      </c>
      <c r="G607" t="inlineStr">
        <is>
          <t>EKSJÖ</t>
        </is>
      </c>
      <c r="I607" t="n">
        <v>26.1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2704-2023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45155</v>
      </c>
      <c r="E608" s="1" t="n">
        <v>46323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1298-2025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45770</v>
      </c>
      <c r="E609" s="1" t="n">
        <v>46323</v>
      </c>
      <c r="F609" t="inlineStr">
        <is>
          <t>JÖNKÖPINGS LÄN</t>
        </is>
      </c>
      <c r="G609" t="inlineStr">
        <is>
          <t>EKSJÖ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949-2025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45741</v>
      </c>
      <c r="E610" s="1" t="n">
        <v>46323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583-2025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45712</v>
      </c>
      <c r="E611" s="1" t="n">
        <v>46323</v>
      </c>
      <c r="F611" t="inlineStr">
        <is>
          <t>JÖNKÖPINGS LÄN</t>
        </is>
      </c>
      <c r="G611" t="inlineStr">
        <is>
          <t>EKSJÖ</t>
        </is>
      </c>
      <c r="I611" t="n">
        <v>18.6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524-2025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45707</v>
      </c>
      <c r="E612" s="1" t="n">
        <v>46323</v>
      </c>
      <c r="F612" t="inlineStr">
        <is>
          <t>JÖNKÖPINGS LÄN</t>
        </is>
      </c>
      <c r="G612" t="inlineStr">
        <is>
          <t>EKSJÖ</t>
        </is>
      </c>
      <c r="I612" t="n">
        <v>114.6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1670-2025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45804</v>
      </c>
      <c r="E613" s="1" t="n">
        <v>46323</v>
      </c>
      <c r="F613" t="inlineStr">
        <is>
          <t>JÖNKÖPINGS LÄN</t>
        </is>
      </c>
      <c r="G613" t="inlineStr">
        <is>
          <t>EKSJÖ</t>
        </is>
      </c>
      <c r="I613" t="n">
        <v>21.5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2606-2025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45916</v>
      </c>
      <c r="E614" s="1" t="n">
        <v>46323</v>
      </c>
      <c r="F614" t="inlineStr">
        <is>
          <t>JÖNKÖPINGS LÄN</t>
        </is>
      </c>
      <c r="G614" t="inlineStr">
        <is>
          <t>EKSJÖ</t>
        </is>
      </c>
      <c r="H614" t="inlineStr">
        <is>
          <t>Sveaskog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2834-2025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45940</v>
      </c>
      <c r="E615" s="1" t="n">
        <v>46323</v>
      </c>
      <c r="F615" t="inlineStr">
        <is>
          <t>JÖNKÖPINGS LÄN</t>
        </is>
      </c>
      <c r="G615" t="inlineStr">
        <is>
          <t>EKSJÖ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1004-2026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46121</v>
      </c>
      <c r="E616" s="1" t="n">
        <v>46323</v>
      </c>
      <c r="F616" t="inlineStr">
        <is>
          <t>JÖNKÖPINGS LÄN</t>
        </is>
      </c>
      <c r="G616" t="inlineStr">
        <is>
          <t>EKSJÖ</t>
        </is>
      </c>
      <c r="I616" t="n">
        <v>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1412-2026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46154</v>
      </c>
      <c r="E617" s="1" t="n">
        <v>46323</v>
      </c>
      <c r="F617" t="inlineStr">
        <is>
          <t>JÖNKÖPINGS LÄN</t>
        </is>
      </c>
      <c r="G617" t="inlineStr">
        <is>
          <t>EKSJÖ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1521-2026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46166</v>
      </c>
      <c r="E618" s="1" t="n">
        <v>46323</v>
      </c>
      <c r="F618" t="inlineStr">
        <is>
          <t>JÖNKÖPINGS LÄN</t>
        </is>
      </c>
      <c r="G618" t="inlineStr">
        <is>
          <t>EKSJÖ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1826-2026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46190</v>
      </c>
      <c r="E619" s="1" t="n">
        <v>46323</v>
      </c>
      <c r="F619" t="inlineStr">
        <is>
          <t>JÖNKÖPINGS LÄN</t>
        </is>
      </c>
      <c r="G619" t="inlineStr">
        <is>
          <t>EKSJÖ</t>
        </is>
      </c>
      <c r="I619" t="n">
        <v>117.5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1825-2026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46190</v>
      </c>
      <c r="E620" s="1" t="n">
        <v>46323</v>
      </c>
      <c r="F620" t="inlineStr">
        <is>
          <t>JÖNKÖPINGS LÄN</t>
        </is>
      </c>
      <c r="G620" t="inlineStr">
        <is>
          <t>EKSJÖ</t>
        </is>
      </c>
      <c r="I620" t="n">
        <v>14.8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1842-2026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46153</v>
      </c>
      <c r="E621" s="1" t="n">
        <v>46323</v>
      </c>
      <c r="F621" t="inlineStr">
        <is>
          <t>JÖNKÖPINGS LÄN</t>
        </is>
      </c>
      <c r="G621" t="inlineStr">
        <is>
          <t>EKSJÖ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1973-2026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46210</v>
      </c>
      <c r="E622" s="1" t="n">
        <v>46323</v>
      </c>
      <c r="F622" t="inlineStr">
        <is>
          <t>JÖNKÖPINGS LÄN</t>
        </is>
      </c>
      <c r="G622" t="inlineStr">
        <is>
          <t>EKSJÖ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2693-2026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46311</v>
      </c>
      <c r="E623" s="1" t="n">
        <v>46323</v>
      </c>
      <c r="F623" t="inlineStr">
        <is>
          <t>JÖNKÖPINGS LÄN</t>
        </is>
      </c>
      <c r="G623" t="inlineStr">
        <is>
          <t>EKSJÖ</t>
        </is>
      </c>
      <c r="H623" t="inlineStr">
        <is>
          <t>Sveaskog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2728-2026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46315</v>
      </c>
      <c r="E624" s="1" t="n">
        <v>46323</v>
      </c>
      <c r="F624" t="inlineStr">
        <is>
          <t>JÖNKÖPINGS LÄN</t>
        </is>
      </c>
      <c r="G624" t="inlineStr">
        <is>
          <t>EKSJÖ</t>
        </is>
      </c>
      <c r="H624" t="inlineStr">
        <is>
          <t>Sveaskog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2026-10-28T03:10:59Z</dcterms:created>
  <dcterms:modified xmlns:dcterms="http://purl.org/dc/terms/" xmlns:xsi="http://www.w3.org/2001/XMLSchema-instance" xsi:type="dcterms:W3CDTF">2026-10-28T03:10:59Z</dcterms:modified>
</cp:coreProperties>
</file>