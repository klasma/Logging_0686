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46232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46232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46232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46232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46232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46232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46232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46232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46232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46232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46232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46232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46232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46232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46232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46232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46232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46232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46232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46232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46232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46232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46232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46232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46232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46232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46232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46232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46232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46232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46232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46232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46232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15419-2026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46106</v>
      </c>
      <c r="E35" s="1" t="n">
        <v>46232</v>
      </c>
      <c r="F35" t="inlineStr">
        <is>
          <t>JÖNKÖPINGS LÄN</t>
        </is>
      </c>
      <c r="G35" t="inlineStr">
        <is>
          <t>EKSJÖ</t>
        </is>
      </c>
      <c r="H35" t="inlineStr">
        <is>
          <t>Kommuner</t>
        </is>
      </c>
      <c r="I35" t="n">
        <v>4.1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Tibast</t>
        </is>
      </c>
      <c r="W35">
        <f>HYPERLINK("https://klasma.github.io/Logging_0686/artfynd/A 15419-2026 artfynd.xlsx", "A 15419-2026")</f>
        <v/>
      </c>
      <c r="X35">
        <f>HYPERLINK("https://klasma.github.io/Logging_0686/kartor/A 15419-2026 karta.png", "A 15419-2026")</f>
        <v/>
      </c>
      <c r="Y35">
        <f>HYPERLINK("https://klasma.github.io/Logging_0686/kartor_geotiff/A 15419-2026 georefererad karta.tif", "A 15419-2026")</f>
        <v/>
      </c>
      <c r="AA35">
        <f>HYPERLINK("https://klasma.github.io/Logging_0686/klagomål/A 15419-2026 FSC-klagomål.docx", "A 15419-2026")</f>
        <v/>
      </c>
      <c r="AB35">
        <f>HYPERLINK("https://klasma.github.io/Logging_0686/klagomålsmail/A 15419-2026 FSC-klagomål mail.docx", "A 15419-2026")</f>
        <v/>
      </c>
      <c r="AC35">
        <f>HYPERLINK("https://klasma.github.io/Logging_0686/tillsyn/A 15419-2026 tillsynsbegäran.docx", "A 15419-2026")</f>
        <v/>
      </c>
      <c r="AD35">
        <f>HYPERLINK("https://klasma.github.io/Logging_0686/tillsynsmail/A 15419-2026 tillsynsbegäran mail.docx", "A 15419-2026")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46232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46232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46232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46232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46232</v>
      </c>
      <c r="F40" t="inlineStr">
        <is>
          <t>JÖNKÖPINGS LÄN</t>
        </is>
      </c>
      <c r="G40" t="inlineStr">
        <is>
          <t>EKSJÖ</t>
        </is>
      </c>
      <c r="I40" t="n">
        <v>3.4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HYPERLINK("https://klasma.github.io/Logging_0686/artfynd/A 58-2023 artfynd.xlsx", "A 58-2023")</f>
        <v/>
      </c>
      <c r="X40">
        <f>HYPERLINK("https://klasma.github.io/Logging_0686/kartor/A 58-2023 karta.png", "A 58-2023")</f>
        <v/>
      </c>
      <c r="Y40">
        <f>HYPERLINK("https://klasma.github.io/Logging_0686/kartor_geotiff/A 58-2023 georefererad karta.tif", "A 58-2023")</f>
        <v/>
      </c>
      <c r="AA40">
        <f>HYPERLINK("https://klasma.github.io/Logging_0686/klagomål/A 58-2023 FSC-klagomål.docx", "A 58-2023")</f>
        <v/>
      </c>
      <c r="AB40">
        <f>HYPERLINK("https://klasma.github.io/Logging_0686/klagomålsmail/A 58-2023 FSC-klagomål mail.docx", "A 58-2023")</f>
        <v/>
      </c>
      <c r="AC40">
        <f>HYPERLINK("https://klasma.github.io/Logging_0686/tillsyn/A 58-2023 tillsynsbegäran.docx", "A 58-2023")</f>
        <v/>
      </c>
      <c r="AD40">
        <f>HYPERLINK("https://klasma.github.io/Logging_0686/tillsynsmail/A 58-2023 tillsynsbegäran mail.docx", "A 58-2023")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46232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23536-2026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46232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Spindelört</t>
        </is>
      </c>
      <c r="W42">
        <f>HYPERLINK("https://klasma.github.io/Logging_0686/artfynd/A 23536-2026 artfynd.xlsx", "A 23536-2026")</f>
        <v/>
      </c>
      <c r="X42">
        <f>HYPERLINK("https://klasma.github.io/Logging_0686/kartor/A 23536-2026 karta.png", "A 23536-2026")</f>
        <v/>
      </c>
      <c r="Y42">
        <f>HYPERLINK("https://klasma.github.io/Logging_0686/kartor_geotiff/A 23536-2026 georefererad karta.tif", "A 23536-2026")</f>
        <v/>
      </c>
      <c r="AA42">
        <f>HYPERLINK("https://klasma.github.io/Logging_0686/klagomål/A 23536-2026 FSC-klagomål.docx", "A 23536-2026")</f>
        <v/>
      </c>
      <c r="AB42">
        <f>HYPERLINK("https://klasma.github.io/Logging_0686/klagomålsmail/A 23536-2026 FSC-klagomål mail.docx", "A 23536-2026")</f>
        <v/>
      </c>
      <c r="AC42">
        <f>HYPERLINK("https://klasma.github.io/Logging_0686/tillsyn/A 23536-2026 tillsynsbegäran.docx", "A 23536-2026")</f>
        <v/>
      </c>
      <c r="AD42">
        <f>HYPERLINK("https://klasma.github.io/Logging_0686/tillsynsmail/A 23536-2026 tillsynsbegäran mail.docx", "A 23536-2026")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46232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46232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46232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46232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46232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46232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46232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46232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46232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46232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46232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46232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46232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46232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46232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46232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46232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46232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46232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46232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46232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46232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46232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46232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46232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46232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46232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46232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46232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46232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46232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46232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46232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46232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46232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46232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46232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46232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46232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46232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46232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46232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46232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46232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46232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46232</v>
      </c>
      <c r="F88" t="inlineStr">
        <is>
          <t>JÖNKÖPINGS LÄN</t>
        </is>
      </c>
      <c r="G88" t="inlineStr">
        <is>
          <t>EKSJÖ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44428</v>
      </c>
      <c r="E89" s="1" t="n">
        <v>46232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46232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46232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65645-2021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46232</v>
      </c>
      <c r="F92" t="inlineStr">
        <is>
          <t>JÖNKÖPINGS LÄN</t>
        </is>
      </c>
      <c r="G92" t="inlineStr">
        <is>
          <t>EKSJÖ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46232</v>
      </c>
      <c r="F93" t="inlineStr">
        <is>
          <t>JÖNKÖPINGS LÄN</t>
        </is>
      </c>
      <c r="G93" t="inlineStr">
        <is>
          <t>EKSJÖ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46232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46232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46232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46232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44739</v>
      </c>
      <c r="E98" s="1" t="n">
        <v>46232</v>
      </c>
      <c r="F98" t="inlineStr">
        <is>
          <t>JÖNKÖPINGS LÄN</t>
        </is>
      </c>
      <c r="G98" t="inlineStr">
        <is>
          <t>EKSJÖ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54700-2022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44883</v>
      </c>
      <c r="E99" s="1" t="n">
        <v>46232</v>
      </c>
      <c r="F99" t="inlineStr">
        <is>
          <t>JÖNKÖPINGS LÄN</t>
        </is>
      </c>
      <c r="G99" t="inlineStr">
        <is>
          <t>EKSJÖ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46232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46232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46232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46232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46232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46232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46232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46232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46232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46232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46232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46232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46232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46232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44748</v>
      </c>
      <c r="E114" s="1" t="n">
        <v>46232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46232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46232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46232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46232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46232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46232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44942</v>
      </c>
      <c r="E121" s="1" t="n">
        <v>46232</v>
      </c>
      <c r="F121" t="inlineStr">
        <is>
          <t>JÖNKÖPINGS LÄN</t>
        </is>
      </c>
      <c r="G121" t="inlineStr">
        <is>
          <t>EKSJÖ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46232</v>
      </c>
      <c r="F122" t="inlineStr">
        <is>
          <t>JÖNKÖPINGS LÄN</t>
        </is>
      </c>
      <c r="G122" t="inlineStr">
        <is>
          <t>EKSJÖ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46232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46232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45152</v>
      </c>
      <c r="E125" s="1" t="n">
        <v>46232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46232</v>
      </c>
      <c r="F126" t="inlineStr">
        <is>
          <t>JÖNKÖPINGS LÄN</t>
        </is>
      </c>
      <c r="G126" t="inlineStr">
        <is>
          <t>EKSJÖ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46232</v>
      </c>
      <c r="F127" t="inlineStr">
        <is>
          <t>JÖNKÖPINGS LÄN</t>
        </is>
      </c>
      <c r="G127" t="inlineStr">
        <is>
          <t>EKSJÖ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46232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46232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39049-2021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44412</v>
      </c>
      <c r="E130" s="1" t="n">
        <v>46232</v>
      </c>
      <c r="F130" t="inlineStr">
        <is>
          <t>JÖNKÖPINGS LÄN</t>
        </is>
      </c>
      <c r="G130" t="inlineStr">
        <is>
          <t>EKSJÖ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45057</v>
      </c>
      <c r="E131" s="1" t="n">
        <v>46232</v>
      </c>
      <c r="F131" t="inlineStr">
        <is>
          <t>JÖNKÖPINGS LÄN</t>
        </is>
      </c>
      <c r="G131" t="inlineStr">
        <is>
          <t>EKSJÖ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46232</v>
      </c>
      <c r="F132" t="inlineStr">
        <is>
          <t>JÖNKÖPINGS LÄN</t>
        </is>
      </c>
      <c r="G132" t="inlineStr">
        <is>
          <t>EKSJÖ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19682-2023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45051</v>
      </c>
      <c r="E133" s="1" t="n">
        <v>46232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46232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46232</v>
      </c>
      <c r="F135" t="inlineStr">
        <is>
          <t>JÖNKÖPINGS LÄN</t>
        </is>
      </c>
      <c r="G135" t="inlineStr">
        <is>
          <t>EKSJÖ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46232</v>
      </c>
      <c r="F136" t="inlineStr">
        <is>
          <t>JÖNKÖPINGS LÄN</t>
        </is>
      </c>
      <c r="G136" t="inlineStr">
        <is>
          <t>EKSJÖ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46232</v>
      </c>
      <c r="F137" t="inlineStr">
        <is>
          <t>JÖNKÖPINGS LÄN</t>
        </is>
      </c>
      <c r="G137" t="inlineStr">
        <is>
          <t>EKSJÖ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45344</v>
      </c>
      <c r="E138" s="1" t="n">
        <v>46232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45345</v>
      </c>
      <c r="E139" s="1" t="n">
        <v>46232</v>
      </c>
      <c r="F139" t="inlineStr">
        <is>
          <t>JÖNKÖPINGS LÄN</t>
        </is>
      </c>
      <c r="G139" t="inlineStr">
        <is>
          <t>EKSJÖ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46232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46232</v>
      </c>
      <c r="F141" t="inlineStr">
        <is>
          <t>JÖNKÖPINGS LÄN</t>
        </is>
      </c>
      <c r="G141" t="inlineStr">
        <is>
          <t>EKSJÖ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64541-2023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46232</v>
      </c>
      <c r="F142" t="inlineStr">
        <is>
          <t>JÖNKÖPINGS LÄN</t>
        </is>
      </c>
      <c r="G142" t="inlineStr">
        <is>
          <t>EKSJÖ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45523</v>
      </c>
      <c r="E143" s="1" t="n">
        <v>46232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46232</v>
      </c>
      <c r="F144" t="inlineStr">
        <is>
          <t>JÖNKÖPINGS LÄN</t>
        </is>
      </c>
      <c r="G144" t="inlineStr">
        <is>
          <t>EKSJÖ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46232</v>
      </c>
      <c r="F145" t="inlineStr">
        <is>
          <t>JÖNKÖPINGS LÄN</t>
        </is>
      </c>
      <c r="G145" t="inlineStr">
        <is>
          <t>EKSJÖ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46232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14427-2025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46232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46232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46232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9385-2025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46232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46232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45355</v>
      </c>
      <c r="E152" s="1" t="n">
        <v>46232</v>
      </c>
      <c r="F152" t="inlineStr">
        <is>
          <t>JÖNKÖPINGS LÄN</t>
        </is>
      </c>
      <c r="G152" t="inlineStr">
        <is>
          <t>EKSJÖ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50967-2021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44460</v>
      </c>
      <c r="E153" s="1" t="n">
        <v>46232</v>
      </c>
      <c r="F153" t="inlineStr">
        <is>
          <t>JÖNKÖPINGS LÄN</t>
        </is>
      </c>
      <c r="G153" t="inlineStr">
        <is>
          <t>EKSJÖ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46232</v>
      </c>
      <c r="F154" t="inlineStr">
        <is>
          <t>JÖNKÖPINGS LÄN</t>
        </is>
      </c>
      <c r="G154" t="inlineStr">
        <is>
          <t>EKSJÖ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46232</v>
      </c>
      <c r="F155" t="inlineStr">
        <is>
          <t>JÖNKÖPINGS LÄN</t>
        </is>
      </c>
      <c r="G155" t="inlineStr">
        <is>
          <t>EKSJÖ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46232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46232</v>
      </c>
      <c r="F157" t="inlineStr">
        <is>
          <t>JÖNKÖPINGS LÄN</t>
        </is>
      </c>
      <c r="G157" t="inlineStr">
        <is>
          <t>EKSJÖ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46232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46232</v>
      </c>
      <c r="F159" t="inlineStr">
        <is>
          <t>JÖNKÖPINGS LÄN</t>
        </is>
      </c>
      <c r="G159" t="inlineStr">
        <is>
          <t>EKSJÖ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46232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46232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46232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46232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46232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45741</v>
      </c>
      <c r="E165" s="1" t="n">
        <v>46232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46232</v>
      </c>
      <c r="F166" t="inlineStr">
        <is>
          <t>JÖNKÖPINGS LÄN</t>
        </is>
      </c>
      <c r="G166" t="inlineStr">
        <is>
          <t>EKSJÖ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46232</v>
      </c>
      <c r="F167" t="inlineStr">
        <is>
          <t>JÖNKÖPINGS LÄN</t>
        </is>
      </c>
      <c r="G167" t="inlineStr">
        <is>
          <t>EKSJÖ</t>
        </is>
      </c>
      <c r="H167" t="inlineStr">
        <is>
          <t>Sveaskog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46232</v>
      </c>
      <c r="F168" t="inlineStr">
        <is>
          <t>JÖNKÖPINGS LÄN</t>
        </is>
      </c>
      <c r="G168" t="inlineStr">
        <is>
          <t>EKSJÖ</t>
        </is>
      </c>
      <c r="H168" t="inlineStr">
        <is>
          <t>Övriga Aktiebolag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46232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13735-2025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46232</v>
      </c>
      <c r="F170" t="inlineStr">
        <is>
          <t>JÖNKÖPINGS LÄN</t>
        </is>
      </c>
      <c r="G170" t="inlineStr">
        <is>
          <t>EKSJÖ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45716</v>
      </c>
      <c r="E171" s="1" t="n">
        <v>46232</v>
      </c>
      <c r="F171" t="inlineStr">
        <is>
          <t>JÖNKÖPINGS LÄN</t>
        </is>
      </c>
      <c r="G171" t="inlineStr">
        <is>
          <t>EKSJÖ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46232</v>
      </c>
      <c r="F172" t="inlineStr">
        <is>
          <t>JÖNKÖPINGS LÄN</t>
        </is>
      </c>
      <c r="G172" t="inlineStr">
        <is>
          <t>EKSJÖ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46232</v>
      </c>
      <c r="F173" t="inlineStr">
        <is>
          <t>JÖNKÖPINGS LÄN</t>
        </is>
      </c>
      <c r="G173" t="inlineStr">
        <is>
          <t>EKSJÖ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46232</v>
      </c>
      <c r="F174" t="inlineStr">
        <is>
          <t>JÖNKÖPINGS LÄN</t>
        </is>
      </c>
      <c r="G174" t="inlineStr">
        <is>
          <t>EKSJÖ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46232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46232</v>
      </c>
      <c r="F176" t="inlineStr">
        <is>
          <t>JÖNKÖPINGS LÄN</t>
        </is>
      </c>
      <c r="G176" t="inlineStr">
        <is>
          <t>EKSJÖ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46232</v>
      </c>
      <c r="F177" t="inlineStr">
        <is>
          <t>JÖNKÖPINGS LÄN</t>
        </is>
      </c>
      <c r="G177" t="inlineStr">
        <is>
          <t>EKSJÖ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46232</v>
      </c>
      <c r="F178" t="inlineStr">
        <is>
          <t>JÖNKÖPINGS LÄN</t>
        </is>
      </c>
      <c r="G178" t="inlineStr">
        <is>
          <t>EKSJÖ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46232</v>
      </c>
      <c r="F179" t="inlineStr">
        <is>
          <t>JÖNKÖPINGS LÄN</t>
        </is>
      </c>
      <c r="G179" t="inlineStr">
        <is>
          <t>EKSJÖ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46232</v>
      </c>
      <c r="F180" t="inlineStr">
        <is>
          <t>JÖNKÖPINGS LÄN</t>
        </is>
      </c>
      <c r="G180" t="inlineStr">
        <is>
          <t>EKSJÖ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46232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46232</v>
      </c>
      <c r="F182" t="inlineStr">
        <is>
          <t>JÖNKÖPINGS LÄN</t>
        </is>
      </c>
      <c r="G182" t="inlineStr">
        <is>
          <t>EKSJÖ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46232</v>
      </c>
      <c r="F183" t="inlineStr">
        <is>
          <t>JÖNKÖPINGS LÄN</t>
        </is>
      </c>
      <c r="G183" t="inlineStr">
        <is>
          <t>EKSJÖ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45837</v>
      </c>
      <c r="E184" s="1" t="n">
        <v>46232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46232</v>
      </c>
      <c r="F185" t="inlineStr">
        <is>
          <t>JÖNKÖPINGS LÄN</t>
        </is>
      </c>
      <c r="G185" t="inlineStr">
        <is>
          <t>EKSJÖ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46232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46232</v>
      </c>
      <c r="F187" t="inlineStr">
        <is>
          <t>JÖNKÖPINGS LÄN</t>
        </is>
      </c>
      <c r="G187" t="inlineStr">
        <is>
          <t>EKSJÖ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46232</v>
      </c>
      <c r="F188" t="inlineStr">
        <is>
          <t>JÖNKÖPINGS LÄN</t>
        </is>
      </c>
      <c r="G188" t="inlineStr">
        <is>
          <t>EKSJÖ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46232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46232</v>
      </c>
      <c r="F190" t="inlineStr">
        <is>
          <t>JÖNKÖPINGS LÄN</t>
        </is>
      </c>
      <c r="G190" t="inlineStr">
        <is>
          <t>EKSJÖ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46232</v>
      </c>
      <c r="F191" t="inlineStr">
        <is>
          <t>JÖNKÖPINGS LÄN</t>
        </is>
      </c>
      <c r="G191" t="inlineStr">
        <is>
          <t>EKSJÖ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46232</v>
      </c>
      <c r="F192" t="inlineStr">
        <is>
          <t>JÖNKÖPINGS LÄN</t>
        </is>
      </c>
      <c r="G192" t="inlineStr">
        <is>
          <t>EKSJÖ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45686</v>
      </c>
      <c r="E193" s="1" t="n">
        <v>46232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46232</v>
      </c>
      <c r="F194" t="inlineStr">
        <is>
          <t>JÖNKÖPINGS LÄN</t>
        </is>
      </c>
      <c r="G194" t="inlineStr">
        <is>
          <t>EKSJÖ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46232</v>
      </c>
      <c r="F195" t="inlineStr">
        <is>
          <t>JÖNKÖPINGS LÄN</t>
        </is>
      </c>
      <c r="G195" t="inlineStr">
        <is>
          <t>EKSJÖ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46232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46232</v>
      </c>
      <c r="F197" t="inlineStr">
        <is>
          <t>JÖNKÖPINGS LÄN</t>
        </is>
      </c>
      <c r="G197" t="inlineStr">
        <is>
          <t>EKSJÖ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46232</v>
      </c>
      <c r="F198" t="inlineStr">
        <is>
          <t>JÖNKÖPINGS LÄN</t>
        </is>
      </c>
      <c r="G198" t="inlineStr">
        <is>
          <t>EKSJÖ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46037</v>
      </c>
      <c r="E199" s="1" t="n">
        <v>46232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46232</v>
      </c>
      <c r="F200" t="inlineStr">
        <is>
          <t>JÖNKÖPINGS LÄN</t>
        </is>
      </c>
      <c r="G200" t="inlineStr">
        <is>
          <t>EKSJÖ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46232</v>
      </c>
      <c r="F201" t="inlineStr">
        <is>
          <t>JÖNKÖPINGS LÄN</t>
        </is>
      </c>
      <c r="G201" t="inlineStr">
        <is>
          <t>EKSJÖ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44574</v>
      </c>
      <c r="E202" s="1" t="n">
        <v>46232</v>
      </c>
      <c r="F202" t="inlineStr">
        <is>
          <t>JÖNKÖPINGS LÄN</t>
        </is>
      </c>
      <c r="G202" t="inlineStr">
        <is>
          <t>EKSJÖ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46038</v>
      </c>
      <c r="E203" s="1" t="n">
        <v>46232</v>
      </c>
      <c r="F203" t="inlineStr">
        <is>
          <t>JÖNKÖPINGS LÄN</t>
        </is>
      </c>
      <c r="G203" t="inlineStr">
        <is>
          <t>EKSJÖ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45714</v>
      </c>
      <c r="E204" s="1" t="n">
        <v>46232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45251</v>
      </c>
      <c r="E205" s="1" t="n">
        <v>46232</v>
      </c>
      <c r="F205" t="inlineStr">
        <is>
          <t>JÖNKÖPINGS LÄN</t>
        </is>
      </c>
      <c r="G205" t="inlineStr">
        <is>
          <t>EKSJÖ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43411-2022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44834</v>
      </c>
      <c r="E206" s="1" t="n">
        <v>46232</v>
      </c>
      <c r="F206" t="inlineStr">
        <is>
          <t>JÖNKÖPINGS LÄN</t>
        </is>
      </c>
      <c r="G206" t="inlineStr">
        <is>
          <t>EKSJÖ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46232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45664</v>
      </c>
      <c r="E208" s="1" t="n">
        <v>46232</v>
      </c>
      <c r="F208" t="inlineStr">
        <is>
          <t>JÖNKÖPINGS LÄN</t>
        </is>
      </c>
      <c r="G208" t="inlineStr">
        <is>
          <t>EKSJÖ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46232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45485</v>
      </c>
      <c r="E210" s="1" t="n">
        <v>46232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45195</v>
      </c>
      <c r="E211" s="1" t="n">
        <v>46232</v>
      </c>
      <c r="F211" t="inlineStr">
        <is>
          <t>JÖNKÖPINGS LÄN</t>
        </is>
      </c>
      <c r="G211" t="inlineStr">
        <is>
          <t>EKSJÖ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46232</v>
      </c>
      <c r="F212" t="inlineStr">
        <is>
          <t>JÖNKÖPINGS LÄN</t>
        </is>
      </c>
      <c r="G212" t="inlineStr">
        <is>
          <t>EKSJÖ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45418</v>
      </c>
      <c r="E213" s="1" t="n">
        <v>46232</v>
      </c>
      <c r="F213" t="inlineStr">
        <is>
          <t>JÖNKÖPINGS LÄN</t>
        </is>
      </c>
      <c r="G213" t="inlineStr">
        <is>
          <t>EKSJÖ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46232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46232</v>
      </c>
      <c r="F215" t="inlineStr">
        <is>
          <t>JÖNKÖPINGS LÄN</t>
        </is>
      </c>
      <c r="G215" t="inlineStr">
        <is>
          <t>EKSJÖ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46232</v>
      </c>
      <c r="F216" t="inlineStr">
        <is>
          <t>JÖNKÖPINGS LÄN</t>
        </is>
      </c>
      <c r="G216" t="inlineStr">
        <is>
          <t>EKSJÖ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42897-2025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46232</v>
      </c>
      <c r="F217" t="inlineStr">
        <is>
          <t>JÖNKÖPINGS LÄN</t>
        </is>
      </c>
      <c r="G217" t="inlineStr">
        <is>
          <t>EKSJÖ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46232</v>
      </c>
      <c r="F218" t="inlineStr">
        <is>
          <t>JÖNKÖPINGS LÄN</t>
        </is>
      </c>
      <c r="G218" t="inlineStr">
        <is>
          <t>EKSJÖ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43587-2025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46232</v>
      </c>
      <c r="F219" t="inlineStr">
        <is>
          <t>JÖNKÖPINGS LÄN</t>
        </is>
      </c>
      <c r="G219" t="inlineStr">
        <is>
          <t>EKSJÖ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46232</v>
      </c>
      <c r="F220" t="inlineStr">
        <is>
          <t>JÖNKÖPINGS LÄN</t>
        </is>
      </c>
      <c r="G220" t="inlineStr">
        <is>
          <t>EKSJÖ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46232</v>
      </c>
      <c r="F221" t="inlineStr">
        <is>
          <t>JÖNKÖPINGS LÄN</t>
        </is>
      </c>
      <c r="G221" t="inlineStr">
        <is>
          <t>EKSJÖ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41440-2024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45560</v>
      </c>
      <c r="E222" s="1" t="n">
        <v>46232</v>
      </c>
      <c r="F222" t="inlineStr">
        <is>
          <t>JÖNKÖPINGS LÄN</t>
        </is>
      </c>
      <c r="G222" t="inlineStr">
        <is>
          <t>EKSJÖ</t>
        </is>
      </c>
      <c r="H222" t="inlineStr">
        <is>
          <t>Kyrkan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46232</v>
      </c>
      <c r="F223" t="inlineStr">
        <is>
          <t>JÖNKÖPINGS LÄN</t>
        </is>
      </c>
      <c r="G223" t="inlineStr">
        <is>
          <t>EKSJÖ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46232</v>
      </c>
      <c r="F224" t="inlineStr">
        <is>
          <t>JÖNKÖPINGS LÄN</t>
        </is>
      </c>
      <c r="G224" t="inlineStr">
        <is>
          <t>EKSJÖ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46232</v>
      </c>
      <c r="F225" t="inlineStr">
        <is>
          <t>JÖNKÖPINGS LÄN</t>
        </is>
      </c>
      <c r="G225" t="inlineStr">
        <is>
          <t>EKSJÖ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42929-2021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44431</v>
      </c>
      <c r="E226" s="1" t="n">
        <v>46232</v>
      </c>
      <c r="F226" t="inlineStr">
        <is>
          <t>JÖNKÖPINGS LÄN</t>
        </is>
      </c>
      <c r="G226" t="inlineStr">
        <is>
          <t>EKSJÖ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46232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46232</v>
      </c>
      <c r="F228" t="inlineStr">
        <is>
          <t>JÖNKÖPINGS LÄN</t>
        </is>
      </c>
      <c r="G228" t="inlineStr">
        <is>
          <t>EKSJÖ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46232</v>
      </c>
      <c r="F229" t="inlineStr">
        <is>
          <t>JÖNKÖPINGS LÄN</t>
        </is>
      </c>
      <c r="G229" t="inlineStr">
        <is>
          <t>EKSJÖ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46232</v>
      </c>
      <c r="F230" t="inlineStr">
        <is>
          <t>JÖNKÖPINGS LÄN</t>
        </is>
      </c>
      <c r="G230" t="inlineStr">
        <is>
          <t>EKSJÖ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44526-2025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45916</v>
      </c>
      <c r="E231" s="1" t="n">
        <v>46232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46232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46232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45204</v>
      </c>
      <c r="E234" s="1" t="n">
        <v>46232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33775-2025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45842</v>
      </c>
      <c r="E235" s="1" t="n">
        <v>46232</v>
      </c>
      <c r="F235" t="inlineStr">
        <is>
          <t>JÖNKÖPINGS LÄN</t>
        </is>
      </c>
      <c r="G235" t="inlineStr">
        <is>
          <t>EKSJÖ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34124-2025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46232</v>
      </c>
      <c r="F236" t="inlineStr">
        <is>
          <t>JÖNKÖPINGS LÄN</t>
        </is>
      </c>
      <c r="G236" t="inlineStr">
        <is>
          <t>EKSJÖ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44803</v>
      </c>
      <c r="E237" s="1" t="n">
        <v>46232</v>
      </c>
      <c r="F237" t="inlineStr">
        <is>
          <t>JÖNKÖPINGS LÄN</t>
        </is>
      </c>
      <c r="G237" t="inlineStr">
        <is>
          <t>EKSJÖ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45842</v>
      </c>
      <c r="E238" s="1" t="n">
        <v>46232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57868-2024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46232</v>
      </c>
      <c r="F239" t="inlineStr">
        <is>
          <t>JÖNKÖPINGS LÄN</t>
        </is>
      </c>
      <c r="G239" t="inlineStr">
        <is>
          <t>EKSJÖ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46232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46232</v>
      </c>
      <c r="F241" t="inlineStr">
        <is>
          <t>JÖNKÖPINGS LÄN</t>
        </is>
      </c>
      <c r="G241" t="inlineStr">
        <is>
          <t>EKSJÖ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46232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46232</v>
      </c>
      <c r="F243" t="inlineStr">
        <is>
          <t>JÖNKÖPINGS LÄN</t>
        </is>
      </c>
      <c r="G243" t="inlineStr">
        <is>
          <t>EKSJÖ</t>
        </is>
      </c>
      <c r="H243" t="inlineStr">
        <is>
          <t>Övriga Aktiebolag</t>
        </is>
      </c>
      <c r="I243" t="n">
        <v>17.5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22176-2025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45785</v>
      </c>
      <c r="E244" s="1" t="n">
        <v>46232</v>
      </c>
      <c r="F244" t="inlineStr">
        <is>
          <t>JÖNKÖPINGS LÄN</t>
        </is>
      </c>
      <c r="G244" t="inlineStr">
        <is>
          <t>EKSJÖ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46232</v>
      </c>
      <c r="F245" t="inlineStr">
        <is>
          <t>JÖNKÖPINGS LÄN</t>
        </is>
      </c>
      <c r="G245" t="inlineStr">
        <is>
          <t>EKSJÖ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46232</v>
      </c>
      <c r="F246" t="inlineStr">
        <is>
          <t>JÖNKÖPINGS LÄN</t>
        </is>
      </c>
      <c r="G246" t="inlineStr">
        <is>
          <t>EKSJÖ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46232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46232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46232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46232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46232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46232</v>
      </c>
      <c r="F252" t="inlineStr">
        <is>
          <t>JÖNKÖPINGS LÄN</t>
        </is>
      </c>
      <c r="G252" t="inlineStr">
        <is>
          <t>EKSJÖ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45860</v>
      </c>
      <c r="E253" s="1" t="n">
        <v>46232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45860</v>
      </c>
      <c r="E254" s="1" t="n">
        <v>46232</v>
      </c>
      <c r="F254" t="inlineStr">
        <is>
          <t>JÖNKÖPINGS LÄN</t>
        </is>
      </c>
      <c r="G254" t="inlineStr">
        <is>
          <t>EKSJÖ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36148-2025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45866</v>
      </c>
      <c r="E255" s="1" t="n">
        <v>46232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44580</v>
      </c>
      <c r="E256" s="1" t="n">
        <v>46232</v>
      </c>
      <c r="F256" t="inlineStr">
        <is>
          <t>JÖNKÖPINGS LÄN</t>
        </is>
      </c>
      <c r="G256" t="inlineStr">
        <is>
          <t>EKSJÖ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46232</v>
      </c>
      <c r="F257" t="inlineStr">
        <is>
          <t>JÖNKÖPINGS LÄN</t>
        </is>
      </c>
      <c r="G257" t="inlineStr">
        <is>
          <t>EKSJÖ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46232</v>
      </c>
      <c r="F258" t="inlineStr">
        <is>
          <t>JÖNKÖPINGS LÄN</t>
        </is>
      </c>
      <c r="G258" t="inlineStr">
        <is>
          <t>EKSJÖ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46232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46049</v>
      </c>
      <c r="E260" s="1" t="n">
        <v>46232</v>
      </c>
      <c r="F260" t="inlineStr">
        <is>
          <t>JÖNKÖPINGS LÄN</t>
        </is>
      </c>
      <c r="G260" t="inlineStr">
        <is>
          <t>EKSJÖ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46232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45008</v>
      </c>
      <c r="E262" s="1" t="n">
        <v>46232</v>
      </c>
      <c r="F262" t="inlineStr">
        <is>
          <t>JÖNKÖPINGS LÄN</t>
        </is>
      </c>
      <c r="G262" t="inlineStr">
        <is>
          <t>EKSJÖ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36853-2025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46232</v>
      </c>
      <c r="F263" t="inlineStr">
        <is>
          <t>JÖNKÖPINGS LÄN</t>
        </is>
      </c>
      <c r="G263" t="inlineStr">
        <is>
          <t>EKSJÖ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45875</v>
      </c>
      <c r="E264" s="1" t="n">
        <v>46232</v>
      </c>
      <c r="F264" t="inlineStr">
        <is>
          <t>JÖNKÖPINGS LÄN</t>
        </is>
      </c>
      <c r="G264" t="inlineStr">
        <is>
          <t>EKSJÖ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45875</v>
      </c>
      <c r="E265" s="1" t="n">
        <v>46232</v>
      </c>
      <c r="F265" t="inlineStr">
        <is>
          <t>JÖNKÖPINGS LÄN</t>
        </is>
      </c>
      <c r="G265" t="inlineStr">
        <is>
          <t>EKSJÖ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45877</v>
      </c>
      <c r="E266" s="1" t="n">
        <v>46232</v>
      </c>
      <c r="F266" t="inlineStr">
        <is>
          <t>JÖNKÖPINGS LÄN</t>
        </is>
      </c>
      <c r="G266" t="inlineStr">
        <is>
          <t>EKSJÖ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45819</v>
      </c>
      <c r="E267" s="1" t="n">
        <v>46232</v>
      </c>
      <c r="F267" t="inlineStr">
        <is>
          <t>JÖNKÖPINGS LÄN</t>
        </is>
      </c>
      <c r="G267" t="inlineStr">
        <is>
          <t>EKSJÖ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46232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46232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46232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45315</v>
      </c>
      <c r="E271" s="1" t="n">
        <v>46232</v>
      </c>
      <c r="F271" t="inlineStr">
        <is>
          <t>JÖNKÖPINGS LÄN</t>
        </is>
      </c>
      <c r="G271" t="inlineStr">
        <is>
          <t>EKSJÖ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33971-2025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45842</v>
      </c>
      <c r="E272" s="1" t="n">
        <v>46232</v>
      </c>
      <c r="F272" t="inlineStr">
        <is>
          <t>JÖNKÖPINGS LÄN</t>
        </is>
      </c>
      <c r="G272" t="inlineStr">
        <is>
          <t>EKSJÖ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45036</v>
      </c>
      <c r="E273" s="1" t="n">
        <v>46232</v>
      </c>
      <c r="F273" t="inlineStr">
        <is>
          <t>JÖNKÖPINGS LÄN</t>
        </is>
      </c>
      <c r="G273" t="inlineStr">
        <is>
          <t>EKSJÖ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46232</v>
      </c>
      <c r="F274" t="inlineStr">
        <is>
          <t>JÖNKÖPINGS LÄN</t>
        </is>
      </c>
      <c r="G274" t="inlineStr">
        <is>
          <t>EKSJÖ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46232</v>
      </c>
      <c r="F275" t="inlineStr">
        <is>
          <t>JÖNKÖPINGS LÄN</t>
        </is>
      </c>
      <c r="G275" t="inlineStr">
        <is>
          <t>EKSJÖ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45946</v>
      </c>
      <c r="E276" s="1" t="n">
        <v>46232</v>
      </c>
      <c r="F276" t="inlineStr">
        <is>
          <t>JÖNKÖPINGS LÄN</t>
        </is>
      </c>
      <c r="G276" t="inlineStr">
        <is>
          <t>EKSJÖ</t>
        </is>
      </c>
      <c r="H276" t="inlineStr">
        <is>
          <t>Övriga Aktiebolag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46056</v>
      </c>
      <c r="E277" s="1" t="n">
        <v>46232</v>
      </c>
      <c r="F277" t="inlineStr">
        <is>
          <t>JÖNKÖPINGS LÄN</t>
        </is>
      </c>
      <c r="G277" t="inlineStr">
        <is>
          <t>EKSJÖ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45328</v>
      </c>
      <c r="E278" s="1" t="n">
        <v>46232</v>
      </c>
      <c r="F278" t="inlineStr">
        <is>
          <t>JÖNKÖPINGS LÄN</t>
        </is>
      </c>
      <c r="G278" t="inlineStr">
        <is>
          <t>EKSJÖ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45944</v>
      </c>
      <c r="E279" s="1" t="n">
        <v>46232</v>
      </c>
      <c r="F279" t="inlineStr">
        <is>
          <t>JÖNKÖPINGS LÄN</t>
        </is>
      </c>
      <c r="G279" t="inlineStr">
        <is>
          <t>EKSJÖ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45945</v>
      </c>
      <c r="E280" s="1" t="n">
        <v>46232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64419-2021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44511</v>
      </c>
      <c r="E281" s="1" t="n">
        <v>46232</v>
      </c>
      <c r="F281" t="inlineStr">
        <is>
          <t>JÖNKÖPINGS LÄN</t>
        </is>
      </c>
      <c r="G281" t="inlineStr">
        <is>
          <t>EKSJÖ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45184</v>
      </c>
      <c r="E282" s="1" t="n">
        <v>46232</v>
      </c>
      <c r="F282" t="inlineStr">
        <is>
          <t>JÖNKÖPINGS LÄN</t>
        </is>
      </c>
      <c r="G282" t="inlineStr">
        <is>
          <t>EKSJÖ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54292-2023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45232</v>
      </c>
      <c r="E283" s="1" t="n">
        <v>46232</v>
      </c>
      <c r="F283" t="inlineStr">
        <is>
          <t>JÖNKÖPINGS LÄN</t>
        </is>
      </c>
      <c r="G283" t="inlineStr">
        <is>
          <t>EKSJÖ</t>
        </is>
      </c>
      <c r="I283" t="n">
        <v>18.3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46232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44781</v>
      </c>
      <c r="E285" s="1" t="n">
        <v>46232</v>
      </c>
      <c r="F285" t="inlineStr">
        <is>
          <t>JÖNKÖPINGS LÄN</t>
        </is>
      </c>
      <c r="G285" t="inlineStr">
        <is>
          <t>EKSJÖ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44781</v>
      </c>
      <c r="E286" s="1" t="n">
        <v>46232</v>
      </c>
      <c r="F286" t="inlineStr">
        <is>
          <t>JÖNKÖPINGS LÄN</t>
        </is>
      </c>
      <c r="G286" t="inlineStr">
        <is>
          <t>EKSJÖ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46232</v>
      </c>
      <c r="F287" t="inlineStr">
        <is>
          <t>JÖNKÖPINGS LÄN</t>
        </is>
      </c>
      <c r="G287" t="inlineStr">
        <is>
          <t>EKSJÖ</t>
        </is>
      </c>
      <c r="H287" t="inlineStr">
        <is>
          <t>Kyrkan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46232</v>
      </c>
      <c r="F288" t="inlineStr">
        <is>
          <t>JÖNKÖPINGS LÄN</t>
        </is>
      </c>
      <c r="G288" t="inlineStr">
        <is>
          <t>EKSJÖ</t>
        </is>
      </c>
      <c r="H288" t="inlineStr">
        <is>
          <t>Kyrkan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56322-2021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44477</v>
      </c>
      <c r="E289" s="1" t="n">
        <v>46232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46232</v>
      </c>
      <c r="F290" t="inlineStr">
        <is>
          <t>JÖNKÖPINGS LÄN</t>
        </is>
      </c>
      <c r="G290" t="inlineStr">
        <is>
          <t>EKSJÖ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19469-2025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45770</v>
      </c>
      <c r="E291" s="1" t="n">
        <v>46232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45770</v>
      </c>
      <c r="E292" s="1" t="n">
        <v>46232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46232</v>
      </c>
      <c r="F293" t="inlineStr">
        <is>
          <t>JÖNKÖPINGS LÄN</t>
        </is>
      </c>
      <c r="G293" t="inlineStr">
        <is>
          <t>EKSJÖ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46232</v>
      </c>
      <c r="F294" t="inlineStr">
        <is>
          <t>JÖNKÖPINGS LÄN</t>
        </is>
      </c>
      <c r="G294" t="inlineStr">
        <is>
          <t>EKSJÖ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54292-2023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45232</v>
      </c>
      <c r="E295" s="1" t="n">
        <v>46232</v>
      </c>
      <c r="F295" t="inlineStr">
        <is>
          <t>JÖNKÖPINGS LÄN</t>
        </is>
      </c>
      <c r="G295" t="inlineStr">
        <is>
          <t>EKSJÖ</t>
        </is>
      </c>
      <c r="I295" t="n">
        <v>18.3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46232</v>
      </c>
      <c r="F296" t="inlineStr">
        <is>
          <t>JÖNKÖPINGS LÄN</t>
        </is>
      </c>
      <c r="G296" t="inlineStr">
        <is>
          <t>EKSJÖ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46918-2023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46232</v>
      </c>
      <c r="F297" t="inlineStr">
        <is>
          <t>JÖNKÖPINGS LÄN</t>
        </is>
      </c>
      <c r="G297" t="inlineStr">
        <is>
          <t>EKSJÖ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45086</v>
      </c>
      <c r="E298" s="1" t="n">
        <v>46232</v>
      </c>
      <c r="F298" t="inlineStr">
        <is>
          <t>JÖNKÖPINGS LÄN</t>
        </is>
      </c>
      <c r="G298" t="inlineStr">
        <is>
          <t>EKSJÖ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55628-2025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46232</v>
      </c>
      <c r="F299" t="inlineStr">
        <is>
          <t>JÖNKÖPINGS LÄN</t>
        </is>
      </c>
      <c r="G299" t="inlineStr">
        <is>
          <t>EKSJÖ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46232</v>
      </c>
      <c r="F300" t="inlineStr">
        <is>
          <t>JÖNKÖPINGS LÄN</t>
        </is>
      </c>
      <c r="G300" t="inlineStr">
        <is>
          <t>EKSJÖ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45975</v>
      </c>
      <c r="E301" s="1" t="n">
        <v>46232</v>
      </c>
      <c r="F301" t="inlineStr">
        <is>
          <t>JÖNKÖPINGS LÄN</t>
        </is>
      </c>
      <c r="G301" t="inlineStr">
        <is>
          <t>EKSJÖ</t>
        </is>
      </c>
      <c r="H301" t="inlineStr">
        <is>
          <t>Kyrkan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46232</v>
      </c>
      <c r="F302" t="inlineStr">
        <is>
          <t>JÖNKÖPINGS LÄN</t>
        </is>
      </c>
      <c r="G302" t="inlineStr">
        <is>
          <t>EKSJÖ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45334</v>
      </c>
      <c r="E303" s="1" t="n">
        <v>46232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16.1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46232</v>
      </c>
      <c r="F304" t="inlineStr">
        <is>
          <t>JÖNKÖPINGS LÄN</t>
        </is>
      </c>
      <c r="G304" t="inlineStr">
        <is>
          <t>EKSJÖ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44991</v>
      </c>
      <c r="E305" s="1" t="n">
        <v>46232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45364</v>
      </c>
      <c r="E306" s="1" t="n">
        <v>46232</v>
      </c>
      <c r="F306" t="inlineStr">
        <is>
          <t>JÖNKÖPINGS LÄN</t>
        </is>
      </c>
      <c r="G306" t="inlineStr">
        <is>
          <t>EKSJÖ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44945</v>
      </c>
      <c r="E307" s="1" t="n">
        <v>46232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46232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17387-2025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45757</v>
      </c>
      <c r="E309" s="1" t="n">
        <v>46232</v>
      </c>
      <c r="F309" t="inlineStr">
        <is>
          <t>JÖNKÖPINGS LÄN</t>
        </is>
      </c>
      <c r="G309" t="inlineStr">
        <is>
          <t>EKSJÖ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45222</v>
      </c>
      <c r="E310" s="1" t="n">
        <v>46232</v>
      </c>
      <c r="F310" t="inlineStr">
        <is>
          <t>JÖNKÖPINGS LÄN</t>
        </is>
      </c>
      <c r="G310" t="inlineStr">
        <is>
          <t>EKSJÖ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46232</v>
      </c>
      <c r="F311" t="inlineStr">
        <is>
          <t>JÖNKÖPINGS LÄN</t>
        </is>
      </c>
      <c r="G311" t="inlineStr">
        <is>
          <t>EKSJÖ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45981</v>
      </c>
      <c r="E312" s="1" t="n">
        <v>46232</v>
      </c>
      <c r="F312" t="inlineStr">
        <is>
          <t>JÖNKÖPINGS LÄN</t>
        </is>
      </c>
      <c r="G312" t="inlineStr">
        <is>
          <t>EKSJÖ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46232</v>
      </c>
      <c r="F313" t="inlineStr">
        <is>
          <t>JÖNKÖPINGS LÄN</t>
        </is>
      </c>
      <c r="G313" t="inlineStr">
        <is>
          <t>EKSJÖ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46232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46232</v>
      </c>
      <c r="F315" t="inlineStr">
        <is>
          <t>JÖNKÖPINGS LÄN</t>
        </is>
      </c>
      <c r="G315" t="inlineStr">
        <is>
          <t>EKSJÖ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46232</v>
      </c>
      <c r="F316" t="inlineStr">
        <is>
          <t>JÖNKÖPINGS LÄN</t>
        </is>
      </c>
      <c r="G316" t="inlineStr">
        <is>
          <t>EKSJÖ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46232</v>
      </c>
      <c r="F317" t="inlineStr">
        <is>
          <t>JÖNKÖPINGS LÄN</t>
        </is>
      </c>
      <c r="G317" t="inlineStr">
        <is>
          <t>EKSJÖ</t>
        </is>
      </c>
      <c r="H317" t="inlineStr">
        <is>
          <t>Kommuner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46232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28261-2022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44746</v>
      </c>
      <c r="E319" s="1" t="n">
        <v>46232</v>
      </c>
      <c r="F319" t="inlineStr">
        <is>
          <t>JÖNKÖPINGS LÄN</t>
        </is>
      </c>
      <c r="G319" t="inlineStr">
        <is>
          <t>EKSJÖ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46232</v>
      </c>
      <c r="F320" t="inlineStr">
        <is>
          <t>JÖNKÖPINGS LÄN</t>
        </is>
      </c>
      <c r="G320" t="inlineStr">
        <is>
          <t>EKSJÖ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46232</v>
      </c>
      <c r="F321" t="inlineStr">
        <is>
          <t>JÖNKÖPINGS LÄN</t>
        </is>
      </c>
      <c r="G321" t="inlineStr">
        <is>
          <t>EKSJÖ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43100-2021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44431</v>
      </c>
      <c r="E322" s="1" t="n">
        <v>46232</v>
      </c>
      <c r="F322" t="inlineStr">
        <is>
          <t>JÖNKÖPINGS LÄN</t>
        </is>
      </c>
      <c r="G322" t="inlineStr">
        <is>
          <t>EKSJÖ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46232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44928</v>
      </c>
      <c r="E324" s="1" t="n">
        <v>46232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22491-2023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45071</v>
      </c>
      <c r="E325" s="1" t="n">
        <v>46232</v>
      </c>
      <c r="F325" t="inlineStr">
        <is>
          <t>JÖNKÖPINGS LÄN</t>
        </is>
      </c>
      <c r="G325" t="inlineStr">
        <is>
          <t>EKSJÖ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59655-2025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46232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45991</v>
      </c>
      <c r="E327" s="1" t="n">
        <v>46232</v>
      </c>
      <c r="F327" t="inlineStr">
        <is>
          <t>JÖNKÖPINGS LÄN</t>
        </is>
      </c>
      <c r="G327" t="inlineStr">
        <is>
          <t>EKSJÖ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46232</v>
      </c>
      <c r="F328" t="inlineStr">
        <is>
          <t>JÖNKÖPINGS LÄN</t>
        </is>
      </c>
      <c r="G328" t="inlineStr">
        <is>
          <t>EKSJÖ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46232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38201-2023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46232</v>
      </c>
      <c r="F330" t="inlineStr">
        <is>
          <t>JÖNKÖPINGS LÄN</t>
        </is>
      </c>
      <c r="G330" t="inlineStr">
        <is>
          <t>EKSJÖ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45475</v>
      </c>
      <c r="E331" s="1" t="n">
        <v>46232</v>
      </c>
      <c r="F331" t="inlineStr">
        <is>
          <t>JÖNKÖPINGS LÄN</t>
        </is>
      </c>
      <c r="G331" t="inlineStr">
        <is>
          <t>EKSJÖ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46232</v>
      </c>
      <c r="F332" t="inlineStr">
        <is>
          <t>JÖNKÖPINGS LÄN</t>
        </is>
      </c>
      <c r="G332" t="inlineStr">
        <is>
          <t>EKSJÖ</t>
        </is>
      </c>
      <c r="H332" t="inlineStr">
        <is>
          <t>Kommuner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46232</v>
      </c>
      <c r="F333" t="inlineStr">
        <is>
          <t>JÖNKÖPINGS LÄN</t>
        </is>
      </c>
      <c r="G333" t="inlineStr">
        <is>
          <t>EKSJÖ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46232</v>
      </c>
      <c r="F334" t="inlineStr">
        <is>
          <t>JÖNKÖPINGS LÄN</t>
        </is>
      </c>
      <c r="G334" t="inlineStr">
        <is>
          <t>EKSJÖ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45337</v>
      </c>
      <c r="E335" s="1" t="n">
        <v>46232</v>
      </c>
      <c r="F335" t="inlineStr">
        <is>
          <t>JÖNKÖPINGS LÄN</t>
        </is>
      </c>
      <c r="G335" t="inlineStr">
        <is>
          <t>EKSJÖ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46232</v>
      </c>
      <c r="F336" t="inlineStr">
        <is>
          <t>JÖNKÖPINGS LÄN</t>
        </is>
      </c>
      <c r="G336" t="inlineStr">
        <is>
          <t>EKSJÖ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56469-2021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46232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45677</v>
      </c>
      <c r="E338" s="1" t="n">
        <v>46232</v>
      </c>
      <c r="F338" t="inlineStr">
        <is>
          <t>JÖNKÖPINGS LÄN</t>
        </is>
      </c>
      <c r="G338" t="inlineStr">
        <is>
          <t>EKSJÖ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62958-2025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46232</v>
      </c>
      <c r="F339" t="inlineStr">
        <is>
          <t>JÖNKÖPINGS LÄN</t>
        </is>
      </c>
      <c r="G339" t="inlineStr">
        <is>
          <t>EKSJÖ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62892-2025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46232</v>
      </c>
      <c r="F340" t="inlineStr">
        <is>
          <t>JÖNKÖPINGS LÄN</t>
        </is>
      </c>
      <c r="G340" t="inlineStr">
        <is>
          <t>EKSJÖ</t>
        </is>
      </c>
      <c r="H340" t="inlineStr">
        <is>
          <t>Kommuner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46232</v>
      </c>
      <c r="F341" t="inlineStr">
        <is>
          <t>JÖNKÖPINGS LÄN</t>
        </is>
      </c>
      <c r="G341" t="inlineStr">
        <is>
          <t>EKSJÖ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45680</v>
      </c>
      <c r="E342" s="1" t="n">
        <v>46232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11381-2022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44630</v>
      </c>
      <c r="E343" s="1" t="n">
        <v>46232</v>
      </c>
      <c r="F343" t="inlineStr">
        <is>
          <t>JÖNKÖPINGS LÄN</t>
        </is>
      </c>
      <c r="G343" t="inlineStr">
        <is>
          <t>EKSJÖ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64993-2023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45286</v>
      </c>
      <c r="E344" s="1" t="n">
        <v>46232</v>
      </c>
      <c r="F344" t="inlineStr">
        <is>
          <t>JÖNKÖPINGS LÄN</t>
        </is>
      </c>
      <c r="G344" t="inlineStr">
        <is>
          <t>EKSJÖ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46232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45512</v>
      </c>
      <c r="E346" s="1" t="n">
        <v>46232</v>
      </c>
      <c r="F346" t="inlineStr">
        <is>
          <t>JÖNKÖPINGS LÄN</t>
        </is>
      </c>
      <c r="G346" t="inlineStr">
        <is>
          <t>EKSJÖ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46232</v>
      </c>
      <c r="F347" t="inlineStr">
        <is>
          <t>JÖNKÖPINGS LÄN</t>
        </is>
      </c>
      <c r="G347" t="inlineStr">
        <is>
          <t>EKSJÖ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46232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46014</v>
      </c>
      <c r="E349" s="1" t="n">
        <v>46232</v>
      </c>
      <c r="F349" t="inlineStr">
        <is>
          <t>JÖNKÖPINGS LÄN</t>
        </is>
      </c>
      <c r="G349" t="inlineStr">
        <is>
          <t>EKSJÖ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46232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12821-2024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45384</v>
      </c>
      <c r="E351" s="1" t="n">
        <v>46232</v>
      </c>
      <c r="F351" t="inlineStr">
        <is>
          <t>JÖNKÖPINGS LÄN</t>
        </is>
      </c>
      <c r="G351" t="inlineStr">
        <is>
          <t>EKSJÖ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46100</v>
      </c>
      <c r="E352" s="1" t="n">
        <v>46232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45315</v>
      </c>
      <c r="E353" s="1" t="n">
        <v>46232</v>
      </c>
      <c r="F353" t="inlineStr">
        <is>
          <t>JÖNKÖPINGS LÄN</t>
        </is>
      </c>
      <c r="G353" t="inlineStr">
        <is>
          <t>EKSJÖ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45173</v>
      </c>
      <c r="E354" s="1" t="n">
        <v>46232</v>
      </c>
      <c r="F354" t="inlineStr">
        <is>
          <t>JÖNKÖPINGS LÄN</t>
        </is>
      </c>
      <c r="G354" t="inlineStr">
        <is>
          <t>EKSJÖ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45741</v>
      </c>
      <c r="E355" s="1" t="n">
        <v>46232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45513</v>
      </c>
      <c r="E356" s="1" t="n">
        <v>46232</v>
      </c>
      <c r="F356" t="inlineStr">
        <is>
          <t>JÖNKÖPINGS LÄN</t>
        </is>
      </c>
      <c r="G356" t="inlineStr">
        <is>
          <t>EKSJÖ</t>
        </is>
      </c>
      <c r="H356" t="inlineStr">
        <is>
          <t>Kyrkan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15403-2026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46232</v>
      </c>
      <c r="F357" t="inlineStr">
        <is>
          <t>JÖNKÖPINGS LÄN</t>
        </is>
      </c>
      <c r="G357" t="inlineStr">
        <is>
          <t>EKSJÖ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15411-2026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46232</v>
      </c>
      <c r="F358" t="inlineStr">
        <is>
          <t>JÖNKÖPINGS LÄN</t>
        </is>
      </c>
      <c r="G358" t="inlineStr">
        <is>
          <t>EKSJÖ</t>
        </is>
      </c>
      <c r="H358" t="inlineStr">
        <is>
          <t>Kommuner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54470-2024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45617</v>
      </c>
      <c r="E359" s="1" t="n">
        <v>46232</v>
      </c>
      <c r="F359" t="inlineStr">
        <is>
          <t>JÖNKÖPINGS LÄN</t>
        </is>
      </c>
      <c r="G359" t="inlineStr">
        <is>
          <t>EKSJÖ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45706</v>
      </c>
      <c r="E360" s="1" t="n">
        <v>46232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46232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46107</v>
      </c>
      <c r="E362" s="1" t="n">
        <v>46232</v>
      </c>
      <c r="F362" t="inlineStr">
        <is>
          <t>JÖNKÖPINGS LÄN</t>
        </is>
      </c>
      <c r="G362" t="inlineStr">
        <is>
          <t>EKSJÖ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46107</v>
      </c>
      <c r="E363" s="1" t="n">
        <v>46232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46232</v>
      </c>
      <c r="F364" t="inlineStr">
        <is>
          <t>JÖNKÖPINGS LÄN</t>
        </is>
      </c>
      <c r="G364" t="inlineStr">
        <is>
          <t>EKSJÖ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46232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46107</v>
      </c>
      <c r="E366" s="1" t="n">
        <v>46232</v>
      </c>
      <c r="F366" t="inlineStr">
        <is>
          <t>JÖNKÖPINGS LÄN</t>
        </is>
      </c>
      <c r="G366" t="inlineStr">
        <is>
          <t>EKSJÖ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65554-2021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46232</v>
      </c>
      <c r="F367" t="inlineStr">
        <is>
          <t>JÖNKÖPINGS LÄN</t>
        </is>
      </c>
      <c r="G367" t="inlineStr">
        <is>
          <t>EKSJÖ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46232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46232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16573-2026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46232</v>
      </c>
      <c r="F370" t="inlineStr">
        <is>
          <t>JÖNKÖPINGS LÄN</t>
        </is>
      </c>
      <c r="G370" t="inlineStr">
        <is>
          <t>EKSJÖ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44846</v>
      </c>
      <c r="E371" s="1" t="n">
        <v>46232</v>
      </c>
      <c r="F371" t="inlineStr">
        <is>
          <t>JÖNKÖPINGS LÄN</t>
        </is>
      </c>
      <c r="G371" t="inlineStr">
        <is>
          <t>EKSJÖ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46017-2022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44846</v>
      </c>
      <c r="E372" s="1" t="n">
        <v>46232</v>
      </c>
      <c r="F372" t="inlineStr">
        <is>
          <t>JÖNKÖPINGS LÄN</t>
        </is>
      </c>
      <c r="G372" t="inlineStr">
        <is>
          <t>EKSJÖ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46232</v>
      </c>
      <c r="F373" t="inlineStr">
        <is>
          <t>JÖNKÖPINGS LÄN</t>
        </is>
      </c>
      <c r="G373" t="inlineStr">
        <is>
          <t>EKSJÖ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45365</v>
      </c>
      <c r="E374" s="1" t="n">
        <v>46232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46232</v>
      </c>
      <c r="F375" t="inlineStr">
        <is>
          <t>JÖNKÖPINGS LÄN</t>
        </is>
      </c>
      <c r="G375" t="inlineStr">
        <is>
          <t>EKSJÖ</t>
        </is>
      </c>
      <c r="H375" t="inlineStr">
        <is>
          <t>Övriga Aktiebolag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46113</v>
      </c>
      <c r="E376" s="1" t="n">
        <v>46232</v>
      </c>
      <c r="F376" t="inlineStr">
        <is>
          <t>JÖNKÖPINGS LÄN</t>
        </is>
      </c>
      <c r="G376" t="inlineStr">
        <is>
          <t>EKSJÖ</t>
        </is>
      </c>
      <c r="H376" t="inlineStr">
        <is>
          <t>Övriga Aktiebolag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44925</v>
      </c>
      <c r="E377" s="1" t="n">
        <v>46232</v>
      </c>
      <c r="F377" t="inlineStr">
        <is>
          <t>JÖNKÖPINGS LÄN</t>
        </is>
      </c>
      <c r="G377" t="inlineStr">
        <is>
          <t>EKSJÖ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46232</v>
      </c>
      <c r="F378" t="inlineStr">
        <is>
          <t>JÖNKÖPINGS LÄN</t>
        </is>
      </c>
      <c r="G378" t="inlineStr">
        <is>
          <t>EKSJÖ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31307-2023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45114</v>
      </c>
      <c r="E379" s="1" t="n">
        <v>46232</v>
      </c>
      <c r="F379" t="inlineStr">
        <is>
          <t>JÖNKÖPINGS LÄN</t>
        </is>
      </c>
      <c r="G379" t="inlineStr">
        <is>
          <t>EKSJÖ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15619-2024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45402</v>
      </c>
      <c r="E380" s="1" t="n">
        <v>46232</v>
      </c>
      <c r="F380" t="inlineStr">
        <is>
          <t>JÖNKÖPINGS LÄN</t>
        </is>
      </c>
      <c r="G380" t="inlineStr">
        <is>
          <t>EKSJÖ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8923-2025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46232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41739-2023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45176</v>
      </c>
      <c r="E382" s="1" t="n">
        <v>46232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45314</v>
      </c>
      <c r="E383" s="1" t="n">
        <v>46232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45314</v>
      </c>
      <c r="E384" s="1" t="n">
        <v>46232</v>
      </c>
      <c r="F384" t="inlineStr">
        <is>
          <t>JÖNKÖPINGS LÄN</t>
        </is>
      </c>
      <c r="G384" t="inlineStr">
        <is>
          <t>EKSJÖ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46232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46232</v>
      </c>
      <c r="F386" t="inlineStr">
        <is>
          <t>JÖNKÖPINGS LÄN</t>
        </is>
      </c>
      <c r="G386" t="inlineStr">
        <is>
          <t>EKSJÖ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45197</v>
      </c>
      <c r="E387" s="1" t="n">
        <v>46232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45659</v>
      </c>
      <c r="E388" s="1" t="n">
        <v>46232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34772-2023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45141</v>
      </c>
      <c r="E389" s="1" t="n">
        <v>46232</v>
      </c>
      <c r="F389" t="inlineStr">
        <is>
          <t>JÖNKÖPINGS LÄN</t>
        </is>
      </c>
      <c r="G389" t="inlineStr">
        <is>
          <t>EKSJÖ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46232</v>
      </c>
      <c r="F390" t="inlineStr">
        <is>
          <t>JÖNKÖPINGS LÄN</t>
        </is>
      </c>
      <c r="G390" t="inlineStr">
        <is>
          <t>EKSJÖ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54255-2023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45232</v>
      </c>
      <c r="E391" s="1" t="n">
        <v>46232</v>
      </c>
      <c r="F391" t="inlineStr">
        <is>
          <t>JÖNKÖPINGS LÄN</t>
        </is>
      </c>
      <c r="G391" t="inlineStr">
        <is>
          <t>EKSJÖ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45175</v>
      </c>
      <c r="E392" s="1" t="n">
        <v>46232</v>
      </c>
      <c r="F392" t="inlineStr">
        <is>
          <t>JÖNKÖPINGS LÄN</t>
        </is>
      </c>
      <c r="G392" t="inlineStr">
        <is>
          <t>EKSJÖ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46232</v>
      </c>
      <c r="F393" t="inlineStr">
        <is>
          <t>JÖNKÖPINGS LÄN</t>
        </is>
      </c>
      <c r="G393" t="inlineStr">
        <is>
          <t>EKSJÖ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45086</v>
      </c>
      <c r="E394" s="1" t="n">
        <v>46232</v>
      </c>
      <c r="F394" t="inlineStr">
        <is>
          <t>JÖNKÖPINGS LÄN</t>
        </is>
      </c>
      <c r="G394" t="inlineStr">
        <is>
          <t>EKSJÖ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28276-2025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45818</v>
      </c>
      <c r="E395" s="1" t="n">
        <v>46232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46029</v>
      </c>
      <c r="E396" s="1" t="n">
        <v>46232</v>
      </c>
      <c r="F396" t="inlineStr">
        <is>
          <t>JÖNKÖPINGS LÄN</t>
        </is>
      </c>
      <c r="G396" t="inlineStr">
        <is>
          <t>EKSJÖ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55553-2023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45238</v>
      </c>
      <c r="E397" s="1" t="n">
        <v>46232</v>
      </c>
      <c r="F397" t="inlineStr">
        <is>
          <t>JÖNKÖPINGS LÄN</t>
        </is>
      </c>
      <c r="G397" t="inlineStr">
        <is>
          <t>EKSJÖ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45741</v>
      </c>
      <c r="E398" s="1" t="n">
        <v>46232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36070-2024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46232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32623-2022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44783</v>
      </c>
      <c r="E400" s="1" t="n">
        <v>46232</v>
      </c>
      <c r="F400" t="inlineStr">
        <is>
          <t>JÖNKÖPINGS LÄN</t>
        </is>
      </c>
      <c r="G400" t="inlineStr">
        <is>
          <t>EKSJÖ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36069-2024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45533</v>
      </c>
      <c r="E401" s="1" t="n">
        <v>46232</v>
      </c>
      <c r="F401" t="inlineStr">
        <is>
          <t>JÖNKÖPINGS LÄN</t>
        </is>
      </c>
      <c r="G401" t="inlineStr">
        <is>
          <t>EKSJÖ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46232</v>
      </c>
      <c r="F402" t="inlineStr">
        <is>
          <t>JÖNKÖPINGS LÄN</t>
        </is>
      </c>
      <c r="G402" t="inlineStr">
        <is>
          <t>EKSJÖ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56805-2024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46232</v>
      </c>
      <c r="F403" t="inlineStr">
        <is>
          <t>JÖNKÖPINGS LÄN</t>
        </is>
      </c>
      <c r="G403" t="inlineStr">
        <is>
          <t>EKSJÖ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44739</v>
      </c>
      <c r="E404" s="1" t="n">
        <v>46232</v>
      </c>
      <c r="F404" t="inlineStr">
        <is>
          <t>JÖNKÖPINGS LÄN</t>
        </is>
      </c>
      <c r="G404" t="inlineStr">
        <is>
          <t>EKSJÖ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30931-2023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45113</v>
      </c>
      <c r="E405" s="1" t="n">
        <v>46232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33969-2025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45842</v>
      </c>
      <c r="E406" s="1" t="n">
        <v>46232</v>
      </c>
      <c r="F406" t="inlineStr">
        <is>
          <t>JÖNKÖPINGS LÄN</t>
        </is>
      </c>
      <c r="G406" t="inlineStr">
        <is>
          <t>EKSJÖ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34021-2024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45523</v>
      </c>
      <c r="E407" s="1" t="n">
        <v>46232</v>
      </c>
      <c r="F407" t="inlineStr">
        <is>
          <t>JÖNKÖPINGS LÄN</t>
        </is>
      </c>
      <c r="G407" t="inlineStr">
        <is>
          <t>EKSJÖ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46232</v>
      </c>
      <c r="F408" t="inlineStr">
        <is>
          <t>JÖNKÖPINGS LÄN</t>
        </is>
      </c>
      <c r="G408" t="inlineStr">
        <is>
          <t>EKSJÖ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17635-2025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46232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38102-2025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46232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45882</v>
      </c>
      <c r="E411" s="1" t="n">
        <v>46232</v>
      </c>
      <c r="F411" t="inlineStr">
        <is>
          <t>JÖNKÖPINGS LÄN</t>
        </is>
      </c>
      <c r="G411" t="inlineStr">
        <is>
          <t>EKSJÖ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45628</v>
      </c>
      <c r="E412" s="1" t="n">
        <v>46232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50287-2024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45600</v>
      </c>
      <c r="E413" s="1" t="n">
        <v>46232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45533</v>
      </c>
      <c r="E414" s="1" t="n">
        <v>46232</v>
      </c>
      <c r="F414" t="inlineStr">
        <is>
          <t>JÖNKÖPINGS LÄN</t>
        </is>
      </c>
      <c r="G414" t="inlineStr">
        <is>
          <t>EKSJÖ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46232</v>
      </c>
      <c r="F415" t="inlineStr">
        <is>
          <t>JÖNKÖPINGS LÄN</t>
        </is>
      </c>
      <c r="G415" t="inlineStr">
        <is>
          <t>EKSJÖ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19468-2023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45049</v>
      </c>
      <c r="E416" s="1" t="n">
        <v>46232</v>
      </c>
      <c r="F416" t="inlineStr">
        <is>
          <t>JÖNKÖPINGS LÄN</t>
        </is>
      </c>
      <c r="G416" t="inlineStr">
        <is>
          <t>EKSJÖ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45251</v>
      </c>
      <c r="E417" s="1" t="n">
        <v>46232</v>
      </c>
      <c r="F417" t="inlineStr">
        <is>
          <t>JÖNKÖPINGS LÄN</t>
        </is>
      </c>
      <c r="G417" t="inlineStr">
        <is>
          <t>EKSJÖ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47390-2022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44853</v>
      </c>
      <c r="E418" s="1" t="n">
        <v>46232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45714</v>
      </c>
      <c r="E419" s="1" t="n">
        <v>46232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46232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44925</v>
      </c>
      <c r="E421" s="1" t="n">
        <v>46232</v>
      </c>
      <c r="F421" t="inlineStr">
        <is>
          <t>JÖNKÖPINGS LÄN</t>
        </is>
      </c>
      <c r="G421" t="inlineStr">
        <is>
          <t>EKSJÖ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50516-2025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46232</v>
      </c>
      <c r="F422" t="inlineStr">
        <is>
          <t>JÖNKÖPINGS LÄN</t>
        </is>
      </c>
      <c r="G422" t="inlineStr">
        <is>
          <t>EKSJÖ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49681-2023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45212</v>
      </c>
      <c r="E423" s="1" t="n">
        <v>46232</v>
      </c>
      <c r="F423" t="inlineStr">
        <is>
          <t>JÖNKÖPINGS LÄN</t>
        </is>
      </c>
      <c r="G423" t="inlineStr">
        <is>
          <t>EKSJÖ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46232</v>
      </c>
      <c r="F424" t="inlineStr">
        <is>
          <t>JÖNKÖPINGS LÄN</t>
        </is>
      </c>
      <c r="G424" t="inlineStr">
        <is>
          <t>EKSJÖ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8070-2023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46232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46232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44685</v>
      </c>
      <c r="E427" s="1" t="n">
        <v>46232</v>
      </c>
      <c r="F427" t="inlineStr">
        <is>
          <t>JÖNKÖPINGS LÄN</t>
        </is>
      </c>
      <c r="G427" t="inlineStr">
        <is>
          <t>EKSJÖ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46019-2022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46232</v>
      </c>
      <c r="F428" t="inlineStr">
        <is>
          <t>JÖNKÖPINGS LÄN</t>
        </is>
      </c>
      <c r="G428" t="inlineStr">
        <is>
          <t>EKSJÖ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38592-2022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44813</v>
      </c>
      <c r="E429" s="1" t="n">
        <v>46232</v>
      </c>
      <c r="F429" t="inlineStr">
        <is>
          <t>JÖNKÖPINGS LÄN</t>
        </is>
      </c>
      <c r="G429" t="inlineStr">
        <is>
          <t>EKSJÖ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45420</v>
      </c>
      <c r="E430" s="1" t="n">
        <v>46232</v>
      </c>
      <c r="F430" t="inlineStr">
        <is>
          <t>JÖNKÖPINGS LÄN</t>
        </is>
      </c>
      <c r="G430" t="inlineStr">
        <is>
          <t>EKSJÖ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18695-2024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45426</v>
      </c>
      <c r="E431" s="1" t="n">
        <v>46232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36355-2022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44803</v>
      </c>
      <c r="E432" s="1" t="n">
        <v>46232</v>
      </c>
      <c r="F432" t="inlineStr">
        <is>
          <t>JÖNKÖPINGS LÄN</t>
        </is>
      </c>
      <c r="G432" t="inlineStr">
        <is>
          <t>EKSJÖ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46232</v>
      </c>
      <c r="F433" t="inlineStr">
        <is>
          <t>JÖNKÖPINGS LÄN</t>
        </is>
      </c>
      <c r="G433" t="inlineStr">
        <is>
          <t>EKSJÖ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46232</v>
      </c>
      <c r="F434" t="inlineStr">
        <is>
          <t>JÖNKÖPINGS LÄN</t>
        </is>
      </c>
      <c r="G434" t="inlineStr">
        <is>
          <t>EKSJÖ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45075</v>
      </c>
      <c r="E435" s="1" t="n">
        <v>46232</v>
      </c>
      <c r="F435" t="inlineStr">
        <is>
          <t>JÖNKÖPINGS LÄN</t>
        </is>
      </c>
      <c r="G435" t="inlineStr">
        <is>
          <t>EKSJÖ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8172-2023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46232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46232</v>
      </c>
      <c r="F437" t="inlineStr">
        <is>
          <t>JÖNKÖPINGS LÄN</t>
        </is>
      </c>
      <c r="G437" t="inlineStr">
        <is>
          <t>EKSJÖ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46232</v>
      </c>
      <c r="F438" t="inlineStr">
        <is>
          <t>JÖNKÖPINGS LÄN</t>
        </is>
      </c>
      <c r="G438" t="inlineStr">
        <is>
          <t>EKSJÖ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46014-2022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44846</v>
      </c>
      <c r="E439" s="1" t="n">
        <v>46232</v>
      </c>
      <c r="F439" t="inlineStr">
        <is>
          <t>JÖNKÖPINGS LÄN</t>
        </is>
      </c>
      <c r="G439" t="inlineStr">
        <is>
          <t>EKSJÖ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26222-2024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45468</v>
      </c>
      <c r="E440" s="1" t="n">
        <v>46232</v>
      </c>
      <c r="F440" t="inlineStr">
        <is>
          <t>JÖNKÖPINGS LÄN</t>
        </is>
      </c>
      <c r="G440" t="inlineStr">
        <is>
          <t>EKSJÖ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46232</v>
      </c>
      <c r="F441" t="inlineStr">
        <is>
          <t>JÖNKÖPINGS LÄN</t>
        </is>
      </c>
      <c r="G441" t="inlineStr">
        <is>
          <t>EKSJÖ</t>
        </is>
      </c>
      <c r="H441" t="inlineStr">
        <is>
          <t>Kyrkan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45308</v>
      </c>
      <c r="E442" s="1" t="n">
        <v>46232</v>
      </c>
      <c r="F442" t="inlineStr">
        <is>
          <t>JÖNKÖPINGS LÄN</t>
        </is>
      </c>
      <c r="G442" t="inlineStr">
        <is>
          <t>EKSJÖ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49403-2021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44454</v>
      </c>
      <c r="E443" s="1" t="n">
        <v>46232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46232</v>
      </c>
      <c r="F444" t="inlineStr">
        <is>
          <t>JÖNKÖPINGS LÄN</t>
        </is>
      </c>
      <c r="G444" t="inlineStr">
        <is>
          <t>EKSJÖ</t>
        </is>
      </c>
      <c r="I444" t="n">
        <v>8.6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45154</v>
      </c>
      <c r="E445" s="1" t="n">
        <v>46232</v>
      </c>
      <c r="F445" t="inlineStr">
        <is>
          <t>JÖNKÖPINGS LÄN</t>
        </is>
      </c>
      <c r="G445" t="inlineStr">
        <is>
          <t>EKSJÖ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45328</v>
      </c>
      <c r="E446" s="1" t="n">
        <v>46232</v>
      </c>
      <c r="F446" t="inlineStr">
        <is>
          <t>JÖNKÖPINGS LÄN</t>
        </is>
      </c>
      <c r="G446" t="inlineStr">
        <is>
          <t>EKSJÖ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59734-2022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44908</v>
      </c>
      <c r="E447" s="1" t="n">
        <v>46232</v>
      </c>
      <c r="F447" t="inlineStr">
        <is>
          <t>JÖNKÖPINGS LÄN</t>
        </is>
      </c>
      <c r="G447" t="inlineStr">
        <is>
          <t>EKSJÖ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46232</v>
      </c>
      <c r="F448" t="inlineStr">
        <is>
          <t>JÖNKÖPINGS LÄN</t>
        </is>
      </c>
      <c r="G448" t="inlineStr">
        <is>
          <t>EKSJÖ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28401-2026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46197</v>
      </c>
      <c r="E449" s="1" t="n">
        <v>46232</v>
      </c>
      <c r="F449" t="inlineStr">
        <is>
          <t>JÖNKÖPINGS LÄN</t>
        </is>
      </c>
      <c r="G449" t="inlineStr">
        <is>
          <t>EKSJÖ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46197</v>
      </c>
      <c r="E450" s="1" t="n">
        <v>46232</v>
      </c>
      <c r="F450" t="inlineStr">
        <is>
          <t>JÖNKÖPINGS LÄN</t>
        </is>
      </c>
      <c r="G450" t="inlineStr">
        <is>
          <t>EKSJÖ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46232</v>
      </c>
      <c r="F451" t="inlineStr">
        <is>
          <t>JÖNKÖPINGS LÄN</t>
        </is>
      </c>
      <c r="G451" t="inlineStr">
        <is>
          <t>EKSJÖ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9058-2022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44615</v>
      </c>
      <c r="E452" s="1" t="n">
        <v>46232</v>
      </c>
      <c r="F452" t="inlineStr">
        <is>
          <t>JÖNKÖPINGS LÄN</t>
        </is>
      </c>
      <c r="G452" t="inlineStr">
        <is>
          <t>EKSJÖ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46232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46232</v>
      </c>
      <c r="F454" t="inlineStr">
        <is>
          <t>JÖNKÖPINGS LÄN</t>
        </is>
      </c>
      <c r="G454" t="inlineStr">
        <is>
          <t>EKSJÖ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53053-2021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46232</v>
      </c>
      <c r="F455" t="inlineStr">
        <is>
          <t>JÖNKÖPINGS LÄN</t>
        </is>
      </c>
      <c r="G455" t="inlineStr">
        <is>
          <t>EKSJÖ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46232</v>
      </c>
      <c r="F456" t="inlineStr">
        <is>
          <t>JÖNKÖPINGS LÄN</t>
        </is>
      </c>
      <c r="G456" t="inlineStr">
        <is>
          <t>EKSJÖ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46232</v>
      </c>
      <c r="F457" t="inlineStr">
        <is>
          <t>JÖNKÖPINGS LÄN</t>
        </is>
      </c>
      <c r="G457" t="inlineStr">
        <is>
          <t>EKSJÖ</t>
        </is>
      </c>
      <c r="I457" t="n">
        <v>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29043-2026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46232</v>
      </c>
      <c r="F458" t="inlineStr">
        <is>
          <t>JÖNKÖPINGS LÄN</t>
        </is>
      </c>
      <c r="G458" t="inlineStr">
        <is>
          <t>EKSJÖ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45224</v>
      </c>
      <c r="E459" s="1" t="n">
        <v>46232</v>
      </c>
      <c r="F459" t="inlineStr">
        <is>
          <t>JÖNKÖPINGS LÄN</t>
        </is>
      </c>
      <c r="G459" t="inlineStr">
        <is>
          <t>EKSJÖ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56689-2021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44481</v>
      </c>
      <c r="E460" s="1" t="n">
        <v>46232</v>
      </c>
      <c r="F460" t="inlineStr">
        <is>
          <t>JÖNKÖPINGS LÄN</t>
        </is>
      </c>
      <c r="G460" t="inlineStr">
        <is>
          <t>EKSJÖ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46232</v>
      </c>
      <c r="F461" t="inlineStr">
        <is>
          <t>JÖNKÖPINGS LÄN</t>
        </is>
      </c>
      <c r="G461" t="inlineStr">
        <is>
          <t>EKSJÖ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45154</v>
      </c>
      <c r="E462" s="1" t="n">
        <v>46232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7728-2025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45706</v>
      </c>
      <c r="E463" s="1" t="n">
        <v>46232</v>
      </c>
      <c r="F463" t="inlineStr">
        <is>
          <t>JÖNKÖPINGS LÄN</t>
        </is>
      </c>
      <c r="G463" t="inlineStr">
        <is>
          <t>EKSJÖ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10169-2025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45719</v>
      </c>
      <c r="E464" s="1" t="n">
        <v>46232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20897-2022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44701</v>
      </c>
      <c r="E465" s="1" t="n">
        <v>46232</v>
      </c>
      <c r="F465" t="inlineStr">
        <is>
          <t>JÖNKÖPINGS LÄN</t>
        </is>
      </c>
      <c r="G465" t="inlineStr">
        <is>
          <t>EKSJÖ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38340-2023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45161</v>
      </c>
      <c r="E466" s="1" t="n">
        <v>46232</v>
      </c>
      <c r="F466" t="inlineStr">
        <is>
          <t>JÖNKÖPINGS LÄN</t>
        </is>
      </c>
      <c r="G466" t="inlineStr">
        <is>
          <t>EKSJÖ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46232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61850-2024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45649</v>
      </c>
      <c r="E468" s="1" t="n">
        <v>46232</v>
      </c>
      <c r="F468" t="inlineStr">
        <is>
          <t>JÖNKÖPINGS LÄN</t>
        </is>
      </c>
      <c r="G468" t="inlineStr">
        <is>
          <t>EKSJÖ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45096</v>
      </c>
      <c r="E469" s="1" t="n">
        <v>46232</v>
      </c>
      <c r="F469" t="inlineStr">
        <is>
          <t>JÖNKÖPINGS LÄN</t>
        </is>
      </c>
      <c r="G469" t="inlineStr">
        <is>
          <t>EKSJÖ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46232</v>
      </c>
      <c r="F470" t="inlineStr">
        <is>
          <t>JÖNKÖPINGS LÄN</t>
        </is>
      </c>
      <c r="G470" t="inlineStr">
        <is>
          <t>EKSJÖ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60920-2025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45996</v>
      </c>
      <c r="E471" s="1" t="n">
        <v>46232</v>
      </c>
      <c r="F471" t="inlineStr">
        <is>
          <t>JÖNKÖPINGS LÄN</t>
        </is>
      </c>
      <c r="G471" t="inlineStr">
        <is>
          <t>EKSJÖ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23309-2026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46232</v>
      </c>
      <c r="F472" t="inlineStr">
        <is>
          <t>JÖNKÖPINGS LÄN</t>
        </is>
      </c>
      <c r="G472" t="inlineStr">
        <is>
          <t>EKSJÖ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23573-2026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46232</v>
      </c>
      <c r="F473" t="inlineStr">
        <is>
          <t>JÖNKÖPINGS LÄN</t>
        </is>
      </c>
      <c r="G473" t="inlineStr">
        <is>
          <t>EKSJÖ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46232</v>
      </c>
      <c r="F474" t="inlineStr">
        <is>
          <t>JÖNKÖPINGS LÄN</t>
        </is>
      </c>
      <c r="G474" t="inlineStr">
        <is>
          <t>EKSJÖ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54916-2023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45236</v>
      </c>
      <c r="E475" s="1" t="n">
        <v>46232</v>
      </c>
      <c r="F475" t="inlineStr">
        <is>
          <t>JÖNKÖPINGS LÄN</t>
        </is>
      </c>
      <c r="G475" t="inlineStr">
        <is>
          <t>EKSJÖ</t>
        </is>
      </c>
      <c r="H475" t="inlineStr">
        <is>
          <t>Övriga Aktiebolag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45537</v>
      </c>
      <c r="E476" s="1" t="n">
        <v>46232</v>
      </c>
      <c r="F476" t="inlineStr">
        <is>
          <t>JÖNKÖPINGS LÄN</t>
        </is>
      </c>
      <c r="G476" t="inlineStr">
        <is>
          <t>EKSJÖ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46232</v>
      </c>
      <c r="F477" t="inlineStr">
        <is>
          <t>JÖNKÖPINGS LÄN</t>
        </is>
      </c>
      <c r="G477" t="inlineStr">
        <is>
          <t>EKSJÖ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45278</v>
      </c>
      <c r="E478" s="1" t="n">
        <v>46232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46232</v>
      </c>
      <c r="F479" t="inlineStr">
        <is>
          <t>JÖNKÖPINGS LÄN</t>
        </is>
      </c>
      <c r="G479" t="inlineStr">
        <is>
          <t>EKSJÖ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23533-2026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46232</v>
      </c>
      <c r="F480" t="inlineStr">
        <is>
          <t>JÖNKÖPINGS LÄN</t>
        </is>
      </c>
      <c r="G480" t="inlineStr">
        <is>
          <t>EKSJÖ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46232</v>
      </c>
      <c r="F481" t="inlineStr">
        <is>
          <t>JÖNKÖPINGS LÄN</t>
        </is>
      </c>
      <c r="G481" t="inlineStr">
        <is>
          <t>EKSJÖ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46232</v>
      </c>
      <c r="F482" t="inlineStr">
        <is>
          <t>JÖNKÖPINGS LÄN</t>
        </is>
      </c>
      <c r="G482" t="inlineStr">
        <is>
          <t>EKSJÖ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44966</v>
      </c>
      <c r="E483" s="1" t="n">
        <v>46232</v>
      </c>
      <c r="F483" t="inlineStr">
        <is>
          <t>JÖNKÖPINGS LÄN</t>
        </is>
      </c>
      <c r="G483" t="inlineStr">
        <is>
          <t>EKSJÖ</t>
        </is>
      </c>
      <c r="H483" t="inlineStr">
        <is>
          <t>Kyrkan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37918-2023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45160</v>
      </c>
      <c r="E484" s="1" t="n">
        <v>46232</v>
      </c>
      <c r="F484" t="inlineStr">
        <is>
          <t>JÖNKÖPINGS LÄN</t>
        </is>
      </c>
      <c r="G484" t="inlineStr">
        <is>
          <t>EKSJÖ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11007-2024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45370</v>
      </c>
      <c r="E485" s="1" t="n">
        <v>46232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44293-2025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45916</v>
      </c>
      <c r="E486" s="1" t="n">
        <v>46232</v>
      </c>
      <c r="F486" t="inlineStr">
        <is>
          <t>JÖNKÖPINGS LÄN</t>
        </is>
      </c>
      <c r="G486" t="inlineStr">
        <is>
          <t>EKSJÖ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45068</v>
      </c>
      <c r="E487" s="1" t="n">
        <v>46232</v>
      </c>
      <c r="F487" t="inlineStr">
        <is>
          <t>JÖNKÖPINGS LÄN</t>
        </is>
      </c>
      <c r="G487" t="inlineStr">
        <is>
          <t>EKSJÖ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71313-2021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44539</v>
      </c>
      <c r="E488" s="1" t="n">
        <v>46232</v>
      </c>
      <c r="F488" t="inlineStr">
        <is>
          <t>JÖNKÖPINGS LÄN</t>
        </is>
      </c>
      <c r="G488" t="inlineStr">
        <is>
          <t>EKSJÖ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30394-2026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46209</v>
      </c>
      <c r="E489" s="1" t="n">
        <v>46232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46209</v>
      </c>
      <c r="E490" s="1" t="n">
        <v>46232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46232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46232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59254-2023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45253</v>
      </c>
      <c r="E493" s="1" t="n">
        <v>46232</v>
      </c>
      <c r="F493" t="inlineStr">
        <is>
          <t>JÖNKÖPINGS LÄN</t>
        </is>
      </c>
      <c r="G493" t="inlineStr">
        <is>
          <t>EKSJÖ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45493-2022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44845</v>
      </c>
      <c r="E494" s="1" t="n">
        <v>46232</v>
      </c>
      <c r="F494" t="inlineStr">
        <is>
          <t>JÖNKÖPINGS LÄN</t>
        </is>
      </c>
      <c r="G494" t="inlineStr">
        <is>
          <t>EKSJÖ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33644-2022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44789</v>
      </c>
      <c r="E495" s="1" t="n">
        <v>46232</v>
      </c>
      <c r="F495" t="inlineStr">
        <is>
          <t>JÖNKÖPINGS LÄN</t>
        </is>
      </c>
      <c r="G495" t="inlineStr">
        <is>
          <t>EKSJÖ</t>
        </is>
      </c>
      <c r="I495" t="n">
        <v>6.9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55817-2023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45239</v>
      </c>
      <c r="E496" s="1" t="n">
        <v>46232</v>
      </c>
      <c r="F496" t="inlineStr">
        <is>
          <t>JÖNKÖPINGS LÄN</t>
        </is>
      </c>
      <c r="G496" t="inlineStr">
        <is>
          <t>EKSJÖ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11022-2024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46232</v>
      </c>
      <c r="F497" t="inlineStr">
        <is>
          <t>JÖNKÖPINGS LÄN</t>
        </is>
      </c>
      <c r="G497" t="inlineStr">
        <is>
          <t>EKSJÖ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46232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45334</v>
      </c>
      <c r="E499" s="1" t="n">
        <v>46232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50165-2022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44865</v>
      </c>
      <c r="E500" s="1" t="n">
        <v>46232</v>
      </c>
      <c r="F500" t="inlineStr">
        <is>
          <t>JÖNKÖPINGS LÄN</t>
        </is>
      </c>
      <c r="G500" t="inlineStr">
        <is>
          <t>EKSJÖ</t>
        </is>
      </c>
      <c r="H500" t="inlineStr">
        <is>
          <t>Övriga Aktiebolag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46232</v>
      </c>
      <c r="F501" t="inlineStr">
        <is>
          <t>JÖNKÖPINGS LÄN</t>
        </is>
      </c>
      <c r="G501" t="inlineStr">
        <is>
          <t>EKSJÖ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45204</v>
      </c>
      <c r="E502" s="1" t="n">
        <v>46232</v>
      </c>
      <c r="F502" t="inlineStr">
        <is>
          <t>JÖNKÖPINGS LÄN</t>
        </is>
      </c>
      <c r="G502" t="inlineStr">
        <is>
          <t>EKSJÖ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45714</v>
      </c>
      <c r="E503" s="1" t="n">
        <v>46232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46232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45560</v>
      </c>
      <c r="E505" s="1" t="n">
        <v>46232</v>
      </c>
      <c r="F505" t="inlineStr">
        <is>
          <t>JÖNKÖPINGS LÄN</t>
        </is>
      </c>
      <c r="G505" t="inlineStr">
        <is>
          <t>EKSJÖ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45367-2024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45576</v>
      </c>
      <c r="E506" s="1" t="n">
        <v>46232</v>
      </c>
      <c r="F506" t="inlineStr">
        <is>
          <t>JÖNKÖPINGS LÄN</t>
        </is>
      </c>
      <c r="G506" t="inlineStr">
        <is>
          <t>EKSJÖ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25066-2026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46232</v>
      </c>
      <c r="F507" t="inlineStr">
        <is>
          <t>JÖNKÖPINGS LÄN</t>
        </is>
      </c>
      <c r="G507" t="inlineStr">
        <is>
          <t>EKSJÖ</t>
        </is>
      </c>
      <c r="I507" t="n">
        <v>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59050-2021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44490</v>
      </c>
      <c r="E508" s="1" t="n">
        <v>46232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23535-2023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45076</v>
      </c>
      <c r="E509" s="1" t="n">
        <v>46232</v>
      </c>
      <c r="F509" t="inlineStr">
        <is>
          <t>JÖNKÖPINGS LÄN</t>
        </is>
      </c>
      <c r="G509" t="inlineStr">
        <is>
          <t>EKSJÖ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27395-2023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45096</v>
      </c>
      <c r="E510" s="1" t="n">
        <v>46232</v>
      </c>
      <c r="F510" t="inlineStr">
        <is>
          <t>JÖNKÖPINGS LÄN</t>
        </is>
      </c>
      <c r="G510" t="inlineStr">
        <is>
          <t>EKSJÖ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46232</v>
      </c>
      <c r="F511" t="inlineStr">
        <is>
          <t>JÖNKÖPINGS LÄN</t>
        </is>
      </c>
      <c r="G511" t="inlineStr">
        <is>
          <t>EKSJÖ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10345-2022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44623</v>
      </c>
      <c r="E512" s="1" t="n">
        <v>46232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45156</v>
      </c>
      <c r="E513" s="1" t="n">
        <v>46232</v>
      </c>
      <c r="F513" t="inlineStr">
        <is>
          <t>JÖNKÖPINGS LÄN</t>
        </is>
      </c>
      <c r="G513" t="inlineStr">
        <is>
          <t>EKSJÖ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46232</v>
      </c>
      <c r="F514" t="inlineStr">
        <is>
          <t>JÖNKÖPINGS LÄN</t>
        </is>
      </c>
      <c r="G514" t="inlineStr">
        <is>
          <t>EKSJÖ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22670-2023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46232</v>
      </c>
      <c r="F515" t="inlineStr">
        <is>
          <t>JÖNKÖPINGS LÄN</t>
        </is>
      </c>
      <c r="G515" t="inlineStr">
        <is>
          <t>EKSJÖ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44908</v>
      </c>
      <c r="E516" s="1" t="n">
        <v>46232</v>
      </c>
      <c r="F516" t="inlineStr">
        <is>
          <t>JÖNKÖPINGS LÄN</t>
        </is>
      </c>
      <c r="G516" t="inlineStr">
        <is>
          <t>EKSJÖ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25140-2026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46175</v>
      </c>
      <c r="E517" s="1" t="n">
        <v>46232</v>
      </c>
      <c r="F517" t="inlineStr">
        <is>
          <t>JÖNKÖPINGS LÄN</t>
        </is>
      </c>
      <c r="G517" t="inlineStr">
        <is>
          <t>EKSJÖ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45391</v>
      </c>
      <c r="E518" s="1" t="n">
        <v>46232</v>
      </c>
      <c r="F518" t="inlineStr">
        <is>
          <t>JÖNKÖPINGS LÄN</t>
        </is>
      </c>
      <c r="G518" t="inlineStr">
        <is>
          <t>EKSJÖ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44581</v>
      </c>
      <c r="E519" s="1" t="n">
        <v>46232</v>
      </c>
      <c r="F519" t="inlineStr">
        <is>
          <t>JÖNKÖPINGS LÄN</t>
        </is>
      </c>
      <c r="G519" t="inlineStr">
        <is>
          <t>EKSJÖ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46232</v>
      </c>
      <c r="F520" t="inlineStr">
        <is>
          <t>JÖNKÖPINGS LÄN</t>
        </is>
      </c>
      <c r="G520" t="inlineStr">
        <is>
          <t>EKSJÖ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30527-2023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45111</v>
      </c>
      <c r="E521" s="1" t="n">
        <v>46232</v>
      </c>
      <c r="F521" t="inlineStr">
        <is>
          <t>JÖNKÖPINGS LÄN</t>
        </is>
      </c>
      <c r="G521" t="inlineStr">
        <is>
          <t>EKSJÖ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44600</v>
      </c>
      <c r="E522" s="1" t="n">
        <v>46232</v>
      </c>
      <c r="F522" t="inlineStr">
        <is>
          <t>JÖNKÖPINGS LÄN</t>
        </is>
      </c>
      <c r="G522" t="inlineStr">
        <is>
          <t>EKSJÖ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9363-2025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46232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17030-2024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45411</v>
      </c>
      <c r="E524" s="1" t="n">
        <v>46232</v>
      </c>
      <c r="F524" t="inlineStr">
        <is>
          <t>JÖNKÖPINGS LÄN</t>
        </is>
      </c>
      <c r="G524" t="inlineStr">
        <is>
          <t>EKSJÖ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49919-2023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45214</v>
      </c>
      <c r="E525" s="1" t="n">
        <v>46232</v>
      </c>
      <c r="F525" t="inlineStr">
        <is>
          <t>JÖNKÖPINGS LÄN</t>
        </is>
      </c>
      <c r="G525" t="inlineStr">
        <is>
          <t>EKSJÖ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45300</v>
      </c>
      <c r="E526" s="1" t="n">
        <v>46232</v>
      </c>
      <c r="F526" t="inlineStr">
        <is>
          <t>JÖNKÖPINGS LÄN</t>
        </is>
      </c>
      <c r="G526" t="inlineStr">
        <is>
          <t>EKSJÖ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46232</v>
      </c>
      <c r="F527" t="inlineStr">
        <is>
          <t>JÖNKÖPINGS LÄN</t>
        </is>
      </c>
      <c r="G527" t="inlineStr">
        <is>
          <t>EKSJÖ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28024-2022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44746</v>
      </c>
      <c r="E528" s="1" t="n">
        <v>46232</v>
      </c>
      <c r="F528" t="inlineStr">
        <is>
          <t>JÖNKÖPINGS LÄN</t>
        </is>
      </c>
      <c r="G528" t="inlineStr">
        <is>
          <t>EKSJÖ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46232</v>
      </c>
      <c r="F529" t="inlineStr">
        <is>
          <t>JÖNKÖPINGS LÄN</t>
        </is>
      </c>
      <c r="G529" t="inlineStr">
        <is>
          <t>EKSJÖ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46232</v>
      </c>
      <c r="F530" t="inlineStr">
        <is>
          <t>JÖNKÖPINGS LÄN</t>
        </is>
      </c>
      <c r="G530" t="inlineStr">
        <is>
          <t>EKSJÖ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46232</v>
      </c>
      <c r="F531" t="inlineStr">
        <is>
          <t>JÖNKÖPINGS LÄN</t>
        </is>
      </c>
      <c r="G531" t="inlineStr">
        <is>
          <t>EKSJÖ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46232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48740-2023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45208</v>
      </c>
      <c r="E533" s="1" t="n">
        <v>46232</v>
      </c>
      <c r="F533" t="inlineStr">
        <is>
          <t>JÖNKÖPINGS LÄN</t>
        </is>
      </c>
      <c r="G533" t="inlineStr">
        <is>
          <t>EKSJÖ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46232</v>
      </c>
      <c r="F534" t="inlineStr">
        <is>
          <t>JÖNKÖPINGS LÄN</t>
        </is>
      </c>
      <c r="G534" t="inlineStr">
        <is>
          <t>EKSJÖ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5638-2024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45334</v>
      </c>
      <c r="E535" s="1" t="n">
        <v>46232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46232</v>
      </c>
      <c r="F536" t="inlineStr">
        <is>
          <t>JÖNKÖPINGS LÄN</t>
        </is>
      </c>
      <c r="G536" t="inlineStr">
        <is>
          <t>EKSJÖ</t>
        </is>
      </c>
      <c r="H536" t="inlineStr">
        <is>
          <t>Kyrkan</t>
        </is>
      </c>
      <c r="I536" t="n">
        <v>15.2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46577-2022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44848</v>
      </c>
      <c r="E537" s="1" t="n">
        <v>46232</v>
      </c>
      <c r="F537" t="inlineStr">
        <is>
          <t>JÖNKÖPINGS LÄN</t>
        </is>
      </c>
      <c r="G537" t="inlineStr">
        <is>
          <t>EKSJÖ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36503-2024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45537</v>
      </c>
      <c r="E538" s="1" t="n">
        <v>46232</v>
      </c>
      <c r="F538" t="inlineStr">
        <is>
          <t>JÖNKÖPINGS LÄN</t>
        </is>
      </c>
      <c r="G538" t="inlineStr">
        <is>
          <t>EKSJÖ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26405-2026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46183</v>
      </c>
      <c r="E539" s="1" t="n">
        <v>46232</v>
      </c>
      <c r="F539" t="inlineStr">
        <is>
          <t>JÖNKÖPINGS LÄN</t>
        </is>
      </c>
      <c r="G539" t="inlineStr">
        <is>
          <t>EKSJÖ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45714</v>
      </c>
      <c r="E540" s="1" t="n">
        <v>46232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45714</v>
      </c>
      <c r="E541" s="1" t="n">
        <v>46232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45715</v>
      </c>
      <c r="E542" s="1" t="n">
        <v>46232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9400-2025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45715</v>
      </c>
      <c r="E543" s="1" t="n">
        <v>46232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9404-2025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46232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26648-2026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46232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47204-2022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44851</v>
      </c>
      <c r="E546" s="1" t="n">
        <v>46232</v>
      </c>
      <c r="F546" t="inlineStr">
        <is>
          <t>JÖNKÖPINGS LÄN</t>
        </is>
      </c>
      <c r="G546" t="inlineStr">
        <is>
          <t>EKSJÖ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8056-2025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45707</v>
      </c>
      <c r="E547" s="1" t="n">
        <v>46232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46232</v>
      </c>
      <c r="F548" t="inlineStr">
        <is>
          <t>JÖNKÖPINGS LÄN</t>
        </is>
      </c>
      <c r="G548" t="inlineStr">
        <is>
          <t>EKSJÖ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26644-2026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46232</v>
      </c>
      <c r="F549" t="inlineStr">
        <is>
          <t>JÖNKÖPINGS LÄN</t>
        </is>
      </c>
      <c r="G549" t="inlineStr">
        <is>
          <t>EKSJÖ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46232</v>
      </c>
      <c r="F550" t="inlineStr">
        <is>
          <t>JÖNKÖPINGS LÄN</t>
        </is>
      </c>
      <c r="G550" t="inlineStr">
        <is>
          <t>EKSJÖ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45329</v>
      </c>
      <c r="E551" s="1" t="n">
        <v>46232</v>
      </c>
      <c r="F551" t="inlineStr">
        <is>
          <t>JÖNKÖPINGS LÄN</t>
        </is>
      </c>
      <c r="G551" t="inlineStr">
        <is>
          <t>EKSJÖ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45635</v>
      </c>
      <c r="E552" s="1" t="n">
        <v>46232</v>
      </c>
      <c r="F552" t="inlineStr">
        <is>
          <t>JÖNKÖPINGS LÄN</t>
        </is>
      </c>
      <c r="G552" t="inlineStr">
        <is>
          <t>EKSJÖ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45334</v>
      </c>
      <c r="E553" s="1" t="n">
        <v>46232</v>
      </c>
      <c r="F553" t="inlineStr">
        <is>
          <t>JÖNKÖPINGS LÄN</t>
        </is>
      </c>
      <c r="G553" t="inlineStr">
        <is>
          <t>EKSJÖ</t>
        </is>
      </c>
      <c r="H553" t="inlineStr">
        <is>
          <t>Sveaskog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46232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2224-2023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44939</v>
      </c>
      <c r="E555" s="1" t="n">
        <v>46232</v>
      </c>
      <c r="F555" t="inlineStr">
        <is>
          <t>JÖNKÖPINGS LÄN</t>
        </is>
      </c>
      <c r="G555" t="inlineStr">
        <is>
          <t>EKSJÖ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46232</v>
      </c>
      <c r="F556" t="inlineStr">
        <is>
          <t>JÖNKÖPINGS LÄN</t>
        </is>
      </c>
      <c r="G556" t="inlineStr">
        <is>
          <t>EKSJÖ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41816-2024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46232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10946-2026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46232</v>
      </c>
      <c r="F558" t="inlineStr">
        <is>
          <t>JÖNKÖPINGS LÄN</t>
        </is>
      </c>
      <c r="G558" t="inlineStr">
        <is>
          <t>EKSJÖ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23183-2022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44719</v>
      </c>
      <c r="E559" s="1" t="n">
        <v>46232</v>
      </c>
      <c r="F559" t="inlineStr">
        <is>
          <t>JÖNKÖPINGS LÄN</t>
        </is>
      </c>
      <c r="G559" t="inlineStr">
        <is>
          <t>EKSJÖ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18337-2025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45762</v>
      </c>
      <c r="E560" s="1" t="n">
        <v>46232</v>
      </c>
      <c r="F560" t="inlineStr">
        <is>
          <t>JÖNKÖPINGS LÄN</t>
        </is>
      </c>
      <c r="G560" t="inlineStr">
        <is>
          <t>EKSJÖ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45671</v>
      </c>
      <c r="E561" s="1" t="n">
        <v>46232</v>
      </c>
      <c r="F561" t="inlineStr">
        <is>
          <t>JÖNKÖPINGS LÄN</t>
        </is>
      </c>
      <c r="G561" t="inlineStr">
        <is>
          <t>EKSJÖ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8165-2022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44609</v>
      </c>
      <c r="E562" s="1" t="n">
        <v>46232</v>
      </c>
      <c r="F562" t="inlineStr">
        <is>
          <t>JÖNKÖPINGS LÄN</t>
        </is>
      </c>
      <c r="G562" t="inlineStr">
        <is>
          <t>EKSJÖ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12399-2023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44999</v>
      </c>
      <c r="E563" s="1" t="n">
        <v>46232</v>
      </c>
      <c r="F563" t="inlineStr">
        <is>
          <t>JÖNKÖPINGS LÄN</t>
        </is>
      </c>
      <c r="G563" t="inlineStr">
        <is>
          <t>EKSJÖ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12409-2023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44999</v>
      </c>
      <c r="E564" s="1" t="n">
        <v>46232</v>
      </c>
      <c r="F564" t="inlineStr">
        <is>
          <t>JÖNKÖPINGS LÄN</t>
        </is>
      </c>
      <c r="G564" t="inlineStr">
        <is>
          <t>EKSJÖ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50275-2023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45209</v>
      </c>
      <c r="E565" s="1" t="n">
        <v>46232</v>
      </c>
      <c r="F565" t="inlineStr">
        <is>
          <t>JÖNKÖPINGS LÄN</t>
        </is>
      </c>
      <c r="G565" t="inlineStr">
        <is>
          <t>EKSJÖ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46232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20960-2025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45777</v>
      </c>
      <c r="E567" s="1" t="n">
        <v>46232</v>
      </c>
      <c r="F567" t="inlineStr">
        <is>
          <t>JÖNKÖPINGS LÄN</t>
        </is>
      </c>
      <c r="G567" t="inlineStr">
        <is>
          <t>EKSJÖ</t>
        </is>
      </c>
      <c r="H567" t="inlineStr">
        <is>
          <t>Kommuner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20986-2025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45777</v>
      </c>
      <c r="E568" s="1" t="n">
        <v>46232</v>
      </c>
      <c r="F568" t="inlineStr">
        <is>
          <t>JÖNKÖPINGS LÄN</t>
        </is>
      </c>
      <c r="G568" t="inlineStr">
        <is>
          <t>EKSJÖ</t>
        </is>
      </c>
      <c r="H568" t="inlineStr">
        <is>
          <t>Kommuner</t>
        </is>
      </c>
      <c r="I568" t="n">
        <v>9.6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21224-2025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45779</v>
      </c>
      <c r="E569" s="1" t="n">
        <v>46232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59234-2024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45637</v>
      </c>
      <c r="E570" s="1" t="n">
        <v>46232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7723-2025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45706</v>
      </c>
      <c r="E571" s="1" t="n">
        <v>46232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45786</v>
      </c>
      <c r="E572" s="1" t="n">
        <v>46232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7585-2025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46232</v>
      </c>
      <c r="F573" t="inlineStr">
        <is>
          <t>JÖNKÖPINGS LÄN</t>
        </is>
      </c>
      <c r="G573" t="inlineStr">
        <is>
          <t>EKSJÖ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45175</v>
      </c>
      <c r="E574" s="1" t="n">
        <v>46232</v>
      </c>
      <c r="F574" t="inlineStr">
        <is>
          <t>JÖNKÖPINGS LÄN</t>
        </is>
      </c>
      <c r="G574" t="inlineStr">
        <is>
          <t>EKSJÖ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35253-2024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45530</v>
      </c>
      <c r="E575" s="1" t="n">
        <v>46232</v>
      </c>
      <c r="F575" t="inlineStr">
        <is>
          <t>JÖNKÖPINGS LÄN</t>
        </is>
      </c>
      <c r="G575" t="inlineStr">
        <is>
          <t>EKSJÖ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46232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45579</v>
      </c>
      <c r="E577" s="1" t="n">
        <v>46232</v>
      </c>
      <c r="F577" t="inlineStr">
        <is>
          <t>JÖNKÖPINGS LÄN</t>
        </is>
      </c>
      <c r="G577" t="inlineStr">
        <is>
          <t>EKSJÖ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23387-2025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45791</v>
      </c>
      <c r="E578" s="1" t="n">
        <v>46232</v>
      </c>
      <c r="F578" t="inlineStr">
        <is>
          <t>JÖNKÖPINGS LÄN</t>
        </is>
      </c>
      <c r="G578" t="inlineStr">
        <is>
          <t>EKSJÖ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46232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45743</v>
      </c>
      <c r="E580" s="1" t="n">
        <v>46232</v>
      </c>
      <c r="F580" t="inlineStr">
        <is>
          <t>JÖNKÖPINGS LÄN</t>
        </is>
      </c>
      <c r="G580" t="inlineStr">
        <is>
          <t>EKSJÖ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56039-2024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46232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14813-2025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45743</v>
      </c>
      <c r="E582" s="1" t="n">
        <v>46232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14382-2025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45741</v>
      </c>
      <c r="E583" s="1" t="n">
        <v>46232</v>
      </c>
      <c r="F583" t="inlineStr">
        <is>
          <t>JÖNKÖPINGS LÄN</t>
        </is>
      </c>
      <c r="G583" t="inlineStr">
        <is>
          <t>EKSJÖ</t>
        </is>
      </c>
      <c r="H583" t="inlineStr">
        <is>
          <t>Sveaskog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11345-2025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46232</v>
      </c>
      <c r="F584" t="inlineStr">
        <is>
          <t>JÖNKÖPINGS LÄN</t>
        </is>
      </c>
      <c r="G584" t="inlineStr">
        <is>
          <t>EKSJÖ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46232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46232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46232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46232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46232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46232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46232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46232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46232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46232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46232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46232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46232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46232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46232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46232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46232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46232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46232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46232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46232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46232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46232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46232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46232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46232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46232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46232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46232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2026-07-29T01:54:55Z</dcterms:created>
  <dcterms:modified xmlns:dcterms="http://purl.org/dc/terms/" xmlns:xsi="http://www.w3.org/2001/XMLSchema-instance" xsi:type="dcterms:W3CDTF">2026-07-29T01:54:55Z</dcterms:modified>
</cp:coreProperties>
</file>