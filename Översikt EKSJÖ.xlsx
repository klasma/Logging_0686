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46257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46257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46257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46257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46257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46257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46257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46257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46257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46257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46257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46257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46257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46257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46257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46257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46257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46257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46257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46257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46257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46257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46257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5128-2024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46257</v>
      </c>
      <c r="F25" t="inlineStr">
        <is>
          <t>JÖNKÖPINGS LÄN</t>
        </is>
      </c>
      <c r="G25" t="inlineStr">
        <is>
          <t>EKSJÖ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Ask</t>
        </is>
      </c>
      <c r="W25">
        <f>HYPERLINK("https://klasma.github.io/Logging_0686/artfynd/A 5128-2024 artfynd.xlsx", "A 5128-2024")</f>
        <v/>
      </c>
      <c r="X25">
        <f>HYPERLINK("https://klasma.github.io/Logging_0686/kartor/A 5128-2024 karta.png", "A 5128-2024")</f>
        <v/>
      </c>
      <c r="Y25">
        <f>HYPERLINK("https://klasma.github.io/Logging_0686/kartor_geotiff/A 5128-2024 georefererad karta.tif", "A 5128-2024")</f>
        <v/>
      </c>
      <c r="AA25">
        <f>HYPERLINK("https://klasma.github.io/Logging_0686/klagomål/A 5128-2024 FSC-klagomål.docx", "A 5128-2024")</f>
        <v/>
      </c>
      <c r="AB25">
        <f>HYPERLINK("https://klasma.github.io/Logging_0686/klagomålsmail/A 5128-2024 FSC-klagomål mail.docx", "A 5128-2024")</f>
        <v/>
      </c>
      <c r="AC25">
        <f>HYPERLINK("https://klasma.github.io/Logging_0686/tillsyn/A 5128-2024 tillsynsbegäran.docx", "A 5128-2024")</f>
        <v/>
      </c>
      <c r="AD25">
        <f>HYPERLINK("https://klasma.github.io/Logging_0686/tillsynsmail/A 5128-2024 tillsynsbegäran mail.docx", "A 5128-2024")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46257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46257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46257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46257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10726-2024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46257</v>
      </c>
      <c r="F30" t="inlineStr">
        <is>
          <t>JÖNKÖPINGS LÄN</t>
        </is>
      </c>
      <c r="G30" t="inlineStr">
        <is>
          <t>EKSJÖ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HYPERLINK("https://klasma.github.io/Logging_0686/artfynd/A 10726-2024 artfynd.xlsx", "A 10726-2024")</f>
        <v/>
      </c>
      <c r="X30">
        <f>HYPERLINK("https://klasma.github.io/Logging_0686/kartor/A 10726-2024 karta.png", "A 10726-2024")</f>
        <v/>
      </c>
      <c r="Y30">
        <f>HYPERLINK("https://klasma.github.io/Logging_0686/kartor_geotiff/A 10726-2024 georefererad karta.tif", "A 10726-2024")</f>
        <v/>
      </c>
      <c r="AA30">
        <f>HYPERLINK("https://klasma.github.io/Logging_0686/klagomål/A 10726-2024 FSC-klagomål.docx", "A 10726-2024")</f>
        <v/>
      </c>
      <c r="AB30">
        <f>HYPERLINK("https://klasma.github.io/Logging_0686/klagomålsmail/A 10726-2024 FSC-klagomål mail.docx", "A 10726-2024")</f>
        <v/>
      </c>
      <c r="AC30">
        <f>HYPERLINK("https://klasma.github.io/Logging_0686/tillsyn/A 10726-2024 tillsynsbegäran.docx", "A 10726-2024")</f>
        <v/>
      </c>
      <c r="AD30">
        <f>HYPERLINK("https://klasma.github.io/Logging_0686/tillsynsmail/A 10726-2024 tillsynsbegäran mail.docx", "A 10726-2024")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46257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4446-2023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46257</v>
      </c>
      <c r="F32" t="inlineStr">
        <is>
          <t>JÖNKÖPINGS LÄN</t>
        </is>
      </c>
      <c r="G32" t="inlineStr">
        <is>
          <t>EKSJÖ</t>
        </is>
      </c>
      <c r="I32" t="n">
        <v>0.3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Loppstarr</t>
        </is>
      </c>
      <c r="W32">
        <f>HYPERLINK("https://klasma.github.io/Logging_0686/artfynd/A 4446-2023 artfynd.xlsx", "A 4446-2023")</f>
        <v/>
      </c>
      <c r="X32">
        <f>HYPERLINK("https://klasma.github.io/Logging_0686/kartor/A 4446-2023 karta.png", "A 4446-2023")</f>
        <v/>
      </c>
      <c r="Y32">
        <f>HYPERLINK("https://klasma.github.io/Logging_0686/kartor_geotiff/A 4446-2023 georefererad karta.tif", "A 4446-2023")</f>
        <v/>
      </c>
      <c r="AA32">
        <f>HYPERLINK("https://klasma.github.io/Logging_0686/klagomål/A 4446-2023 FSC-klagomål.docx", "A 4446-2023")</f>
        <v/>
      </c>
      <c r="AB32">
        <f>HYPERLINK("https://klasma.github.io/Logging_0686/klagomålsmail/A 4446-2023 FSC-klagomål mail.docx", "A 4446-2023")</f>
        <v/>
      </c>
      <c r="AC32">
        <f>HYPERLINK("https://klasma.github.io/Logging_0686/tillsyn/A 4446-2023 tillsynsbegäran.docx", "A 4446-2023")</f>
        <v/>
      </c>
      <c r="AD32">
        <f>HYPERLINK("https://klasma.github.io/Logging_0686/tillsynsmail/A 4446-2023 tillsynsbegäran mail.docx", "A 4446-2023")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46257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48033-2023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45204</v>
      </c>
      <c r="E34" s="1" t="n">
        <v>46257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0</v>
      </c>
      <c r="V34" s="2" t="inlineStr">
        <is>
          <t>Ask</t>
        </is>
      </c>
      <c r="W34">
        <f>HYPERLINK("https://klasma.github.io/Logging_0686/artfynd/A 48033-2023 artfynd.xlsx", "A 48033-2023")</f>
        <v/>
      </c>
      <c r="X34">
        <f>HYPERLINK("https://klasma.github.io/Logging_0686/kartor/A 48033-2023 karta.png", "A 48033-2023")</f>
        <v/>
      </c>
      <c r="Y34">
        <f>HYPERLINK("https://klasma.github.io/Logging_0686/kartor_geotiff/A 48033-2023 georefererad karta.tif", "A 48033-2023")</f>
        <v/>
      </c>
      <c r="AA34">
        <f>HYPERLINK("https://klasma.github.io/Logging_0686/klagomål/A 48033-2023 FSC-klagomål.docx", "A 48033-2023")</f>
        <v/>
      </c>
      <c r="AB34">
        <f>HYPERLINK("https://klasma.github.io/Logging_0686/klagomålsmail/A 48033-2023 FSC-klagomål mail.docx", "A 48033-2023")</f>
        <v/>
      </c>
      <c r="AC34">
        <f>HYPERLINK("https://klasma.github.io/Logging_0686/tillsyn/A 48033-2023 tillsynsbegäran.docx", "A 48033-2023")</f>
        <v/>
      </c>
      <c r="AD34">
        <f>HYPERLINK("https://klasma.github.io/Logging_0686/tillsynsmail/A 48033-2023 tillsynsbegäran mail.docx", "A 48033-2023")</f>
        <v/>
      </c>
    </row>
    <row r="35" ht="15" customHeight="1">
      <c r="A35" t="inlineStr">
        <is>
          <t>A 41746-2023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45176</v>
      </c>
      <c r="E35" s="1" t="n">
        <v>46257</v>
      </c>
      <c r="F35" t="inlineStr">
        <is>
          <t>JÖNKÖPINGS LÄN</t>
        </is>
      </c>
      <c r="G35" t="inlineStr">
        <is>
          <t>EKSJÖ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HYPERLINK("https://klasma.github.io/Logging_0686/artfynd/A 41746-2023 artfynd.xlsx", "A 41746-2023")</f>
        <v/>
      </c>
      <c r="X35">
        <f>HYPERLINK("https://klasma.github.io/Logging_0686/kartor/A 41746-2023 karta.png", "A 41746-2023")</f>
        <v/>
      </c>
      <c r="Y35">
        <f>HYPERLINK("https://klasma.github.io/Logging_0686/kartor_geotiff/A 41746-2023 georefererad karta.tif", "A 41746-2023")</f>
        <v/>
      </c>
      <c r="AA35">
        <f>HYPERLINK("https://klasma.github.io/Logging_0686/klagomål/A 41746-2023 FSC-klagomål.docx", "A 41746-2023")</f>
        <v/>
      </c>
      <c r="AB35">
        <f>HYPERLINK("https://klasma.github.io/Logging_0686/klagomålsmail/A 41746-2023 FSC-klagomål mail.docx", "A 41746-2023")</f>
        <v/>
      </c>
      <c r="AC35">
        <f>HYPERLINK("https://klasma.github.io/Logging_0686/tillsyn/A 41746-2023 tillsynsbegäran.docx", "A 41746-2023")</f>
        <v/>
      </c>
      <c r="AD35">
        <f>HYPERLINK("https://klasma.github.io/Logging_0686/tillsynsmail/A 41746-2023 tillsynsbegäran mail.docx", "A 41746-2023")</f>
        <v/>
      </c>
    </row>
    <row r="36" ht="15" customHeight="1">
      <c r="A36" t="inlineStr">
        <is>
          <t>A 38224-2023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46257</v>
      </c>
      <c r="F36" t="inlineStr">
        <is>
          <t>JÖNKÖPINGS LÄN</t>
        </is>
      </c>
      <c r="G36" t="inlineStr">
        <is>
          <t>EKSJÖ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HYPERLINK("https://klasma.github.io/Logging_0686/artfynd/A 38224-2023 artfynd.xlsx", "A 38224-2023")</f>
        <v/>
      </c>
      <c r="X36">
        <f>HYPERLINK("https://klasma.github.io/Logging_0686/kartor/A 38224-2023 karta.png", "A 38224-2023")</f>
        <v/>
      </c>
      <c r="Y36">
        <f>HYPERLINK("https://klasma.github.io/Logging_0686/kartor_geotiff/A 38224-2023 georefererad karta.tif", "A 38224-2023")</f>
        <v/>
      </c>
      <c r="AA36">
        <f>HYPERLINK("https://klasma.github.io/Logging_0686/klagomål/A 38224-2023 FSC-klagomål.docx", "A 38224-2023")</f>
        <v/>
      </c>
      <c r="AB36">
        <f>HYPERLINK("https://klasma.github.io/Logging_0686/klagomålsmail/A 38224-2023 FSC-klagomål mail.docx", "A 38224-2023")</f>
        <v/>
      </c>
      <c r="AC36">
        <f>HYPERLINK("https://klasma.github.io/Logging_0686/tillsyn/A 38224-2023 tillsynsbegäran.docx", "A 38224-2023")</f>
        <v/>
      </c>
      <c r="AD36">
        <f>HYPERLINK("https://klasma.github.io/Logging_0686/tillsynsmail/A 38224-2023 tillsynsbegäran mail.docx", "A 38224-2023")</f>
        <v/>
      </c>
    </row>
    <row r="37" ht="15" customHeight="1">
      <c r="A37" t="inlineStr">
        <is>
          <t>A 49412-2021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44454</v>
      </c>
      <c r="E37" s="1" t="n">
        <v>46257</v>
      </c>
      <c r="F37" t="inlineStr">
        <is>
          <t>JÖNKÖPINGS LÄN</t>
        </is>
      </c>
      <c r="G37" t="inlineStr">
        <is>
          <t>EKSJÖ</t>
        </is>
      </c>
      <c r="I37" t="n">
        <v>5.3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Ladusvala</t>
        </is>
      </c>
      <c r="W37">
        <f>HYPERLINK("https://klasma.github.io/Logging_0686/artfynd/A 49412-2021 artfynd.xlsx", "A 49412-2021")</f>
        <v/>
      </c>
      <c r="X37">
        <f>HYPERLINK("https://klasma.github.io/Logging_0686/kartor/A 49412-2021 karta.png", "A 49412-2021")</f>
        <v/>
      </c>
      <c r="Y37">
        <f>HYPERLINK("https://klasma.github.io/Logging_0686/kartor_geotiff/A 49412-2021 georefererad karta.tif", "A 49412-2021")</f>
        <v/>
      </c>
      <c r="AA37">
        <f>HYPERLINK("https://klasma.github.io/Logging_0686/klagomål/A 49412-2021 FSC-klagomål.docx", "A 49412-2021")</f>
        <v/>
      </c>
      <c r="AB37">
        <f>HYPERLINK("https://klasma.github.io/Logging_0686/klagomålsmail/A 49412-2021 FSC-klagomål mail.docx", "A 49412-2021")</f>
        <v/>
      </c>
      <c r="AC37">
        <f>HYPERLINK("https://klasma.github.io/Logging_0686/tillsyn/A 49412-2021 tillsynsbegäran.docx", "A 49412-2021")</f>
        <v/>
      </c>
      <c r="AD37">
        <f>HYPERLINK("https://klasma.github.io/Logging_0686/tillsynsmail/A 49412-2021 tillsynsbegäran mail.docx", "A 49412-2021")</f>
        <v/>
      </c>
    </row>
    <row r="38" ht="15" customHeight="1">
      <c r="A38" t="inlineStr">
        <is>
          <t>A 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46257</v>
      </c>
      <c r="F38" t="inlineStr">
        <is>
          <t>JÖNKÖPINGS LÄN</t>
        </is>
      </c>
      <c r="G38" t="inlineStr">
        <is>
          <t>EKSJÖ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HYPERLINK("https://klasma.github.io/Logging_0686/artfynd/A 58-2023 artfynd.xlsx", "A 58-2023")</f>
        <v/>
      </c>
      <c r="X38">
        <f>HYPERLINK("https://klasma.github.io/Logging_0686/kartor/A 58-2023 karta.png", "A 58-2023")</f>
        <v/>
      </c>
      <c r="Y38">
        <f>HYPERLINK("https://klasma.github.io/Logging_0686/kartor_geotiff/A 58-2023 georefererad karta.tif", "A 58-2023")</f>
        <v/>
      </c>
      <c r="AA38">
        <f>HYPERLINK("https://klasma.github.io/Logging_0686/klagomål/A 58-2023 FSC-klagomål.docx", "A 58-2023")</f>
        <v/>
      </c>
      <c r="AB38">
        <f>HYPERLINK("https://klasma.github.io/Logging_0686/klagomålsmail/A 58-2023 FSC-klagomål mail.docx", "A 58-2023")</f>
        <v/>
      </c>
      <c r="AC38">
        <f>HYPERLINK("https://klasma.github.io/Logging_0686/tillsyn/A 58-2023 tillsynsbegäran.docx", "A 58-2023")</f>
        <v/>
      </c>
      <c r="AD38">
        <f>HYPERLINK("https://klasma.github.io/Logging_0686/tillsynsmail/A 58-2023 tillsynsbegäran mail.docx", "A 58-2023")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46257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46257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32830-2025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46257</v>
      </c>
      <c r="F41" t="inlineStr">
        <is>
          <t>JÖNKÖPINGS LÄN</t>
        </is>
      </c>
      <c r="G41" t="inlineStr">
        <is>
          <t>EKSJÖ</t>
        </is>
      </c>
      <c r="H41" t="inlineStr">
        <is>
          <t>Övriga Aktiebolag</t>
        </is>
      </c>
      <c r="I41" t="n">
        <v>3.3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HYPERLINK("https://klasma.github.io/Logging_0686/artfynd/A 32830-2025 artfynd.xlsx", "A 32830-2025")</f>
        <v/>
      </c>
      <c r="X41">
        <f>HYPERLINK("https://klasma.github.io/Logging_0686/kartor/A 32830-2025 karta.png", "A 32830-2025")</f>
        <v/>
      </c>
      <c r="Y41">
        <f>HYPERLINK("https://klasma.github.io/Logging_0686/kartor_geotiff/A 32830-2025 georefererad karta.tif", "A 32830-2025")</f>
        <v/>
      </c>
      <c r="AA41">
        <f>HYPERLINK("https://klasma.github.io/Logging_0686/klagomål/A 32830-2025 FSC-klagomål.docx", "A 32830-2025")</f>
        <v/>
      </c>
      <c r="AB41">
        <f>HYPERLINK("https://klasma.github.io/Logging_0686/klagomålsmail/A 32830-2025 FSC-klagomål mail.docx", "A 32830-2025")</f>
        <v/>
      </c>
      <c r="AC41">
        <f>HYPERLINK("https://klasma.github.io/Logging_0686/tillsyn/A 32830-2025 tillsynsbegäran.docx", "A 32830-2025")</f>
        <v/>
      </c>
      <c r="AD41">
        <f>HYPERLINK("https://klasma.github.io/Logging_0686/tillsynsmail/A 32830-2025 tillsynsbegäran mail.docx", "A 32830-2025")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46257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46257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46257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46257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23536-2026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46163</v>
      </c>
      <c r="E46" s="1" t="n">
        <v>46257</v>
      </c>
      <c r="F46" t="inlineStr">
        <is>
          <t>JÖNKÖPINGS LÄN</t>
        </is>
      </c>
      <c r="G46" t="inlineStr">
        <is>
          <t>EKSJÖ</t>
        </is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Spindelört</t>
        </is>
      </c>
      <c r="W46">
        <f>HYPERLINK("https://klasma.github.io/Logging_0686/artfynd/A 23536-2026 artfynd.xlsx", "A 23536-2026")</f>
        <v/>
      </c>
      <c r="X46">
        <f>HYPERLINK("https://klasma.github.io/Logging_0686/kartor/A 23536-2026 karta.png", "A 23536-2026")</f>
        <v/>
      </c>
      <c r="Y46">
        <f>HYPERLINK("https://klasma.github.io/Logging_0686/kartor_geotiff/A 23536-2026 georefererad karta.tif", "A 23536-2026")</f>
        <v/>
      </c>
      <c r="AA46">
        <f>HYPERLINK("https://klasma.github.io/Logging_0686/klagomål/A 23536-2026 FSC-klagomål.docx", "A 23536-2026")</f>
        <v/>
      </c>
      <c r="AB46">
        <f>HYPERLINK("https://klasma.github.io/Logging_0686/klagomålsmail/A 23536-2026 FSC-klagomål mail.docx", "A 23536-2026")</f>
        <v/>
      </c>
      <c r="AC46">
        <f>HYPERLINK("https://klasma.github.io/Logging_0686/tillsyn/A 23536-2026 tillsynsbegäran.docx", "A 23536-2026")</f>
        <v/>
      </c>
      <c r="AD46">
        <f>HYPERLINK("https://klasma.github.io/Logging_0686/tillsynsmail/A 23536-2026 tillsynsbegäran mail.docx", "A 23536-2026")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46257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46257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46257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46257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46257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46257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46257</v>
      </c>
      <c r="F53" t="inlineStr">
        <is>
          <t>JÖNKÖPINGS LÄN</t>
        </is>
      </c>
      <c r="G53" t="inlineStr">
        <is>
          <t>EKSJÖ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46257</v>
      </c>
      <c r="F54" t="inlineStr">
        <is>
          <t>JÖNKÖPINGS LÄN</t>
        </is>
      </c>
      <c r="G54" t="inlineStr">
        <is>
          <t>EKSJÖ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46257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46257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46257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46257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46257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46257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46257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46257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46257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46257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46257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44461</v>
      </c>
      <c r="E66" s="1" t="n">
        <v>46257</v>
      </c>
      <c r="F66" t="inlineStr">
        <is>
          <t>JÖNKÖPINGS LÄN</t>
        </is>
      </c>
      <c r="G66" t="inlineStr">
        <is>
          <t>EKSJÖ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46257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46257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46257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46257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46257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46257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46257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46257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46257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46257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46257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46257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46257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46257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46257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46257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46257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46257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46257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46257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46257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46257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46257</v>
      </c>
      <c r="F89" t="inlineStr">
        <is>
          <t>JÖNKÖPINGS LÄN</t>
        </is>
      </c>
      <c r="G89" t="inlineStr">
        <is>
          <t>EKSJÖ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46257</v>
      </c>
      <c r="F90" t="inlineStr">
        <is>
          <t>JÖNKÖPINGS LÄN</t>
        </is>
      </c>
      <c r="G90" t="inlineStr">
        <is>
          <t>EKSJÖ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46257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65645-2021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46257</v>
      </c>
      <c r="F92" t="inlineStr">
        <is>
          <t>JÖNKÖPINGS LÄN</t>
        </is>
      </c>
      <c r="G92" t="inlineStr">
        <is>
          <t>EKSJÖ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46257</v>
      </c>
      <c r="F93" t="inlineStr">
        <is>
          <t>JÖNKÖPINGS LÄN</t>
        </is>
      </c>
      <c r="G93" t="inlineStr">
        <is>
          <t>EKSJÖ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46257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44701</v>
      </c>
      <c r="E95" s="1" t="n">
        <v>46257</v>
      </c>
      <c r="F95" t="inlineStr">
        <is>
          <t>JÖNKÖPINGS LÄN</t>
        </is>
      </c>
      <c r="G95" t="inlineStr">
        <is>
          <t>EKSJÖ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46257</v>
      </c>
      <c r="F96" t="inlineStr">
        <is>
          <t>JÖNKÖPINGS LÄN</t>
        </is>
      </c>
      <c r="G96" t="inlineStr">
        <is>
          <t>EKSJÖ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44883</v>
      </c>
      <c r="E97" s="1" t="n">
        <v>46257</v>
      </c>
      <c r="F97" t="inlineStr">
        <is>
          <t>JÖNKÖPINGS LÄN</t>
        </is>
      </c>
      <c r="G97" t="inlineStr">
        <is>
          <t>EKSJÖ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46257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46257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67308-2021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46257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44476</v>
      </c>
      <c r="E101" s="1" t="n">
        <v>46257</v>
      </c>
      <c r="F101" t="inlineStr">
        <is>
          <t>JÖNKÖPINGS LÄN</t>
        </is>
      </c>
      <c r="G101" t="inlineStr">
        <is>
          <t>EKSJÖ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46257</v>
      </c>
      <c r="F102" t="inlineStr">
        <is>
          <t>JÖNKÖPINGS LÄN</t>
        </is>
      </c>
      <c r="G102" t="inlineStr">
        <is>
          <t>EKSJÖ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46257</v>
      </c>
      <c r="F103" t="inlineStr">
        <is>
          <t>JÖNKÖPINGS LÄN</t>
        </is>
      </c>
      <c r="G103" t="inlineStr">
        <is>
          <t>EKSJÖ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66930-2021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46257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46257</v>
      </c>
      <c r="F105" t="inlineStr">
        <is>
          <t>JÖNKÖPINGS LÄN</t>
        </is>
      </c>
      <c r="G105" t="inlineStr">
        <is>
          <t>EKSJÖ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45741</v>
      </c>
      <c r="E106" s="1" t="n">
        <v>46257</v>
      </c>
      <c r="F106" t="inlineStr">
        <is>
          <t>JÖNKÖPINGS LÄN</t>
        </is>
      </c>
      <c r="G106" t="inlineStr">
        <is>
          <t>EKSJÖ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45741</v>
      </c>
      <c r="E107" s="1" t="n">
        <v>46257</v>
      </c>
      <c r="F107" t="inlineStr">
        <is>
          <t>JÖNKÖPINGS LÄN</t>
        </is>
      </c>
      <c r="G107" t="inlineStr">
        <is>
          <t>EKSJÖ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46257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46257</v>
      </c>
      <c r="F109" t="inlineStr">
        <is>
          <t>JÖNKÖPINGS LÄN</t>
        </is>
      </c>
      <c r="G109" t="inlineStr">
        <is>
          <t>EKSJÖ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45727</v>
      </c>
      <c r="E110" s="1" t="n">
        <v>46257</v>
      </c>
      <c r="F110" t="inlineStr">
        <is>
          <t>JÖNKÖPINGS LÄN</t>
        </is>
      </c>
      <c r="G110" t="inlineStr">
        <is>
          <t>EKSJÖ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64419-2021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44511</v>
      </c>
      <c r="E111" s="1" t="n">
        <v>46257</v>
      </c>
      <c r="F111" t="inlineStr">
        <is>
          <t>JÖNKÖPINGS LÄN</t>
        </is>
      </c>
      <c r="G111" t="inlineStr">
        <is>
          <t>EKSJÖ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56471-2021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46257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46257</v>
      </c>
      <c r="F113" t="inlineStr">
        <is>
          <t>JÖNKÖPINGS LÄN</t>
        </is>
      </c>
      <c r="G113" t="inlineStr">
        <is>
          <t>EKSJÖ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46257</v>
      </c>
      <c r="F114" t="inlineStr">
        <is>
          <t>JÖNKÖPINGS LÄN</t>
        </is>
      </c>
      <c r="G114" t="inlineStr">
        <is>
          <t>EKSJÖ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44781</v>
      </c>
      <c r="E115" s="1" t="n">
        <v>46257</v>
      </c>
      <c r="F115" t="inlineStr">
        <is>
          <t>JÖNKÖPINGS LÄN</t>
        </is>
      </c>
      <c r="G115" t="inlineStr">
        <is>
          <t>EKSJÖ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44781</v>
      </c>
      <c r="E116" s="1" t="n">
        <v>46257</v>
      </c>
      <c r="F116" t="inlineStr">
        <is>
          <t>JÖNKÖPINGS LÄN</t>
        </is>
      </c>
      <c r="G116" t="inlineStr">
        <is>
          <t>EKSJÖ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46257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46257</v>
      </c>
      <c r="F118" t="inlineStr">
        <is>
          <t>JÖNKÖPINGS LÄN</t>
        </is>
      </c>
      <c r="G118" t="inlineStr">
        <is>
          <t>EKSJÖ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44582</v>
      </c>
      <c r="E119" s="1" t="n">
        <v>46257</v>
      </c>
      <c r="F119" t="inlineStr">
        <is>
          <t>JÖNKÖPINGS LÄN</t>
        </is>
      </c>
      <c r="G119" t="inlineStr">
        <is>
          <t>EKSJÖ</t>
        </is>
      </c>
      <c r="H119" t="inlineStr">
        <is>
          <t>Kommuner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46257</v>
      </c>
      <c r="F120" t="inlineStr">
        <is>
          <t>JÖNKÖPINGS LÄN</t>
        </is>
      </c>
      <c r="G120" t="inlineStr">
        <is>
          <t>EKSJÖ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46257</v>
      </c>
      <c r="F121" t="inlineStr">
        <is>
          <t>JÖNKÖPINGS LÄN</t>
        </is>
      </c>
      <c r="G121" t="inlineStr">
        <is>
          <t>EKSJÖ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19469-2025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45770</v>
      </c>
      <c r="E122" s="1" t="n">
        <v>46257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46257</v>
      </c>
      <c r="F123" t="inlineStr">
        <is>
          <t>JÖNKÖPINGS LÄN</t>
        </is>
      </c>
      <c r="G123" t="inlineStr">
        <is>
          <t>EKSJÖ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46257</v>
      </c>
      <c r="F124" t="inlineStr">
        <is>
          <t>JÖNKÖPINGS LÄN</t>
        </is>
      </c>
      <c r="G124" t="inlineStr">
        <is>
          <t>EKSJÖ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46257</v>
      </c>
      <c r="F125" t="inlineStr">
        <is>
          <t>JÖNKÖPINGS LÄN</t>
        </is>
      </c>
      <c r="G125" t="inlineStr">
        <is>
          <t>EKSJÖ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44630</v>
      </c>
      <c r="E126" s="1" t="n">
        <v>46257</v>
      </c>
      <c r="F126" t="inlineStr">
        <is>
          <t>JÖNKÖPINGS LÄN</t>
        </is>
      </c>
      <c r="G126" t="inlineStr">
        <is>
          <t>EKSJÖ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46257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46257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46257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44980</v>
      </c>
      <c r="E130" s="1" t="n">
        <v>46257</v>
      </c>
      <c r="F130" t="inlineStr">
        <is>
          <t>JÖNKÖPINGS LÄN</t>
        </is>
      </c>
      <c r="G130" t="inlineStr">
        <is>
          <t>EKSJÖ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45078</v>
      </c>
      <c r="E131" s="1" t="n">
        <v>46257</v>
      </c>
      <c r="F131" t="inlineStr">
        <is>
          <t>JÖNKÖPINGS LÄN</t>
        </is>
      </c>
      <c r="G131" t="inlineStr">
        <is>
          <t>EKSJÖ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45837</v>
      </c>
      <c r="E132" s="1" t="n">
        <v>46257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46257</v>
      </c>
      <c r="F133" t="inlineStr">
        <is>
          <t>JÖNKÖPINGS LÄN</t>
        </is>
      </c>
      <c r="G133" t="inlineStr">
        <is>
          <t>EKSJÖ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46257</v>
      </c>
      <c r="F134" t="inlineStr">
        <is>
          <t>JÖNKÖPINGS LÄN</t>
        </is>
      </c>
      <c r="G134" t="inlineStr">
        <is>
          <t>EKSJÖ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46257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54292-2023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45232</v>
      </c>
      <c r="E136" s="1" t="n">
        <v>46257</v>
      </c>
      <c r="F136" t="inlineStr">
        <is>
          <t>JÖNKÖPINGS LÄN</t>
        </is>
      </c>
      <c r="G136" t="inlineStr">
        <is>
          <t>EKSJÖ</t>
        </is>
      </c>
      <c r="I136" t="n">
        <v>18.3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53479-2023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45223</v>
      </c>
      <c r="E137" s="1" t="n">
        <v>46257</v>
      </c>
      <c r="F137" t="inlineStr">
        <is>
          <t>JÖNKÖPINGS LÄN</t>
        </is>
      </c>
      <c r="G137" t="inlineStr">
        <is>
          <t>EKSJÖ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46257</v>
      </c>
      <c r="F138" t="inlineStr">
        <is>
          <t>JÖNKÖPINGS LÄN</t>
        </is>
      </c>
      <c r="G138" t="inlineStr">
        <is>
          <t>EKSJÖ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45086</v>
      </c>
      <c r="E139" s="1" t="n">
        <v>46257</v>
      </c>
      <c r="F139" t="inlineStr">
        <is>
          <t>JÖNKÖPINGS LÄN</t>
        </is>
      </c>
      <c r="G139" t="inlineStr">
        <is>
          <t>EKSJÖ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46257</v>
      </c>
      <c r="F140" t="inlineStr">
        <is>
          <t>JÖNKÖPINGS LÄN</t>
        </is>
      </c>
      <c r="G140" t="inlineStr">
        <is>
          <t>EKSJÖ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46257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46257</v>
      </c>
      <c r="F142" t="inlineStr">
        <is>
          <t>JÖNKÖPINGS LÄN</t>
        </is>
      </c>
      <c r="G142" t="inlineStr">
        <is>
          <t>EKSJÖ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46257</v>
      </c>
      <c r="F143" t="inlineStr">
        <is>
          <t>JÖNKÖPINGS LÄN</t>
        </is>
      </c>
      <c r="G143" t="inlineStr">
        <is>
          <t>EKSJÖ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46257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46257</v>
      </c>
      <c r="F145" t="inlineStr">
        <is>
          <t>JÖNKÖPINGS LÄN</t>
        </is>
      </c>
      <c r="G145" t="inlineStr">
        <is>
          <t>EKSJÖ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10926-2023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46257</v>
      </c>
      <c r="F146" t="inlineStr">
        <is>
          <t>JÖNKÖPINGS LÄN</t>
        </is>
      </c>
      <c r="G146" t="inlineStr">
        <is>
          <t>EKSJÖ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44909</v>
      </c>
      <c r="E147" s="1" t="n">
        <v>46257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46257</v>
      </c>
      <c r="F148" t="inlineStr">
        <is>
          <t>JÖNKÖPINGS LÄN</t>
        </is>
      </c>
      <c r="G148" t="inlineStr">
        <is>
          <t>EKSJÖ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44945</v>
      </c>
      <c r="E149" s="1" t="n">
        <v>46257</v>
      </c>
      <c r="F149" t="inlineStr">
        <is>
          <t>JÖNKÖPINGS LÄN</t>
        </is>
      </c>
      <c r="G149" t="inlineStr">
        <is>
          <t>EKSJÖ</t>
        </is>
      </c>
      <c r="H149" t="inlineStr">
        <is>
          <t>Övriga Aktiebolag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45003</v>
      </c>
      <c r="E150" s="1" t="n">
        <v>46257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46257</v>
      </c>
      <c r="F151" t="inlineStr">
        <is>
          <t>JÖNKÖPINGS LÄN</t>
        </is>
      </c>
      <c r="G151" t="inlineStr">
        <is>
          <t>EKSJÖ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46257</v>
      </c>
      <c r="F152" t="inlineStr">
        <is>
          <t>JÖNKÖPINGS LÄN</t>
        </is>
      </c>
      <c r="G152" t="inlineStr">
        <is>
          <t>EKSJÖ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46257</v>
      </c>
      <c r="F153" t="inlineStr">
        <is>
          <t>JÖNKÖPINGS LÄN</t>
        </is>
      </c>
      <c r="G153" t="inlineStr">
        <is>
          <t>EKSJÖ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46257</v>
      </c>
      <c r="F154" t="inlineStr">
        <is>
          <t>JÖNKÖPINGS LÄN</t>
        </is>
      </c>
      <c r="G154" t="inlineStr">
        <is>
          <t>EKSJÖ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46257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46257</v>
      </c>
      <c r="F156" t="inlineStr">
        <is>
          <t>JÖNKÖPINGS LÄN</t>
        </is>
      </c>
      <c r="G156" t="inlineStr">
        <is>
          <t>EKSJÖ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45152</v>
      </c>
      <c r="E157" s="1" t="n">
        <v>46257</v>
      </c>
      <c r="F157" t="inlineStr">
        <is>
          <t>JÖNKÖPINGS LÄN</t>
        </is>
      </c>
      <c r="G157" t="inlineStr">
        <is>
          <t>EKSJÖ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46257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45391</v>
      </c>
      <c r="E159" s="1" t="n">
        <v>46257</v>
      </c>
      <c r="F159" t="inlineStr">
        <is>
          <t>JÖNKÖPINGS LÄN</t>
        </is>
      </c>
      <c r="G159" t="inlineStr">
        <is>
          <t>EKSJÖ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37519-2022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46257</v>
      </c>
      <c r="F160" t="inlineStr">
        <is>
          <t>JÖNKÖPINGS LÄN</t>
        </is>
      </c>
      <c r="G160" t="inlineStr">
        <is>
          <t>EKSJÖ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45195</v>
      </c>
      <c r="E161" s="1" t="n">
        <v>46257</v>
      </c>
      <c r="F161" t="inlineStr">
        <is>
          <t>JÖNKÖPINGS LÄN</t>
        </is>
      </c>
      <c r="G161" t="inlineStr">
        <is>
          <t>EKSJÖ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44940</v>
      </c>
      <c r="E162" s="1" t="n">
        <v>46257</v>
      </c>
      <c r="F162" t="inlineStr">
        <is>
          <t>JÖNKÖPINGS LÄN</t>
        </is>
      </c>
      <c r="G162" t="inlineStr">
        <is>
          <t>EKSJÖ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44941</v>
      </c>
      <c r="E163" s="1" t="n">
        <v>46257</v>
      </c>
      <c r="F163" t="inlineStr">
        <is>
          <t>JÖNKÖPINGS LÄN</t>
        </is>
      </c>
      <c r="G163" t="inlineStr">
        <is>
          <t>EKSJÖ</t>
        </is>
      </c>
      <c r="H163" t="inlineStr">
        <is>
          <t>Övriga Aktiebolag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45837</v>
      </c>
      <c r="E164" s="1" t="n">
        <v>46257</v>
      </c>
      <c r="F164" t="inlineStr">
        <is>
          <t>JÖNKÖPINGS LÄN</t>
        </is>
      </c>
      <c r="G164" t="inlineStr">
        <is>
          <t>EKSJÖ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46257</v>
      </c>
      <c r="F165" t="inlineStr">
        <is>
          <t>JÖNKÖPINGS LÄN</t>
        </is>
      </c>
      <c r="G165" t="inlineStr">
        <is>
          <t>EKSJÖ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45057</v>
      </c>
      <c r="E166" s="1" t="n">
        <v>46257</v>
      </c>
      <c r="F166" t="inlineStr">
        <is>
          <t>JÖNKÖPINGS LÄN</t>
        </is>
      </c>
      <c r="G166" t="inlineStr">
        <is>
          <t>EKSJÖ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46257</v>
      </c>
      <c r="F167" t="inlineStr">
        <is>
          <t>JÖNKÖPINGS LÄN</t>
        </is>
      </c>
      <c r="G167" t="inlineStr">
        <is>
          <t>EKSJÖ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46257</v>
      </c>
      <c r="F168" t="inlineStr">
        <is>
          <t>JÖNKÖPINGS LÄN</t>
        </is>
      </c>
      <c r="G168" t="inlineStr">
        <is>
          <t>EKSJÖ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45264</v>
      </c>
      <c r="E169" s="1" t="n">
        <v>46257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46257</v>
      </c>
      <c r="F170" t="inlineStr">
        <is>
          <t>JÖNKÖPINGS LÄN</t>
        </is>
      </c>
      <c r="G170" t="inlineStr">
        <is>
          <t>EKSJÖ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46257</v>
      </c>
      <c r="F171" t="inlineStr">
        <is>
          <t>JÖNKÖPINGS LÄN</t>
        </is>
      </c>
      <c r="G171" t="inlineStr">
        <is>
          <t>EKSJÖ</t>
        </is>
      </c>
      <c r="H171" t="inlineStr">
        <is>
          <t>Kommuner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46257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46257</v>
      </c>
      <c r="F173" t="inlineStr">
        <is>
          <t>JÖNKÖPINGS LÄN</t>
        </is>
      </c>
      <c r="G173" t="inlineStr">
        <is>
          <t>EKSJÖ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45195</v>
      </c>
      <c r="E174" s="1" t="n">
        <v>46257</v>
      </c>
      <c r="F174" t="inlineStr">
        <is>
          <t>JÖNKÖPINGS LÄN</t>
        </is>
      </c>
      <c r="G174" t="inlineStr">
        <is>
          <t>EKSJÖ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45195</v>
      </c>
      <c r="E175" s="1" t="n">
        <v>46257</v>
      </c>
      <c r="F175" t="inlineStr">
        <is>
          <t>JÖNKÖPINGS LÄN</t>
        </is>
      </c>
      <c r="G175" t="inlineStr">
        <is>
          <t>EKSJÖ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46257</v>
      </c>
      <c r="F176" t="inlineStr">
        <is>
          <t>JÖNKÖPINGS LÄN</t>
        </is>
      </c>
      <c r="G176" t="inlineStr">
        <is>
          <t>EKSJÖ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43100-2021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44431</v>
      </c>
      <c r="E177" s="1" t="n">
        <v>46257</v>
      </c>
      <c r="F177" t="inlineStr">
        <is>
          <t>JÖNKÖPINGS LÄN</t>
        </is>
      </c>
      <c r="G177" t="inlineStr">
        <is>
          <t>EKSJÖ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46257</v>
      </c>
      <c r="F178" t="inlineStr">
        <is>
          <t>JÖNKÖPINGS LÄN</t>
        </is>
      </c>
      <c r="G178" t="inlineStr">
        <is>
          <t>EKSJÖ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46257</v>
      </c>
      <c r="F179" t="inlineStr">
        <is>
          <t>JÖNKÖPINGS LÄN</t>
        </is>
      </c>
      <c r="G179" t="inlineStr">
        <is>
          <t>EKSJÖ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46257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46257</v>
      </c>
      <c r="F181" t="inlineStr">
        <is>
          <t>JÖNKÖPINGS LÄN</t>
        </is>
      </c>
      <c r="G181" t="inlineStr">
        <is>
          <t>EKSJÖ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46257</v>
      </c>
      <c r="F182" t="inlineStr">
        <is>
          <t>JÖNKÖPINGS LÄN</t>
        </is>
      </c>
      <c r="G182" t="inlineStr">
        <is>
          <t>EKSJÖ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46257</v>
      </c>
      <c r="F183" t="inlineStr">
        <is>
          <t>JÖNKÖPINGS LÄN</t>
        </is>
      </c>
      <c r="G183" t="inlineStr">
        <is>
          <t>EKSJÖ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46257</v>
      </c>
      <c r="F184" t="inlineStr">
        <is>
          <t>JÖNKÖPINGS LÄN</t>
        </is>
      </c>
      <c r="G184" t="inlineStr">
        <is>
          <t>EKSJÖ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46257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46257</v>
      </c>
      <c r="F186" t="inlineStr">
        <is>
          <t>JÖNKÖPINGS LÄN</t>
        </is>
      </c>
      <c r="G186" t="inlineStr">
        <is>
          <t>EKSJÖ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46257</v>
      </c>
      <c r="F187" t="inlineStr">
        <is>
          <t>JÖNKÖPINGS LÄN</t>
        </is>
      </c>
      <c r="G187" t="inlineStr">
        <is>
          <t>EKSJÖ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44925</v>
      </c>
      <c r="E188" s="1" t="n">
        <v>46257</v>
      </c>
      <c r="F188" t="inlineStr">
        <is>
          <t>JÖNKÖPINGS LÄN</t>
        </is>
      </c>
      <c r="G188" t="inlineStr">
        <is>
          <t>EKSJÖ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41030-2023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45173</v>
      </c>
      <c r="E189" s="1" t="n">
        <v>46257</v>
      </c>
      <c r="F189" t="inlineStr">
        <is>
          <t>JÖNKÖPINGS LÄN</t>
        </is>
      </c>
      <c r="G189" t="inlineStr">
        <is>
          <t>EKSJÖ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46257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44526-2025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45916</v>
      </c>
      <c r="E191" s="1" t="n">
        <v>46257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45345</v>
      </c>
      <c r="E192" s="1" t="n">
        <v>46257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38201-2023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46257</v>
      </c>
      <c r="F193" t="inlineStr">
        <is>
          <t>JÖNKÖPINGS LÄN</t>
        </is>
      </c>
      <c r="G193" t="inlineStr">
        <is>
          <t>EKSJÖ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45475</v>
      </c>
      <c r="E194" s="1" t="n">
        <v>46257</v>
      </c>
      <c r="F194" t="inlineStr">
        <is>
          <t>JÖNKÖPINGS LÄN</t>
        </is>
      </c>
      <c r="G194" t="inlineStr">
        <is>
          <t>EKSJÖ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45344</v>
      </c>
      <c r="E195" s="1" t="n">
        <v>46257</v>
      </c>
      <c r="F195" t="inlineStr">
        <is>
          <t>JÖNKÖPINGS LÄN</t>
        </is>
      </c>
      <c r="G195" t="inlineStr">
        <is>
          <t>EKSJÖ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46257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45092</v>
      </c>
      <c r="E197" s="1" t="n">
        <v>46257</v>
      </c>
      <c r="F197" t="inlineStr">
        <is>
          <t>JÖNKÖPINGS LÄN</t>
        </is>
      </c>
      <c r="G197" t="inlineStr">
        <is>
          <t>EKSJÖ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46257</v>
      </c>
      <c r="F198" t="inlineStr">
        <is>
          <t>JÖNKÖPINGS LÄN</t>
        </is>
      </c>
      <c r="G198" t="inlineStr">
        <is>
          <t>EKSJÖ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45334</v>
      </c>
      <c r="E199" s="1" t="n">
        <v>46257</v>
      </c>
      <c r="F199" t="inlineStr">
        <is>
          <t>JÖNKÖPINGS LÄN</t>
        </is>
      </c>
      <c r="G199" t="inlineStr">
        <is>
          <t>EKSJÖ</t>
        </is>
      </c>
      <c r="H199" t="inlineStr">
        <is>
          <t>Kommuner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46257</v>
      </c>
      <c r="F200" t="inlineStr">
        <is>
          <t>JÖNKÖPINGS LÄN</t>
        </is>
      </c>
      <c r="G200" t="inlineStr">
        <is>
          <t>EKSJÖ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11723-2024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46257</v>
      </c>
      <c r="F201" t="inlineStr">
        <is>
          <t>JÖNKÖPINGS LÄN</t>
        </is>
      </c>
      <c r="G201" t="inlineStr">
        <is>
          <t>EKSJÖ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45337</v>
      </c>
      <c r="E202" s="1" t="n">
        <v>46257</v>
      </c>
      <c r="F202" t="inlineStr">
        <is>
          <t>JÖNKÖPINGS LÄN</t>
        </is>
      </c>
      <c r="G202" t="inlineStr">
        <is>
          <t>EKSJÖ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34098-2024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45523</v>
      </c>
      <c r="E203" s="1" t="n">
        <v>46257</v>
      </c>
      <c r="F203" t="inlineStr">
        <is>
          <t>JÖNKÖPINGS LÄN</t>
        </is>
      </c>
      <c r="G203" t="inlineStr">
        <is>
          <t>EKSJÖ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46257</v>
      </c>
      <c r="F204" t="inlineStr">
        <is>
          <t>JÖNKÖPINGS LÄN</t>
        </is>
      </c>
      <c r="G204" t="inlineStr">
        <is>
          <t>EKSJÖ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41440-2024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45560</v>
      </c>
      <c r="E205" s="1" t="n">
        <v>46257</v>
      </c>
      <c r="F205" t="inlineStr">
        <is>
          <t>JÖNKÖPINGS LÄN</t>
        </is>
      </c>
      <c r="G205" t="inlineStr">
        <is>
          <t>EKSJÖ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46257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46257</v>
      </c>
      <c r="F207" t="inlineStr">
        <is>
          <t>JÖNKÖPINGS LÄN</t>
        </is>
      </c>
      <c r="G207" t="inlineStr">
        <is>
          <t>EKSJÖ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46257</v>
      </c>
      <c r="F208" t="inlineStr">
        <is>
          <t>JÖNKÖPINGS LÄN</t>
        </is>
      </c>
      <c r="G208" t="inlineStr">
        <is>
          <t>EKSJÖ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45204</v>
      </c>
      <c r="E209" s="1" t="n">
        <v>46257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45677</v>
      </c>
      <c r="E210" s="1" t="n">
        <v>46257</v>
      </c>
      <c r="F210" t="inlineStr">
        <is>
          <t>JÖNKÖPINGS LÄN</t>
        </is>
      </c>
      <c r="G210" t="inlineStr">
        <is>
          <t>EKSJÖ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46257</v>
      </c>
      <c r="F211" t="inlineStr">
        <is>
          <t>JÖNKÖPINGS LÄN</t>
        </is>
      </c>
      <c r="G211" t="inlineStr">
        <is>
          <t>EKSJÖ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46257</v>
      </c>
      <c r="F212" t="inlineStr">
        <is>
          <t>JÖNKÖPINGS LÄN</t>
        </is>
      </c>
      <c r="G212" t="inlineStr">
        <is>
          <t>EKSJÖ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45666</v>
      </c>
      <c r="E213" s="1" t="n">
        <v>46257</v>
      </c>
      <c r="F213" t="inlineStr">
        <is>
          <t>JÖNKÖPINGS LÄN</t>
        </is>
      </c>
      <c r="G213" t="inlineStr">
        <is>
          <t>EKSJÖ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45680</v>
      </c>
      <c r="E214" s="1" t="n">
        <v>46257</v>
      </c>
      <c r="F214" t="inlineStr">
        <is>
          <t>JÖNKÖPINGS LÄN</t>
        </is>
      </c>
      <c r="G214" t="inlineStr">
        <is>
          <t>EKSJÖ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46257</v>
      </c>
      <c r="F215" t="inlineStr">
        <is>
          <t>JÖNKÖPINGS LÄN</t>
        </is>
      </c>
      <c r="G215" t="inlineStr">
        <is>
          <t>EKSJÖ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46257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46257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46257</v>
      </c>
      <c r="F218" t="inlineStr">
        <is>
          <t>JÖNKÖPINGS LÄN</t>
        </is>
      </c>
      <c r="G218" t="inlineStr">
        <is>
          <t>EKSJÖ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64993-2023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45286</v>
      </c>
      <c r="E219" s="1" t="n">
        <v>46257</v>
      </c>
      <c r="F219" t="inlineStr">
        <is>
          <t>JÖNKÖPINGS LÄN</t>
        </is>
      </c>
      <c r="G219" t="inlineStr">
        <is>
          <t>EKSJÖ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45512</v>
      </c>
      <c r="E220" s="1" t="n">
        <v>46257</v>
      </c>
      <c r="F220" t="inlineStr">
        <is>
          <t>JÖNKÖPINGS LÄN</t>
        </is>
      </c>
      <c r="G220" t="inlineStr">
        <is>
          <t>EKSJÖ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46257</v>
      </c>
      <c r="F221" t="inlineStr">
        <is>
          <t>JÖNKÖPINGS LÄN</t>
        </is>
      </c>
      <c r="G221" t="inlineStr">
        <is>
          <t>EKSJÖ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45355</v>
      </c>
      <c r="E222" s="1" t="n">
        <v>46257</v>
      </c>
      <c r="F222" t="inlineStr">
        <is>
          <t>JÖNKÖPINGS LÄN</t>
        </is>
      </c>
      <c r="G222" t="inlineStr">
        <is>
          <t>EKSJÖ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45086</v>
      </c>
      <c r="E223" s="1" t="n">
        <v>46257</v>
      </c>
      <c r="F223" t="inlineStr">
        <is>
          <t>JÖNKÖPINGS LÄN</t>
        </is>
      </c>
      <c r="G223" t="inlineStr">
        <is>
          <t>EKSJÖ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50967-2021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44460</v>
      </c>
      <c r="E224" s="1" t="n">
        <v>46257</v>
      </c>
      <c r="F224" t="inlineStr">
        <is>
          <t>JÖNKÖPINGS LÄN</t>
        </is>
      </c>
      <c r="G224" t="inlineStr">
        <is>
          <t>EKSJÖ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46257</v>
      </c>
      <c r="F225" t="inlineStr">
        <is>
          <t>JÖNKÖPINGS LÄN</t>
        </is>
      </c>
      <c r="G225" t="inlineStr">
        <is>
          <t>EKSJÖ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46257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12821-2024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45384</v>
      </c>
      <c r="E227" s="1" t="n">
        <v>46257</v>
      </c>
      <c r="F227" t="inlineStr">
        <is>
          <t>JÖNKÖPINGS LÄN</t>
        </is>
      </c>
      <c r="G227" t="inlineStr">
        <is>
          <t>EKSJÖ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46257</v>
      </c>
      <c r="F228" t="inlineStr">
        <is>
          <t>JÖNKÖPINGS LÄN</t>
        </is>
      </c>
      <c r="G228" t="inlineStr">
        <is>
          <t>EKSJÖ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46257</v>
      </c>
      <c r="F229" t="inlineStr">
        <is>
          <t>JÖNKÖPINGS LÄN</t>
        </is>
      </c>
      <c r="G229" t="inlineStr">
        <is>
          <t>EKSJÖ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46257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46257</v>
      </c>
      <c r="F231" t="inlineStr">
        <is>
          <t>JÖNKÖPINGS LÄN</t>
        </is>
      </c>
      <c r="G231" t="inlineStr">
        <is>
          <t>EKSJÖ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46257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45513</v>
      </c>
      <c r="E233" s="1" t="n">
        <v>46257</v>
      </c>
      <c r="F233" t="inlineStr">
        <is>
          <t>JÖNKÖPINGS LÄN</t>
        </is>
      </c>
      <c r="G233" t="inlineStr">
        <is>
          <t>EKSJÖ</t>
        </is>
      </c>
      <c r="H233" t="inlineStr">
        <is>
          <t>Kyrkan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45558</v>
      </c>
      <c r="E234" s="1" t="n">
        <v>46257</v>
      </c>
      <c r="F234" t="inlineStr">
        <is>
          <t>JÖNKÖPINGS LÄN</t>
        </is>
      </c>
      <c r="G234" t="inlineStr">
        <is>
          <t>EKSJÖ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46257</v>
      </c>
      <c r="F235" t="inlineStr">
        <is>
          <t>JÖNKÖPINGS LÄN</t>
        </is>
      </c>
      <c r="G235" t="inlineStr">
        <is>
          <t>EKSJÖ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46257</v>
      </c>
      <c r="F236" t="inlineStr">
        <is>
          <t>JÖNKÖPINGS LÄN</t>
        </is>
      </c>
      <c r="G236" t="inlineStr">
        <is>
          <t>EKSJÖ</t>
        </is>
      </c>
      <c r="H236" t="inlineStr">
        <is>
          <t>Övriga Aktiebolag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46257</v>
      </c>
      <c r="F237" t="inlineStr">
        <is>
          <t>JÖNKÖPINGS LÄN</t>
        </is>
      </c>
      <c r="G237" t="inlineStr">
        <is>
          <t>EKSJÖ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46257</v>
      </c>
      <c r="F238" t="inlineStr">
        <is>
          <t>JÖNKÖPINGS LÄN</t>
        </is>
      </c>
      <c r="G238" t="inlineStr">
        <is>
          <t>EKSJÖ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54470-2024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45617</v>
      </c>
      <c r="E239" s="1" t="n">
        <v>46257</v>
      </c>
      <c r="F239" t="inlineStr">
        <is>
          <t>JÖNKÖPINGS LÄN</t>
        </is>
      </c>
      <c r="G239" t="inlineStr">
        <is>
          <t>EKSJÖ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46257</v>
      </c>
      <c r="F240" t="inlineStr">
        <is>
          <t>JÖNKÖPINGS LÄN</t>
        </is>
      </c>
      <c r="G240" t="inlineStr">
        <is>
          <t>EKSJÖ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46257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46257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46257</v>
      </c>
      <c r="F243" t="inlineStr">
        <is>
          <t>JÖNKÖPINGS LÄN</t>
        </is>
      </c>
      <c r="G243" t="inlineStr">
        <is>
          <t>EKSJÖ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65554-2021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44516</v>
      </c>
      <c r="E244" s="1" t="n">
        <v>46257</v>
      </c>
      <c r="F244" t="inlineStr">
        <is>
          <t>JÖNKÖPINGS LÄN</t>
        </is>
      </c>
      <c r="G244" t="inlineStr">
        <is>
          <t>EKSJÖ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45576</v>
      </c>
      <c r="E245" s="1" t="n">
        <v>46257</v>
      </c>
      <c r="F245" t="inlineStr">
        <is>
          <t>JÖNKÖPINGS LÄN</t>
        </is>
      </c>
      <c r="G245" t="inlineStr">
        <is>
          <t>EKSJÖ</t>
        </is>
      </c>
      <c r="H245" t="inlineStr">
        <is>
          <t>Övriga Aktiebolag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45485</v>
      </c>
      <c r="E246" s="1" t="n">
        <v>46257</v>
      </c>
      <c r="F246" t="inlineStr">
        <is>
          <t>JÖNKÖPINGS LÄN</t>
        </is>
      </c>
      <c r="G246" t="inlineStr">
        <is>
          <t>EKSJÖ</t>
        </is>
      </c>
      <c r="H246" t="inlineStr">
        <is>
          <t>Övriga Aktiebolag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46257</v>
      </c>
      <c r="F247" t="inlineStr">
        <is>
          <t>JÖNKÖPINGS LÄN</t>
        </is>
      </c>
      <c r="G247" t="inlineStr">
        <is>
          <t>EKSJÖ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46257</v>
      </c>
      <c r="F248" t="inlineStr">
        <is>
          <t>JÖNKÖPINGS LÄN</t>
        </is>
      </c>
      <c r="G248" t="inlineStr">
        <is>
          <t>EKSJÖ</t>
        </is>
      </c>
      <c r="H248" t="inlineStr">
        <is>
          <t>Kyrkan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46257</v>
      </c>
      <c r="F249" t="inlineStr">
        <is>
          <t>JÖNKÖPINGS LÄN</t>
        </is>
      </c>
      <c r="G249" t="inlineStr">
        <is>
          <t>EKSJÖ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46257</v>
      </c>
      <c r="F250" t="inlineStr">
        <is>
          <t>JÖNKÖPINGS LÄN</t>
        </is>
      </c>
      <c r="G250" t="inlineStr">
        <is>
          <t>EKSJÖ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45365</v>
      </c>
      <c r="E251" s="1" t="n">
        <v>46257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46257</v>
      </c>
      <c r="F252" t="inlineStr">
        <is>
          <t>JÖNKÖPINGS LÄN</t>
        </is>
      </c>
      <c r="G252" t="inlineStr">
        <is>
          <t>EKSJÖ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46257</v>
      </c>
      <c r="F253" t="inlineStr">
        <is>
          <t>JÖNKÖPINGS LÄN</t>
        </is>
      </c>
      <c r="G253" t="inlineStr">
        <is>
          <t>EKSJÖ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46257</v>
      </c>
      <c r="F254" t="inlineStr">
        <is>
          <t>JÖNKÖPINGS LÄN</t>
        </is>
      </c>
      <c r="G254" t="inlineStr">
        <is>
          <t>EKSJÖ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46257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46257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44925</v>
      </c>
      <c r="E257" s="1" t="n">
        <v>46257</v>
      </c>
      <c r="F257" t="inlineStr">
        <is>
          <t>JÖNKÖPINGS LÄN</t>
        </is>
      </c>
      <c r="G257" t="inlineStr">
        <is>
          <t>EKSJÖ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44888</v>
      </c>
      <c r="E258" s="1" t="n">
        <v>46257</v>
      </c>
      <c r="F258" t="inlineStr">
        <is>
          <t>JÖNKÖPINGS LÄN</t>
        </is>
      </c>
      <c r="G258" t="inlineStr">
        <is>
          <t>EKSJÖ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55808-2023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45239</v>
      </c>
      <c r="E259" s="1" t="n">
        <v>46257</v>
      </c>
      <c r="F259" t="inlineStr">
        <is>
          <t>JÖNKÖPINGS LÄN</t>
        </is>
      </c>
      <c r="G259" t="inlineStr">
        <is>
          <t>EKSJÖ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46257</v>
      </c>
      <c r="F260" t="inlineStr">
        <is>
          <t>JÖNKÖPINGS LÄN</t>
        </is>
      </c>
      <c r="G260" t="inlineStr">
        <is>
          <t>EKSJÖ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45114</v>
      </c>
      <c r="E261" s="1" t="n">
        <v>46257</v>
      </c>
      <c r="F261" t="inlineStr">
        <is>
          <t>JÖNKÖPINGS LÄN</t>
        </is>
      </c>
      <c r="G261" t="inlineStr">
        <is>
          <t>EKSJÖ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45842</v>
      </c>
      <c r="E262" s="1" t="n">
        <v>46257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45402</v>
      </c>
      <c r="E263" s="1" t="n">
        <v>46257</v>
      </c>
      <c r="F263" t="inlineStr">
        <is>
          <t>JÖNKÖPINGS LÄN</t>
        </is>
      </c>
      <c r="G263" t="inlineStr">
        <is>
          <t>EKSJÖ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34124-2025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46257</v>
      </c>
      <c r="F264" t="inlineStr">
        <is>
          <t>JÖNKÖPINGS LÄN</t>
        </is>
      </c>
      <c r="G264" t="inlineStr">
        <is>
          <t>EKSJÖ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45713</v>
      </c>
      <c r="E265" s="1" t="n">
        <v>46257</v>
      </c>
      <c r="F265" t="inlineStr">
        <is>
          <t>JÖNKÖPINGS LÄN</t>
        </is>
      </c>
      <c r="G265" t="inlineStr">
        <is>
          <t>EKSJÖ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46257</v>
      </c>
      <c r="F266" t="inlineStr">
        <is>
          <t>JÖNKÖPINGS LÄN</t>
        </is>
      </c>
      <c r="G266" t="inlineStr">
        <is>
          <t>EKSJÖ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45314</v>
      </c>
      <c r="E267" s="1" t="n">
        <v>46257</v>
      </c>
      <c r="F267" t="inlineStr">
        <is>
          <t>JÖNKÖPINGS LÄN</t>
        </is>
      </c>
      <c r="G267" t="inlineStr">
        <is>
          <t>EKSJÖ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45314</v>
      </c>
      <c r="E268" s="1" t="n">
        <v>46257</v>
      </c>
      <c r="F268" t="inlineStr">
        <is>
          <t>JÖNKÖPINGS LÄN</t>
        </is>
      </c>
      <c r="G268" t="inlineStr">
        <is>
          <t>EKSJÖ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33970-2025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46257</v>
      </c>
      <c r="F269" t="inlineStr">
        <is>
          <t>JÖNKÖPINGS LÄN</t>
        </is>
      </c>
      <c r="G269" t="inlineStr">
        <is>
          <t>EKSJÖ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45463</v>
      </c>
      <c r="E270" s="1" t="n">
        <v>46257</v>
      </c>
      <c r="F270" t="inlineStr">
        <is>
          <t>JÖNKÖPINGS LÄN</t>
        </is>
      </c>
      <c r="G270" t="inlineStr">
        <is>
          <t>EKSJÖ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46257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46257</v>
      </c>
      <c r="F272" t="inlineStr">
        <is>
          <t>JÖNKÖPINGS LÄN</t>
        </is>
      </c>
      <c r="G272" t="inlineStr">
        <is>
          <t>EKSJÖ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46257</v>
      </c>
      <c r="F273" t="inlineStr">
        <is>
          <t>JÖNKÖPINGS LÄN</t>
        </is>
      </c>
      <c r="G273" t="inlineStr">
        <is>
          <t>EKSJÖ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46257</v>
      </c>
      <c r="F274" t="inlineStr">
        <is>
          <t>JÖNKÖPINGS LÄN</t>
        </is>
      </c>
      <c r="G274" t="inlineStr">
        <is>
          <t>EKSJÖ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45091</v>
      </c>
      <c r="E275" s="1" t="n">
        <v>46257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46257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46257</v>
      </c>
      <c r="F277" t="inlineStr">
        <is>
          <t>JÖNKÖPINGS LÄN</t>
        </is>
      </c>
      <c r="G277" t="inlineStr">
        <is>
          <t>EKSJÖ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45197</v>
      </c>
      <c r="E278" s="1" t="n">
        <v>46257</v>
      </c>
      <c r="F278" t="inlineStr">
        <is>
          <t>JÖNKÖPINGS LÄN</t>
        </is>
      </c>
      <c r="G278" t="inlineStr">
        <is>
          <t>EKSJÖ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50410-2024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45601</v>
      </c>
      <c r="E279" s="1" t="n">
        <v>46257</v>
      </c>
      <c r="F279" t="inlineStr">
        <is>
          <t>JÖNKÖPINGS LÄN</t>
        </is>
      </c>
      <c r="G279" t="inlineStr">
        <is>
          <t>EKSJÖ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46257</v>
      </c>
      <c r="F280" t="inlineStr">
        <is>
          <t>JÖNKÖPINGS LÄN</t>
        </is>
      </c>
      <c r="G280" t="inlineStr">
        <is>
          <t>EKSJÖ</t>
        </is>
      </c>
      <c r="H280" t="inlineStr">
        <is>
          <t>Kyrkan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35738-2024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45532</v>
      </c>
      <c r="E281" s="1" t="n">
        <v>46257</v>
      </c>
      <c r="F281" t="inlineStr">
        <is>
          <t>JÖNKÖPINGS LÄN</t>
        </is>
      </c>
      <c r="G281" t="inlineStr">
        <is>
          <t>EKSJÖ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46257</v>
      </c>
      <c r="F282" t="inlineStr">
        <is>
          <t>JÖNKÖPINGS LÄN</t>
        </is>
      </c>
      <c r="G282" t="inlineStr">
        <is>
          <t>EKSJÖ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34772-2023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45141</v>
      </c>
      <c r="E283" s="1" t="n">
        <v>46257</v>
      </c>
      <c r="F283" t="inlineStr">
        <is>
          <t>JÖNKÖPINGS LÄN</t>
        </is>
      </c>
      <c r="G283" t="inlineStr">
        <is>
          <t>EKSJÖ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46257</v>
      </c>
      <c r="F284" t="inlineStr">
        <is>
          <t>JÖNKÖPINGS LÄN</t>
        </is>
      </c>
      <c r="G284" t="inlineStr">
        <is>
          <t>EKSJÖ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46257</v>
      </c>
      <c r="F285" t="inlineStr">
        <is>
          <t>JÖNKÖPINGS LÄN</t>
        </is>
      </c>
      <c r="G285" t="inlineStr">
        <is>
          <t>EKSJÖ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45719</v>
      </c>
      <c r="E286" s="1" t="n">
        <v>46257</v>
      </c>
      <c r="F286" t="inlineStr">
        <is>
          <t>JÖNKÖPINGS LÄN</t>
        </is>
      </c>
      <c r="G286" t="inlineStr">
        <is>
          <t>EKSJÖ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45686</v>
      </c>
      <c r="E287" s="1" t="n">
        <v>46257</v>
      </c>
      <c r="F287" t="inlineStr">
        <is>
          <t>JÖNKÖPINGS LÄN</t>
        </is>
      </c>
      <c r="G287" t="inlineStr">
        <is>
          <t>EKSJÖ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45785</v>
      </c>
      <c r="E288" s="1" t="n">
        <v>46257</v>
      </c>
      <c r="F288" t="inlineStr">
        <is>
          <t>JÖNKÖPINGS LÄN</t>
        </is>
      </c>
      <c r="G288" t="inlineStr">
        <is>
          <t>EKSJÖ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46257</v>
      </c>
      <c r="F289" t="inlineStr">
        <is>
          <t>JÖNKÖPINGS LÄN</t>
        </is>
      </c>
      <c r="G289" t="inlineStr">
        <is>
          <t>EKSJÖ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46257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44574</v>
      </c>
      <c r="E291" s="1" t="n">
        <v>46257</v>
      </c>
      <c r="F291" t="inlineStr">
        <is>
          <t>JÖNKÖPINGS LÄN</t>
        </is>
      </c>
      <c r="G291" t="inlineStr">
        <is>
          <t>EKSJÖ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46257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46257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45232</v>
      </c>
      <c r="E294" s="1" t="n">
        <v>46257</v>
      </c>
      <c r="F294" t="inlineStr">
        <is>
          <t>JÖNKÖPINGS LÄN</t>
        </is>
      </c>
      <c r="G294" t="inlineStr">
        <is>
          <t>EKSJÖ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46257</v>
      </c>
      <c r="F295" t="inlineStr">
        <is>
          <t>JÖNKÖPINGS LÄN</t>
        </is>
      </c>
      <c r="G295" t="inlineStr">
        <is>
          <t>EKSJÖ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46257</v>
      </c>
      <c r="F296" t="inlineStr">
        <is>
          <t>JÖNKÖPINGS LÄN</t>
        </is>
      </c>
      <c r="G296" t="inlineStr">
        <is>
          <t>EKSJÖ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46257</v>
      </c>
      <c r="F297" t="inlineStr">
        <is>
          <t>JÖNKÖPINGS LÄN</t>
        </is>
      </c>
      <c r="G297" t="inlineStr">
        <is>
          <t>EKSJÖ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25141-2023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45086</v>
      </c>
      <c r="E298" s="1" t="n">
        <v>46257</v>
      </c>
      <c r="F298" t="inlineStr">
        <is>
          <t>JÖNKÖPINGS LÄN</t>
        </is>
      </c>
      <c r="G298" t="inlineStr">
        <is>
          <t>EKSJÖ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43411-2022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44834</v>
      </c>
      <c r="E299" s="1" t="n">
        <v>46257</v>
      </c>
      <c r="F299" t="inlineStr">
        <is>
          <t>JÖNKÖPINGS LÄN</t>
        </is>
      </c>
      <c r="G299" t="inlineStr">
        <is>
          <t>EKSJÖ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45664</v>
      </c>
      <c r="E300" s="1" t="n">
        <v>46257</v>
      </c>
      <c r="F300" t="inlineStr">
        <is>
          <t>JÖNKÖPINGS LÄN</t>
        </is>
      </c>
      <c r="G300" t="inlineStr">
        <is>
          <t>EKSJÖ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46257</v>
      </c>
      <c r="F301" t="inlineStr">
        <is>
          <t>JÖNKÖPINGS LÄN</t>
        </is>
      </c>
      <c r="G301" t="inlineStr">
        <is>
          <t>EKSJÖ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29754-2024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45485</v>
      </c>
      <c r="E302" s="1" t="n">
        <v>46257</v>
      </c>
      <c r="F302" t="inlineStr">
        <is>
          <t>JÖNKÖPINGS LÄN</t>
        </is>
      </c>
      <c r="G302" t="inlineStr">
        <is>
          <t>EKSJÖ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45418</v>
      </c>
      <c r="E303" s="1" t="n">
        <v>46257</v>
      </c>
      <c r="F303" t="inlineStr">
        <is>
          <t>JÖNKÖPINGS LÄN</t>
        </is>
      </c>
      <c r="G303" t="inlineStr">
        <is>
          <t>EKSJÖ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46257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46257</v>
      </c>
      <c r="F305" t="inlineStr">
        <is>
          <t>JÖNKÖPINGS LÄN</t>
        </is>
      </c>
      <c r="G305" t="inlineStr">
        <is>
          <t>EKSJÖ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46257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55656-2022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44888</v>
      </c>
      <c r="E307" s="1" t="n">
        <v>46257</v>
      </c>
      <c r="F307" t="inlineStr">
        <is>
          <t>JÖNKÖPINGS LÄN</t>
        </is>
      </c>
      <c r="G307" t="inlineStr">
        <is>
          <t>EKSJÖ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45461</v>
      </c>
      <c r="E308" s="1" t="n">
        <v>46257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45991</v>
      </c>
      <c r="E309" s="1" t="n">
        <v>46257</v>
      </c>
      <c r="F309" t="inlineStr">
        <is>
          <t>JÖNKÖPINGS LÄN</t>
        </is>
      </c>
      <c r="G309" t="inlineStr">
        <is>
          <t>EKSJÖ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59673-2025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46257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46257</v>
      </c>
      <c r="F311" t="inlineStr">
        <is>
          <t>JÖNKÖPINGS LÄN</t>
        </is>
      </c>
      <c r="G311" t="inlineStr">
        <is>
          <t>EKSJÖ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44783</v>
      </c>
      <c r="E312" s="1" t="n">
        <v>46257</v>
      </c>
      <c r="F312" t="inlineStr">
        <is>
          <t>JÖNKÖPINGS LÄN</t>
        </is>
      </c>
      <c r="G312" t="inlineStr">
        <is>
          <t>EKSJÖ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46257</v>
      </c>
      <c r="F313" t="inlineStr">
        <is>
          <t>JÖNKÖPINGS LÄN</t>
        </is>
      </c>
      <c r="G313" t="inlineStr">
        <is>
          <t>EKSJÖ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45078</v>
      </c>
      <c r="E314" s="1" t="n">
        <v>46257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42929-2021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44431</v>
      </c>
      <c r="E315" s="1" t="n">
        <v>46257</v>
      </c>
      <c r="F315" t="inlineStr">
        <is>
          <t>JÖNKÖPINGS LÄN</t>
        </is>
      </c>
      <c r="G315" t="inlineStr">
        <is>
          <t>EKSJÖ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45054</v>
      </c>
      <c r="E316" s="1" t="n">
        <v>46257</v>
      </c>
      <c r="F316" t="inlineStr">
        <is>
          <t>JÖNKÖPINGS LÄN</t>
        </is>
      </c>
      <c r="G316" t="inlineStr">
        <is>
          <t>EKSJÖ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44953</v>
      </c>
      <c r="E317" s="1" t="n">
        <v>46257</v>
      </c>
      <c r="F317" t="inlineStr">
        <is>
          <t>JÖNKÖPINGS LÄN</t>
        </is>
      </c>
      <c r="G317" t="inlineStr">
        <is>
          <t>EKSJÖ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45860</v>
      </c>
      <c r="E318" s="1" t="n">
        <v>46257</v>
      </c>
      <c r="F318" t="inlineStr">
        <is>
          <t>JÖNKÖPINGS LÄN</t>
        </is>
      </c>
      <c r="G318" t="inlineStr">
        <is>
          <t>EKSJÖ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46257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45628</v>
      </c>
      <c r="E320" s="1" t="n">
        <v>46257</v>
      </c>
      <c r="F320" t="inlineStr">
        <is>
          <t>JÖNKÖPINGS LÄN</t>
        </is>
      </c>
      <c r="G320" t="inlineStr">
        <is>
          <t>EKSJÖ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45860</v>
      </c>
      <c r="E321" s="1" t="n">
        <v>46257</v>
      </c>
      <c r="F321" t="inlineStr">
        <is>
          <t>JÖNKÖPINGS LÄN</t>
        </is>
      </c>
      <c r="G321" t="inlineStr">
        <is>
          <t>EKSJÖ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36354-2022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44803</v>
      </c>
      <c r="E322" s="1" t="n">
        <v>46257</v>
      </c>
      <c r="F322" t="inlineStr">
        <is>
          <t>JÖNKÖPINGS LÄN</t>
        </is>
      </c>
      <c r="G322" t="inlineStr">
        <is>
          <t>EKSJÖ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46257</v>
      </c>
      <c r="F323" t="inlineStr">
        <is>
          <t>JÖNKÖPINGS LÄN</t>
        </is>
      </c>
      <c r="G323" t="inlineStr">
        <is>
          <t>EKSJÖ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26706-2022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46257</v>
      </c>
      <c r="F324" t="inlineStr">
        <is>
          <t>JÖNKÖPINGS LÄN</t>
        </is>
      </c>
      <c r="G324" t="inlineStr">
        <is>
          <t>EKSJÖ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45358</v>
      </c>
      <c r="E325" s="1" t="n">
        <v>46257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30931-2023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45113</v>
      </c>
      <c r="E326" s="1" t="n">
        <v>46257</v>
      </c>
      <c r="F326" t="inlineStr">
        <is>
          <t>JÖNKÖPINGS LÄN</t>
        </is>
      </c>
      <c r="G326" t="inlineStr">
        <is>
          <t>EKSJÖ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45523</v>
      </c>
      <c r="E327" s="1" t="n">
        <v>46257</v>
      </c>
      <c r="F327" t="inlineStr">
        <is>
          <t>JÖNKÖPINGS LÄN</t>
        </is>
      </c>
      <c r="G327" t="inlineStr">
        <is>
          <t>EKSJÖ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34045-2024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45523</v>
      </c>
      <c r="E328" s="1" t="n">
        <v>46257</v>
      </c>
      <c r="F328" t="inlineStr">
        <is>
          <t>JÖNKÖPINGS LÄN</t>
        </is>
      </c>
      <c r="G328" t="inlineStr">
        <is>
          <t>EKSJÖ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46257</v>
      </c>
      <c r="F329" t="inlineStr">
        <is>
          <t>JÖNKÖPINGS LÄN</t>
        </is>
      </c>
      <c r="G329" t="inlineStr">
        <is>
          <t>EKSJÖ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46257</v>
      </c>
      <c r="F330" t="inlineStr">
        <is>
          <t>JÖNKÖPINGS LÄN</t>
        </is>
      </c>
      <c r="G330" t="inlineStr">
        <is>
          <t>EKSJÖ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45463</v>
      </c>
      <c r="E331" s="1" t="n">
        <v>46257</v>
      </c>
      <c r="F331" t="inlineStr">
        <is>
          <t>JÖNKÖPINGS LÄN</t>
        </is>
      </c>
      <c r="G331" t="inlineStr">
        <is>
          <t>EKSJÖ</t>
        </is>
      </c>
      <c r="H331" t="inlineStr">
        <is>
          <t>Övriga Aktiebolag</t>
        </is>
      </c>
      <c r="I331" t="n">
        <v>17.5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50287-2024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45600</v>
      </c>
      <c r="E332" s="1" t="n">
        <v>46257</v>
      </c>
      <c r="F332" t="inlineStr">
        <is>
          <t>JÖNKÖPINGS LÄN</t>
        </is>
      </c>
      <c r="G332" t="inlineStr">
        <is>
          <t>EKSJÖ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45245</v>
      </c>
      <c r="E333" s="1" t="n">
        <v>46257</v>
      </c>
      <c r="F333" t="inlineStr">
        <is>
          <t>JÖNKÖPINGS LÄN</t>
        </is>
      </c>
      <c r="G333" t="inlineStr">
        <is>
          <t>EKSJÖ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36042-2024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45533</v>
      </c>
      <c r="E334" s="1" t="n">
        <v>46257</v>
      </c>
      <c r="F334" t="inlineStr">
        <is>
          <t>JÖNKÖPINGS LÄN</t>
        </is>
      </c>
      <c r="G334" t="inlineStr">
        <is>
          <t>EKSJÖ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46257</v>
      </c>
      <c r="F335" t="inlineStr">
        <is>
          <t>JÖNKÖPINGS LÄN</t>
        </is>
      </c>
      <c r="G335" t="inlineStr">
        <is>
          <t>EKSJÖ</t>
        </is>
      </c>
      <c r="H335" t="inlineStr">
        <is>
          <t>Kommuner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46257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36148-2025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46257</v>
      </c>
      <c r="F337" t="inlineStr">
        <is>
          <t>JÖNKÖPINGS LÄN</t>
        </is>
      </c>
      <c r="G337" t="inlineStr">
        <is>
          <t>EKSJÖ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19468-2023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45049</v>
      </c>
      <c r="E338" s="1" t="n">
        <v>46257</v>
      </c>
      <c r="F338" t="inlineStr">
        <is>
          <t>JÖNKÖPINGS LÄN</t>
        </is>
      </c>
      <c r="G338" t="inlineStr">
        <is>
          <t>EKSJÖ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46257</v>
      </c>
      <c r="F339" t="inlineStr">
        <is>
          <t>JÖNKÖPINGS LÄN</t>
        </is>
      </c>
      <c r="G339" t="inlineStr">
        <is>
          <t>EKSJÖ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47390-2022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46257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46257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46257</v>
      </c>
      <c r="F342" t="inlineStr">
        <is>
          <t>JÖNKÖPINGS LÄN</t>
        </is>
      </c>
      <c r="G342" t="inlineStr">
        <is>
          <t>EKSJÖ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46014</v>
      </c>
      <c r="E343" s="1" t="n">
        <v>46257</v>
      </c>
      <c r="F343" t="inlineStr">
        <is>
          <t>JÖNKÖPINGS LÄN</t>
        </is>
      </c>
      <c r="G343" t="inlineStr">
        <is>
          <t>EKSJÖ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46257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45714</v>
      </c>
      <c r="E345" s="1" t="n">
        <v>46257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44925</v>
      </c>
      <c r="E346" s="1" t="n">
        <v>46257</v>
      </c>
      <c r="F346" t="inlineStr">
        <is>
          <t>JÖNKÖPINGS LÄN</t>
        </is>
      </c>
      <c r="G346" t="inlineStr">
        <is>
          <t>EKSJÖ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45212</v>
      </c>
      <c r="E347" s="1" t="n">
        <v>46257</v>
      </c>
      <c r="F347" t="inlineStr">
        <is>
          <t>JÖNKÖPINGS LÄN</t>
        </is>
      </c>
      <c r="G347" t="inlineStr">
        <is>
          <t>EKSJÖ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22860-2023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45072</v>
      </c>
      <c r="E348" s="1" t="n">
        <v>46257</v>
      </c>
      <c r="F348" t="inlineStr">
        <is>
          <t>JÖNKÖPINGS LÄN</t>
        </is>
      </c>
      <c r="G348" t="inlineStr">
        <is>
          <t>EKSJÖ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44974</v>
      </c>
      <c r="E349" s="1" t="n">
        <v>46257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44580</v>
      </c>
      <c r="E350" s="1" t="n">
        <v>46257</v>
      </c>
      <c r="F350" t="inlineStr">
        <is>
          <t>JÖNKÖPINGS LÄN</t>
        </is>
      </c>
      <c r="G350" t="inlineStr">
        <is>
          <t>EKSJÖ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44685</v>
      </c>
      <c r="E351" s="1" t="n">
        <v>46257</v>
      </c>
      <c r="F351" t="inlineStr">
        <is>
          <t>JÖNKÖPINGS LÄN</t>
        </is>
      </c>
      <c r="G351" t="inlineStr">
        <is>
          <t>EKSJÖ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46019-2022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44846</v>
      </c>
      <c r="E352" s="1" t="n">
        <v>46257</v>
      </c>
      <c r="F352" t="inlineStr">
        <is>
          <t>JÖNKÖPINGS LÄN</t>
        </is>
      </c>
      <c r="G352" t="inlineStr">
        <is>
          <t>EKSJÖ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46257</v>
      </c>
      <c r="F353" t="inlineStr">
        <is>
          <t>JÖNKÖPINGS LÄN</t>
        </is>
      </c>
      <c r="G353" t="inlineStr">
        <is>
          <t>EKSJÖ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38592-2022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44813</v>
      </c>
      <c r="E354" s="1" t="n">
        <v>46257</v>
      </c>
      <c r="F354" t="inlineStr">
        <is>
          <t>JÖNKÖPINGS LÄN</t>
        </is>
      </c>
      <c r="G354" t="inlineStr">
        <is>
          <t>EKSJÖ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46031</v>
      </c>
      <c r="E355" s="1" t="n">
        <v>46257</v>
      </c>
      <c r="F355" t="inlineStr">
        <is>
          <t>JÖNKÖPINGS LÄN</t>
        </is>
      </c>
      <c r="G355" t="inlineStr">
        <is>
          <t>EKSJÖ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45216</v>
      </c>
      <c r="E356" s="1" t="n">
        <v>46257</v>
      </c>
      <c r="F356" t="inlineStr">
        <is>
          <t>JÖNKÖPINGS LÄN</t>
        </is>
      </c>
      <c r="G356" t="inlineStr">
        <is>
          <t>EKSJÖ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45420</v>
      </c>
      <c r="E357" s="1" t="n">
        <v>46257</v>
      </c>
      <c r="F357" t="inlineStr">
        <is>
          <t>JÖNKÖPINGS LÄN</t>
        </is>
      </c>
      <c r="G357" t="inlineStr">
        <is>
          <t>EKSJÖ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18695-2024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45426</v>
      </c>
      <c r="E358" s="1" t="n">
        <v>46257</v>
      </c>
      <c r="F358" t="inlineStr">
        <is>
          <t>JÖNKÖPINGS LÄN</t>
        </is>
      </c>
      <c r="G358" t="inlineStr">
        <is>
          <t>EKSJÖ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46257</v>
      </c>
      <c r="F359" t="inlineStr">
        <is>
          <t>JÖNKÖPINGS LÄN</t>
        </is>
      </c>
      <c r="G359" t="inlineStr">
        <is>
          <t>EKSJÖ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44803</v>
      </c>
      <c r="E360" s="1" t="n">
        <v>46257</v>
      </c>
      <c r="F360" t="inlineStr">
        <is>
          <t>JÖNKÖPINGS LÄN</t>
        </is>
      </c>
      <c r="G360" t="inlineStr">
        <is>
          <t>EKSJÖ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46257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46257</v>
      </c>
      <c r="F362" t="inlineStr">
        <is>
          <t>JÖNKÖPINGS LÄN</t>
        </is>
      </c>
      <c r="G362" t="inlineStr">
        <is>
          <t>EKSJÖ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46257</v>
      </c>
      <c r="F363" t="inlineStr">
        <is>
          <t>JÖNKÖPINGS LÄN</t>
        </is>
      </c>
      <c r="G363" t="inlineStr">
        <is>
          <t>EKSJÖ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46257</v>
      </c>
      <c r="F364" t="inlineStr">
        <is>
          <t>JÖNKÖPINGS LÄN</t>
        </is>
      </c>
      <c r="G364" t="inlineStr">
        <is>
          <t>EKSJÖ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46257</v>
      </c>
      <c r="F365" t="inlineStr">
        <is>
          <t>JÖNKÖPINGS LÄN</t>
        </is>
      </c>
      <c r="G365" t="inlineStr">
        <is>
          <t>EKSJÖ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45008</v>
      </c>
      <c r="E366" s="1" t="n">
        <v>46257</v>
      </c>
      <c r="F366" t="inlineStr">
        <is>
          <t>JÖNKÖPINGS LÄN</t>
        </is>
      </c>
      <c r="G366" t="inlineStr">
        <is>
          <t>EKSJÖ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46257</v>
      </c>
      <c r="F367" t="inlineStr">
        <is>
          <t>JÖNKÖPINGS LÄN</t>
        </is>
      </c>
      <c r="G367" t="inlineStr">
        <is>
          <t>EKSJÖ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46257</v>
      </c>
      <c r="F368" t="inlineStr">
        <is>
          <t>JÖNKÖPINGS LÄN</t>
        </is>
      </c>
      <c r="G368" t="inlineStr">
        <is>
          <t>EKSJÖ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46257</v>
      </c>
      <c r="F369" t="inlineStr">
        <is>
          <t>JÖNKÖPINGS LÄN</t>
        </is>
      </c>
      <c r="G369" t="inlineStr">
        <is>
          <t>EKSJÖ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46257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45677</v>
      </c>
      <c r="E371" s="1" t="n">
        <v>46257</v>
      </c>
      <c r="F371" t="inlineStr">
        <is>
          <t>JÖNKÖPINGS LÄN</t>
        </is>
      </c>
      <c r="G371" t="inlineStr">
        <is>
          <t>EKSJÖ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46257</v>
      </c>
      <c r="F372" t="inlineStr">
        <is>
          <t>JÖNKÖPINGS LÄN</t>
        </is>
      </c>
      <c r="G372" t="inlineStr">
        <is>
          <t>EKSJÖ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46257</v>
      </c>
      <c r="F373" t="inlineStr">
        <is>
          <t>JÖNKÖPINGS LÄN</t>
        </is>
      </c>
      <c r="G373" t="inlineStr">
        <is>
          <t>EKSJÖ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46257</v>
      </c>
      <c r="F374" t="inlineStr">
        <is>
          <t>JÖNKÖPINGS LÄN</t>
        </is>
      </c>
      <c r="G374" t="inlineStr">
        <is>
          <t>EKSJÖ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45741</v>
      </c>
      <c r="E375" s="1" t="n">
        <v>46257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45741</v>
      </c>
      <c r="E376" s="1" t="n">
        <v>46257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46257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44974</v>
      </c>
      <c r="E378" s="1" t="n">
        <v>46257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46257</v>
      </c>
      <c r="F379" t="inlineStr">
        <is>
          <t>JÖNKÖPINGS LÄN</t>
        </is>
      </c>
      <c r="G379" t="inlineStr">
        <is>
          <t>EKSJÖ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46257</v>
      </c>
      <c r="F380" t="inlineStr">
        <is>
          <t>JÖNKÖPINGS LÄN</t>
        </is>
      </c>
      <c r="G380" t="inlineStr">
        <is>
          <t>EKSJÖ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45036</v>
      </c>
      <c r="E381" s="1" t="n">
        <v>46257</v>
      </c>
      <c r="F381" t="inlineStr">
        <is>
          <t>JÖNKÖPINGS LÄN</t>
        </is>
      </c>
      <c r="G381" t="inlineStr">
        <is>
          <t>EKSJÖ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4784-2024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45328</v>
      </c>
      <c r="E382" s="1" t="n">
        <v>46257</v>
      </c>
      <c r="F382" t="inlineStr">
        <is>
          <t>JÖNKÖPINGS LÄN</t>
        </is>
      </c>
      <c r="G382" t="inlineStr">
        <is>
          <t>EKSJÖ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46257</v>
      </c>
      <c r="F383" t="inlineStr">
        <is>
          <t>JÖNKÖPINGS LÄN</t>
        </is>
      </c>
      <c r="G383" t="inlineStr">
        <is>
          <t>EKSJÖ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46257</v>
      </c>
      <c r="F384" t="inlineStr">
        <is>
          <t>JÖNKÖPINGS LÄN</t>
        </is>
      </c>
      <c r="G384" t="inlineStr">
        <is>
          <t>EKSJÖ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46257</v>
      </c>
      <c r="F385" t="inlineStr">
        <is>
          <t>JÖNKÖPINGS LÄN</t>
        </is>
      </c>
      <c r="G385" t="inlineStr">
        <is>
          <t>EKSJÖ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46013-2022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44846</v>
      </c>
      <c r="E386" s="1" t="n">
        <v>46257</v>
      </c>
      <c r="F386" t="inlineStr">
        <is>
          <t>JÖNKÖPINGS LÄN</t>
        </is>
      </c>
      <c r="G386" t="inlineStr">
        <is>
          <t>EKSJÖ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44846</v>
      </c>
      <c r="E387" s="1" t="n">
        <v>46257</v>
      </c>
      <c r="F387" t="inlineStr">
        <is>
          <t>JÖNKÖPINGS LÄN</t>
        </is>
      </c>
      <c r="G387" t="inlineStr">
        <is>
          <t>EKSJÖ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46257</v>
      </c>
      <c r="F388" t="inlineStr">
        <is>
          <t>JÖNKÖPINGS LÄN</t>
        </is>
      </c>
      <c r="G388" t="inlineStr">
        <is>
          <t>EKSJÖ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26222-2024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45468</v>
      </c>
      <c r="E389" s="1" t="n">
        <v>46257</v>
      </c>
      <c r="F389" t="inlineStr">
        <is>
          <t>JÖNKÖPINGS LÄN</t>
        </is>
      </c>
      <c r="G389" t="inlineStr">
        <is>
          <t>EKSJÖ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46257</v>
      </c>
      <c r="F390" t="inlineStr">
        <is>
          <t>JÖNKÖPINGS LÄN</t>
        </is>
      </c>
      <c r="G390" t="inlineStr">
        <is>
          <t>EKSJÖ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46257</v>
      </c>
      <c r="F391" t="inlineStr">
        <is>
          <t>JÖNKÖPINGS LÄN</t>
        </is>
      </c>
      <c r="G391" t="inlineStr">
        <is>
          <t>EKSJÖ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36853-2025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46257</v>
      </c>
      <c r="F392" t="inlineStr">
        <is>
          <t>JÖNKÖPINGS LÄN</t>
        </is>
      </c>
      <c r="G392" t="inlineStr">
        <is>
          <t>EKSJÖ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46257</v>
      </c>
      <c r="F393" t="inlineStr">
        <is>
          <t>JÖNKÖPINGS LÄN</t>
        </is>
      </c>
      <c r="G393" t="inlineStr">
        <is>
          <t>EKSJÖ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22456-2022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44713</v>
      </c>
      <c r="E394" s="1" t="n">
        <v>46257</v>
      </c>
      <c r="F394" t="inlineStr">
        <is>
          <t>JÖNKÖPINGS LÄN</t>
        </is>
      </c>
      <c r="G394" t="inlineStr">
        <is>
          <t>EKSJÖ</t>
        </is>
      </c>
      <c r="H394" t="inlineStr">
        <is>
          <t>Kyrkan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46257</v>
      </c>
      <c r="F395" t="inlineStr">
        <is>
          <t>JÖNKÖPINGS LÄN</t>
        </is>
      </c>
      <c r="G395" t="inlineStr">
        <is>
          <t>EKSJÖ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45875</v>
      </c>
      <c r="E396" s="1" t="n">
        <v>46257</v>
      </c>
      <c r="F396" t="inlineStr">
        <is>
          <t>JÖNKÖPINGS LÄN</t>
        </is>
      </c>
      <c r="G396" t="inlineStr">
        <is>
          <t>EKSJÖ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37169-2025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45875</v>
      </c>
      <c r="E397" s="1" t="n">
        <v>46257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49403-2021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44454</v>
      </c>
      <c r="E398" s="1" t="n">
        <v>46257</v>
      </c>
      <c r="F398" t="inlineStr">
        <is>
          <t>JÖNKÖPINGS LÄN</t>
        </is>
      </c>
      <c r="G398" t="inlineStr">
        <is>
          <t>EKSJÖ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45877</v>
      </c>
      <c r="E399" s="1" t="n">
        <v>46257</v>
      </c>
      <c r="F399" t="inlineStr">
        <is>
          <t>JÖNKÖPINGS LÄN</t>
        </is>
      </c>
      <c r="G399" t="inlineStr">
        <is>
          <t>EKSJÖ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45819</v>
      </c>
      <c r="E400" s="1" t="n">
        <v>46257</v>
      </c>
      <c r="F400" t="inlineStr">
        <is>
          <t>JÖNKÖPINGS LÄN</t>
        </is>
      </c>
      <c r="G400" t="inlineStr">
        <is>
          <t>EKSJÖ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10972-2025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46257</v>
      </c>
      <c r="F401" t="inlineStr">
        <is>
          <t>JÖNKÖPINGS LÄN</t>
        </is>
      </c>
      <c r="G401" t="inlineStr">
        <is>
          <t>EKSJÖ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33971-2025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46257</v>
      </c>
      <c r="F402" t="inlineStr">
        <is>
          <t>JÖNKÖPINGS LÄN</t>
        </is>
      </c>
      <c r="G402" t="inlineStr">
        <is>
          <t>EKSJÖ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45154</v>
      </c>
      <c r="E403" s="1" t="n">
        <v>46257</v>
      </c>
      <c r="F403" t="inlineStr">
        <is>
          <t>JÖNKÖPINGS LÄN</t>
        </is>
      </c>
      <c r="G403" t="inlineStr">
        <is>
          <t>EKSJÖ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45328</v>
      </c>
      <c r="E404" s="1" t="n">
        <v>46257</v>
      </c>
      <c r="F404" t="inlineStr">
        <is>
          <t>JÖNKÖPINGS LÄN</t>
        </is>
      </c>
      <c r="G404" t="inlineStr">
        <is>
          <t>EKSJÖ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45762</v>
      </c>
      <c r="E405" s="1" t="n">
        <v>46257</v>
      </c>
      <c r="F405" t="inlineStr">
        <is>
          <t>JÖNKÖPINGS LÄN</t>
        </is>
      </c>
      <c r="G405" t="inlineStr">
        <is>
          <t>EKSJÖ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46257</v>
      </c>
      <c r="F406" t="inlineStr">
        <is>
          <t>JÖNKÖPINGS LÄN</t>
        </is>
      </c>
      <c r="G406" t="inlineStr">
        <is>
          <t>EKSJÖ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46257</v>
      </c>
      <c r="F407" t="inlineStr">
        <is>
          <t>JÖNKÖPINGS LÄN</t>
        </is>
      </c>
      <c r="G407" t="inlineStr">
        <is>
          <t>EKSJÖ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59734-2022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44908</v>
      </c>
      <c r="E408" s="1" t="n">
        <v>46257</v>
      </c>
      <c r="F408" t="inlineStr">
        <is>
          <t>JÖNKÖPINGS LÄN</t>
        </is>
      </c>
      <c r="G408" t="inlineStr">
        <is>
          <t>EKSJÖ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54292-2023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45232</v>
      </c>
      <c r="E409" s="1" t="n">
        <v>46257</v>
      </c>
      <c r="F409" t="inlineStr">
        <is>
          <t>JÖNKÖPINGS LÄN</t>
        </is>
      </c>
      <c r="G409" t="inlineStr">
        <is>
          <t>EKSJÖ</t>
        </is>
      </c>
      <c r="I409" t="n">
        <v>18.3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9058-2022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44615</v>
      </c>
      <c r="E410" s="1" t="n">
        <v>46257</v>
      </c>
      <c r="F410" t="inlineStr">
        <is>
          <t>JÖNKÖPINGS LÄN</t>
        </is>
      </c>
      <c r="G410" t="inlineStr">
        <is>
          <t>EKSJÖ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46257</v>
      </c>
      <c r="F411" t="inlineStr">
        <is>
          <t>JÖNKÖPINGS LÄN</t>
        </is>
      </c>
      <c r="G411" t="inlineStr">
        <is>
          <t>EKSJÖ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56322-2021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44477</v>
      </c>
      <c r="E412" s="1" t="n">
        <v>46257</v>
      </c>
      <c r="F412" t="inlineStr">
        <is>
          <t>JÖNKÖPINGS LÄN</t>
        </is>
      </c>
      <c r="G412" t="inlineStr">
        <is>
          <t>EKSJÖ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46257</v>
      </c>
      <c r="F413" t="inlineStr">
        <is>
          <t>JÖNKÖPINGS LÄN</t>
        </is>
      </c>
      <c r="G413" t="inlineStr">
        <is>
          <t>EKSJÖ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46257</v>
      </c>
      <c r="F414" t="inlineStr">
        <is>
          <t>JÖNKÖPINGS LÄN</t>
        </is>
      </c>
      <c r="G414" t="inlineStr">
        <is>
          <t>EKSJÖ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44909</v>
      </c>
      <c r="E415" s="1" t="n">
        <v>46257</v>
      </c>
      <c r="F415" t="inlineStr">
        <is>
          <t>JÖNKÖPINGS LÄN</t>
        </is>
      </c>
      <c r="G415" t="inlineStr">
        <is>
          <t>EKSJÖ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53053-2021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44467</v>
      </c>
      <c r="E416" s="1" t="n">
        <v>46257</v>
      </c>
      <c r="F416" t="inlineStr">
        <is>
          <t>JÖNKÖPINGS LÄN</t>
        </is>
      </c>
      <c r="G416" t="inlineStr">
        <is>
          <t>EKSJÖ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38337-2023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45161</v>
      </c>
      <c r="E417" s="1" t="n">
        <v>46257</v>
      </c>
      <c r="F417" t="inlineStr">
        <is>
          <t>JÖNKÖPINGS LÄN</t>
        </is>
      </c>
      <c r="G417" t="inlineStr">
        <is>
          <t>EKSJÖ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25783-2026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46257</v>
      </c>
      <c r="F418" t="inlineStr">
        <is>
          <t>JÖNKÖPINGS LÄN</t>
        </is>
      </c>
      <c r="G418" t="inlineStr">
        <is>
          <t>EKSJÖ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46257</v>
      </c>
      <c r="F419" t="inlineStr">
        <is>
          <t>JÖNKÖPINGS LÄN</t>
        </is>
      </c>
      <c r="G419" t="inlineStr">
        <is>
          <t>EKSJÖ</t>
        </is>
      </c>
      <c r="H419" t="inlineStr">
        <is>
          <t>Kommuner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45224</v>
      </c>
      <c r="E420" s="1" t="n">
        <v>46257</v>
      </c>
      <c r="F420" t="inlineStr">
        <is>
          <t>JÖNKÖPINGS LÄN</t>
        </is>
      </c>
      <c r="G420" t="inlineStr">
        <is>
          <t>EKSJÖ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46257</v>
      </c>
      <c r="F421" t="inlineStr">
        <is>
          <t>JÖNKÖPINGS LÄN</t>
        </is>
      </c>
      <c r="G421" t="inlineStr">
        <is>
          <t>EKSJÖ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56689-2021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44481</v>
      </c>
      <c r="E422" s="1" t="n">
        <v>46257</v>
      </c>
      <c r="F422" t="inlineStr">
        <is>
          <t>JÖNKÖPINGS LÄN</t>
        </is>
      </c>
      <c r="G422" t="inlineStr">
        <is>
          <t>EKSJÖ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45154</v>
      </c>
      <c r="E423" s="1" t="n">
        <v>46257</v>
      </c>
      <c r="F423" t="inlineStr">
        <is>
          <t>JÖNKÖPINGS LÄN</t>
        </is>
      </c>
      <c r="G423" t="inlineStr">
        <is>
          <t>EKSJÖ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46257</v>
      </c>
      <c r="F424" t="inlineStr">
        <is>
          <t>JÖNKÖPINGS LÄN</t>
        </is>
      </c>
      <c r="G424" t="inlineStr">
        <is>
          <t>EKSJÖ</t>
        </is>
      </c>
      <c r="H424" t="inlineStr">
        <is>
          <t>Kyrkan</t>
        </is>
      </c>
      <c r="I424" t="n">
        <v>15.2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7728-2025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46257</v>
      </c>
      <c r="F425" t="inlineStr">
        <is>
          <t>JÖNKÖPINGS LÄN</t>
        </is>
      </c>
      <c r="G425" t="inlineStr">
        <is>
          <t>EKSJÖ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45719</v>
      </c>
      <c r="E426" s="1" t="n">
        <v>46257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44701</v>
      </c>
      <c r="E427" s="1" t="n">
        <v>46257</v>
      </c>
      <c r="F427" t="inlineStr">
        <is>
          <t>JÖNKÖPINGS LÄN</t>
        </is>
      </c>
      <c r="G427" t="inlineStr">
        <is>
          <t>EKSJÖ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26405-2026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46183</v>
      </c>
      <c r="E428" s="1" t="n">
        <v>46257</v>
      </c>
      <c r="F428" t="inlineStr">
        <is>
          <t>JÖNKÖPINGS LÄN</t>
        </is>
      </c>
      <c r="G428" t="inlineStr">
        <is>
          <t>EKSJÖ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38340-2023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46257</v>
      </c>
      <c r="F429" t="inlineStr">
        <is>
          <t>JÖNKÖPINGS LÄN</t>
        </is>
      </c>
      <c r="G429" t="inlineStr">
        <is>
          <t>EKSJÖ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46184</v>
      </c>
      <c r="E430" s="1" t="n">
        <v>46257</v>
      </c>
      <c r="F430" t="inlineStr">
        <is>
          <t>JÖNKÖPINGS LÄN</t>
        </is>
      </c>
      <c r="G430" t="inlineStr">
        <is>
          <t>EKSJÖ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46257</v>
      </c>
      <c r="F431" t="inlineStr">
        <is>
          <t>JÖNKÖPINGS LÄN</t>
        </is>
      </c>
      <c r="G431" t="inlineStr">
        <is>
          <t>EKSJÖ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46257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46257</v>
      </c>
      <c r="F433" t="inlineStr">
        <is>
          <t>JÖNKÖPINGS LÄN</t>
        </is>
      </c>
      <c r="G433" t="inlineStr">
        <is>
          <t>EKSJÖ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46257</v>
      </c>
      <c r="F434" t="inlineStr">
        <is>
          <t>JÖNKÖPINGS LÄN</t>
        </is>
      </c>
      <c r="G434" t="inlineStr">
        <is>
          <t>EKSJÖ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61850-2024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45649</v>
      </c>
      <c r="E435" s="1" t="n">
        <v>46257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46257</v>
      </c>
      <c r="F436" t="inlineStr">
        <is>
          <t>JÖNKÖPINGS LÄN</t>
        </is>
      </c>
      <c r="G436" t="inlineStr">
        <is>
          <t>EKSJÖ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46257</v>
      </c>
      <c r="F437" t="inlineStr">
        <is>
          <t>JÖNKÖPINGS LÄN</t>
        </is>
      </c>
      <c r="G437" t="inlineStr">
        <is>
          <t>EKSJÖ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13881-2026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46098</v>
      </c>
      <c r="E438" s="1" t="n">
        <v>46257</v>
      </c>
      <c r="F438" t="inlineStr">
        <is>
          <t>JÖNKÖPINGS LÄN</t>
        </is>
      </c>
      <c r="G438" t="inlineStr">
        <is>
          <t>EKSJÖ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54916-2023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45236</v>
      </c>
      <c r="E439" s="1" t="n">
        <v>46257</v>
      </c>
      <c r="F439" t="inlineStr">
        <is>
          <t>JÖNKÖPINGS LÄN</t>
        </is>
      </c>
      <c r="G439" t="inlineStr">
        <is>
          <t>EKSJÖ</t>
        </is>
      </c>
      <c r="H439" t="inlineStr">
        <is>
          <t>Övriga Aktiebolag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45537</v>
      </c>
      <c r="E440" s="1" t="n">
        <v>46257</v>
      </c>
      <c r="F440" t="inlineStr">
        <is>
          <t>JÖNKÖPINGS LÄN</t>
        </is>
      </c>
      <c r="G440" t="inlineStr">
        <is>
          <t>EKSJÖ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45278</v>
      </c>
      <c r="E441" s="1" t="n">
        <v>46257</v>
      </c>
      <c r="F441" t="inlineStr">
        <is>
          <t>JÖNKÖPINGS LÄN</t>
        </is>
      </c>
      <c r="G441" t="inlineStr">
        <is>
          <t>EKSJÖ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46257</v>
      </c>
      <c r="F442" t="inlineStr">
        <is>
          <t>JÖNKÖPINGS LÄN</t>
        </is>
      </c>
      <c r="G442" t="inlineStr">
        <is>
          <t>EKSJÖ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46257</v>
      </c>
      <c r="F443" t="inlineStr">
        <is>
          <t>JÖNKÖPINGS LÄN</t>
        </is>
      </c>
      <c r="G443" t="inlineStr">
        <is>
          <t>EKSJÖ</t>
        </is>
      </c>
      <c r="H443" t="inlineStr">
        <is>
          <t>Kommuner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15411-2026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46257</v>
      </c>
      <c r="F444" t="inlineStr">
        <is>
          <t>JÖNKÖPINGS LÄN</t>
        </is>
      </c>
      <c r="G444" t="inlineStr">
        <is>
          <t>EKSJÖ</t>
        </is>
      </c>
      <c r="H444" t="inlineStr">
        <is>
          <t>Kommuner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44966</v>
      </c>
      <c r="E445" s="1" t="n">
        <v>46257</v>
      </c>
      <c r="F445" t="inlineStr">
        <is>
          <t>JÖNKÖPINGS LÄN</t>
        </is>
      </c>
      <c r="G445" t="inlineStr">
        <is>
          <t>EKSJÖ</t>
        </is>
      </c>
      <c r="H445" t="inlineStr">
        <is>
          <t>Kyrkan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46257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46257</v>
      </c>
      <c r="F447" t="inlineStr">
        <is>
          <t>JÖNKÖPINGS LÄN</t>
        </is>
      </c>
      <c r="G447" t="inlineStr">
        <is>
          <t>EKSJÖ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46257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45160</v>
      </c>
      <c r="E449" s="1" t="n">
        <v>46257</v>
      </c>
      <c r="F449" t="inlineStr">
        <is>
          <t>JÖNKÖPINGS LÄN</t>
        </is>
      </c>
      <c r="G449" t="inlineStr">
        <is>
          <t>EKSJÖ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15754-2026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46257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46257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45370</v>
      </c>
      <c r="E452" s="1" t="n">
        <v>46257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21883-2023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46257</v>
      </c>
      <c r="F453" t="inlineStr">
        <is>
          <t>JÖNKÖPINGS LÄN</t>
        </is>
      </c>
      <c r="G453" t="inlineStr">
        <is>
          <t>EKSJÖ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16573-2026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46112</v>
      </c>
      <c r="E454" s="1" t="n">
        <v>46257</v>
      </c>
      <c r="F454" t="inlineStr">
        <is>
          <t>JÖNKÖPINGS LÄN</t>
        </is>
      </c>
      <c r="G454" t="inlineStr">
        <is>
          <t>EKSJÖ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46257</v>
      </c>
      <c r="F455" t="inlineStr">
        <is>
          <t>JÖNKÖPINGS LÄN</t>
        </is>
      </c>
      <c r="G455" t="inlineStr">
        <is>
          <t>EKSJÖ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46257</v>
      </c>
      <c r="F456" t="inlineStr">
        <is>
          <t>JÖNKÖPINGS LÄN</t>
        </is>
      </c>
      <c r="G456" t="inlineStr">
        <is>
          <t>EKSJÖ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46257</v>
      </c>
      <c r="F457" t="inlineStr">
        <is>
          <t>JÖNKÖPINGS LÄN</t>
        </is>
      </c>
      <c r="G457" t="inlineStr">
        <is>
          <t>EKSJÖ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71313-2021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44539</v>
      </c>
      <c r="E458" s="1" t="n">
        <v>46257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16885-2026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46257</v>
      </c>
      <c r="F459" t="inlineStr">
        <is>
          <t>JÖNKÖPINGS LÄN</t>
        </is>
      </c>
      <c r="G459" t="inlineStr">
        <is>
          <t>EKSJÖ</t>
        </is>
      </c>
      <c r="H459" t="inlineStr">
        <is>
          <t>Övriga Aktiebolag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46257</v>
      </c>
      <c r="F460" t="inlineStr">
        <is>
          <t>JÖNKÖPINGS LÄN</t>
        </is>
      </c>
      <c r="G460" t="inlineStr">
        <is>
          <t>EKSJÖ</t>
        </is>
      </c>
      <c r="H460" t="inlineStr">
        <is>
          <t>Övriga Aktiebolag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46257</v>
      </c>
      <c r="F461" t="inlineStr">
        <is>
          <t>JÖNKÖPINGS LÄN</t>
        </is>
      </c>
      <c r="G461" t="inlineStr">
        <is>
          <t>EKSJÖ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59254-2023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45253</v>
      </c>
      <c r="E462" s="1" t="n">
        <v>46257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46257</v>
      </c>
      <c r="F463" t="inlineStr">
        <is>
          <t>JÖNKÖPINGS LÄN</t>
        </is>
      </c>
      <c r="G463" t="inlineStr">
        <is>
          <t>EKSJÖ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46257</v>
      </c>
      <c r="F464" t="inlineStr">
        <is>
          <t>JÖNKÖPINGS LÄN</t>
        </is>
      </c>
      <c r="G464" t="inlineStr">
        <is>
          <t>EKSJÖ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45493-2022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44845</v>
      </c>
      <c r="E465" s="1" t="n">
        <v>46257</v>
      </c>
      <c r="F465" t="inlineStr">
        <is>
          <t>JÖNKÖPINGS LÄN</t>
        </is>
      </c>
      <c r="G465" t="inlineStr">
        <is>
          <t>EKSJÖ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10946-2026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46257</v>
      </c>
      <c r="F466" t="inlineStr">
        <is>
          <t>JÖNKÖPINGS LÄN</t>
        </is>
      </c>
      <c r="G466" t="inlineStr">
        <is>
          <t>EKSJÖ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46257</v>
      </c>
      <c r="F467" t="inlineStr">
        <is>
          <t>JÖNKÖPINGS LÄN</t>
        </is>
      </c>
      <c r="G467" t="inlineStr">
        <is>
          <t>EKSJÖ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33644-2022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44789</v>
      </c>
      <c r="E468" s="1" t="n">
        <v>46257</v>
      </c>
      <c r="F468" t="inlineStr">
        <is>
          <t>JÖNKÖPINGS LÄN</t>
        </is>
      </c>
      <c r="G468" t="inlineStr">
        <is>
          <t>EKSJÖ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46257</v>
      </c>
      <c r="F469" t="inlineStr">
        <is>
          <t>JÖNKÖPINGS LÄN</t>
        </is>
      </c>
      <c r="G469" t="inlineStr">
        <is>
          <t>EKSJÖ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45239</v>
      </c>
      <c r="E470" s="1" t="n">
        <v>46257</v>
      </c>
      <c r="F470" t="inlineStr">
        <is>
          <t>JÖNKÖPINGS LÄN</t>
        </is>
      </c>
      <c r="G470" t="inlineStr">
        <is>
          <t>EKSJÖ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11022-2024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45370</v>
      </c>
      <c r="E471" s="1" t="n">
        <v>46257</v>
      </c>
      <c r="F471" t="inlineStr">
        <is>
          <t>JÖNKÖPINGS LÄN</t>
        </is>
      </c>
      <c r="G471" t="inlineStr">
        <is>
          <t>EKSJÖ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5629-2024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45334</v>
      </c>
      <c r="E472" s="1" t="n">
        <v>46257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45334</v>
      </c>
      <c r="E473" s="1" t="n">
        <v>46257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46257</v>
      </c>
      <c r="F474" t="inlineStr">
        <is>
          <t>JÖNKÖPINGS LÄN</t>
        </is>
      </c>
      <c r="G474" t="inlineStr">
        <is>
          <t>EKSJÖ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46257</v>
      </c>
      <c r="F475" t="inlineStr">
        <is>
          <t>JÖNKÖPINGS LÄN</t>
        </is>
      </c>
      <c r="G475" t="inlineStr">
        <is>
          <t>EKSJÖ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46257</v>
      </c>
      <c r="F476" t="inlineStr">
        <is>
          <t>JÖNKÖPINGS LÄN</t>
        </is>
      </c>
      <c r="G476" t="inlineStr">
        <is>
          <t>EKSJÖ</t>
        </is>
      </c>
      <c r="H476" t="inlineStr">
        <is>
          <t>Övriga Aktiebolag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45107</v>
      </c>
      <c r="E477" s="1" t="n">
        <v>46257</v>
      </c>
      <c r="F477" t="inlineStr">
        <is>
          <t>JÖNKÖPINGS LÄN</t>
        </is>
      </c>
      <c r="G477" t="inlineStr">
        <is>
          <t>EKSJÖ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45204</v>
      </c>
      <c r="E478" s="1" t="n">
        <v>46257</v>
      </c>
      <c r="F478" t="inlineStr">
        <is>
          <t>JÖNKÖPINGS LÄN</t>
        </is>
      </c>
      <c r="G478" t="inlineStr">
        <is>
          <t>EKSJÖ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45714</v>
      </c>
      <c r="E479" s="1" t="n">
        <v>46257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44974</v>
      </c>
      <c r="E480" s="1" t="n">
        <v>46257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41397-2024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45560</v>
      </c>
      <c r="E481" s="1" t="n">
        <v>46257</v>
      </c>
      <c r="F481" t="inlineStr">
        <is>
          <t>JÖNKÖPINGS LÄN</t>
        </is>
      </c>
      <c r="G481" t="inlineStr">
        <is>
          <t>EKSJÖ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45367-2024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45576</v>
      </c>
      <c r="E482" s="1" t="n">
        <v>46257</v>
      </c>
      <c r="F482" t="inlineStr">
        <is>
          <t>JÖNKÖPINGS LÄN</t>
        </is>
      </c>
      <c r="G482" t="inlineStr">
        <is>
          <t>EKSJÖ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40094-2025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45894</v>
      </c>
      <c r="E483" s="1" t="n">
        <v>46257</v>
      </c>
      <c r="F483" t="inlineStr">
        <is>
          <t>JÖNKÖPINGS LÄN</t>
        </is>
      </c>
      <c r="G483" t="inlineStr">
        <is>
          <t>EKSJÖ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59050-2021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44490</v>
      </c>
      <c r="E484" s="1" t="n">
        <v>46257</v>
      </c>
      <c r="F484" t="inlineStr">
        <is>
          <t>JÖNKÖPINGS LÄN</t>
        </is>
      </c>
      <c r="G484" t="inlineStr">
        <is>
          <t>EKSJÖ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45076</v>
      </c>
      <c r="E485" s="1" t="n">
        <v>46257</v>
      </c>
      <c r="F485" t="inlineStr">
        <is>
          <t>JÖNKÖPINGS LÄN</t>
        </is>
      </c>
      <c r="G485" t="inlineStr">
        <is>
          <t>EKSJÖ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28276-2025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45818</v>
      </c>
      <c r="E486" s="1" t="n">
        <v>46257</v>
      </c>
      <c r="F486" t="inlineStr">
        <is>
          <t>JÖNKÖPINGS LÄN</t>
        </is>
      </c>
      <c r="G486" t="inlineStr">
        <is>
          <t>EKSJÖ</t>
        </is>
      </c>
      <c r="H486" t="inlineStr">
        <is>
          <t>Övriga Aktiebolag</t>
        </is>
      </c>
      <c r="I486" t="n">
        <v>6.7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46029</v>
      </c>
      <c r="E487" s="1" t="n">
        <v>46257</v>
      </c>
      <c r="F487" t="inlineStr">
        <is>
          <t>JÖNKÖPINGS LÄN</t>
        </is>
      </c>
      <c r="G487" t="inlineStr">
        <is>
          <t>EKSJÖ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46257</v>
      </c>
      <c r="F488" t="inlineStr">
        <is>
          <t>JÖNKÖPINGS LÄN</t>
        </is>
      </c>
      <c r="G488" t="inlineStr">
        <is>
          <t>EKSJÖ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46247</v>
      </c>
      <c r="E489" s="1" t="n">
        <v>46257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33456-2026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46257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46257</v>
      </c>
      <c r="F491" t="inlineStr">
        <is>
          <t>JÖNKÖPINGS LÄN</t>
        </is>
      </c>
      <c r="G491" t="inlineStr">
        <is>
          <t>EKSJÖ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45372</v>
      </c>
      <c r="E492" s="1" t="n">
        <v>46257</v>
      </c>
      <c r="F492" t="inlineStr">
        <is>
          <t>JÖNKÖPINGS LÄN</t>
        </is>
      </c>
      <c r="G492" t="inlineStr">
        <is>
          <t>EKSJÖ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10345-2022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44623</v>
      </c>
      <c r="E493" s="1" t="n">
        <v>46257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45156</v>
      </c>
      <c r="E494" s="1" t="n">
        <v>46257</v>
      </c>
      <c r="F494" t="inlineStr">
        <is>
          <t>JÖNKÖPINGS LÄN</t>
        </is>
      </c>
      <c r="G494" t="inlineStr">
        <is>
          <t>EKSJÖ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45071</v>
      </c>
      <c r="E495" s="1" t="n">
        <v>46257</v>
      </c>
      <c r="F495" t="inlineStr">
        <is>
          <t>JÖNKÖPINGS LÄN</t>
        </is>
      </c>
      <c r="G495" t="inlineStr">
        <is>
          <t>EKSJÖ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44908</v>
      </c>
      <c r="E496" s="1" t="n">
        <v>46257</v>
      </c>
      <c r="F496" t="inlineStr">
        <is>
          <t>JÖNKÖPINGS LÄN</t>
        </is>
      </c>
      <c r="G496" t="inlineStr">
        <is>
          <t>EKSJÖ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45391</v>
      </c>
      <c r="E497" s="1" t="n">
        <v>46257</v>
      </c>
      <c r="F497" t="inlineStr">
        <is>
          <t>JÖNKÖPINGS LÄN</t>
        </is>
      </c>
      <c r="G497" t="inlineStr">
        <is>
          <t>EKSJÖ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44581</v>
      </c>
      <c r="E498" s="1" t="n">
        <v>46257</v>
      </c>
      <c r="F498" t="inlineStr">
        <is>
          <t>JÖNKÖPINGS LÄN</t>
        </is>
      </c>
      <c r="G498" t="inlineStr">
        <is>
          <t>EKSJÖ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45111</v>
      </c>
      <c r="E499" s="1" t="n">
        <v>46257</v>
      </c>
      <c r="F499" t="inlineStr">
        <is>
          <t>JÖNKÖPINGS LÄN</t>
        </is>
      </c>
      <c r="G499" t="inlineStr">
        <is>
          <t>EKSJÖ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44600</v>
      </c>
      <c r="E500" s="1" t="n">
        <v>46257</v>
      </c>
      <c r="F500" t="inlineStr">
        <is>
          <t>JÖNKÖPINGS LÄN</t>
        </is>
      </c>
      <c r="G500" t="inlineStr">
        <is>
          <t>EKSJÖ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46257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45411</v>
      </c>
      <c r="E502" s="1" t="n">
        <v>46257</v>
      </c>
      <c r="F502" t="inlineStr">
        <is>
          <t>JÖNKÖPINGS LÄN</t>
        </is>
      </c>
      <c r="G502" t="inlineStr">
        <is>
          <t>EKSJÖ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49919-2023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45214</v>
      </c>
      <c r="E503" s="1" t="n">
        <v>46257</v>
      </c>
      <c r="F503" t="inlineStr">
        <is>
          <t>JÖNKÖPINGS LÄN</t>
        </is>
      </c>
      <c r="G503" t="inlineStr">
        <is>
          <t>EKSJÖ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46257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46257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33969-2025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45842</v>
      </c>
      <c r="E506" s="1" t="n">
        <v>46257</v>
      </c>
      <c r="F506" t="inlineStr">
        <is>
          <t>JÖNKÖPINGS LÄN</t>
        </is>
      </c>
      <c r="G506" t="inlineStr">
        <is>
          <t>EKSJÖ</t>
        </is>
      </c>
      <c r="I506" t="n">
        <v>7.9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46209</v>
      </c>
      <c r="E507" s="1" t="n">
        <v>46257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800-2024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45300</v>
      </c>
      <c r="E508" s="1" t="n">
        <v>46257</v>
      </c>
      <c r="F508" t="inlineStr">
        <is>
          <t>JÖNKÖPINGS LÄN</t>
        </is>
      </c>
      <c r="G508" t="inlineStr">
        <is>
          <t>EKSJÖ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28024-2022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44746</v>
      </c>
      <c r="E509" s="1" t="n">
        <v>46257</v>
      </c>
      <c r="F509" t="inlineStr">
        <is>
          <t>JÖNKÖPINGS LÄN</t>
        </is>
      </c>
      <c r="G509" t="inlineStr">
        <is>
          <t>EKSJÖ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46252</v>
      </c>
      <c r="E510" s="1" t="n">
        <v>46257</v>
      </c>
      <c r="F510" t="inlineStr">
        <is>
          <t>JÖNKÖPINGS LÄN</t>
        </is>
      </c>
      <c r="G510" t="inlineStr">
        <is>
          <t>EKSJÖ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46257</v>
      </c>
      <c r="F511" t="inlineStr">
        <is>
          <t>JÖNKÖPINGS LÄN</t>
        </is>
      </c>
      <c r="G511" t="inlineStr">
        <is>
          <t>EKSJÖ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45758</v>
      </c>
      <c r="E512" s="1" t="n">
        <v>46257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45882</v>
      </c>
      <c r="E513" s="1" t="n">
        <v>46257</v>
      </c>
      <c r="F513" t="inlineStr">
        <is>
          <t>JÖNKÖPINGS LÄN</t>
        </is>
      </c>
      <c r="G513" t="inlineStr">
        <is>
          <t>EKSJÖ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38106-2025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45882</v>
      </c>
      <c r="E514" s="1" t="n">
        <v>46257</v>
      </c>
      <c r="F514" t="inlineStr">
        <is>
          <t>JÖNKÖPINGS LÄN</t>
        </is>
      </c>
      <c r="G514" t="inlineStr">
        <is>
          <t>EKSJÖ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56804-2024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45628</v>
      </c>
      <c r="E515" s="1" t="n">
        <v>46257</v>
      </c>
      <c r="F515" t="inlineStr">
        <is>
          <t>JÖNKÖPINGS LÄN</t>
        </is>
      </c>
      <c r="G515" t="inlineStr">
        <is>
          <t>EKSJÖ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46257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58095-2024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46257</v>
      </c>
      <c r="F517" t="inlineStr">
        <is>
          <t>JÖNKÖPINGS LÄN</t>
        </is>
      </c>
      <c r="G517" t="inlineStr">
        <is>
          <t>EKSJÖ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46257</v>
      </c>
      <c r="F518" t="inlineStr">
        <is>
          <t>JÖNKÖPINGS LÄN</t>
        </is>
      </c>
      <c r="G518" t="inlineStr">
        <is>
          <t>EKSJÖ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48740-2023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46257</v>
      </c>
      <c r="F519" t="inlineStr">
        <is>
          <t>JÖNKÖPINGS LÄN</t>
        </is>
      </c>
      <c r="G519" t="inlineStr">
        <is>
          <t>EKSJÖ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51020-2023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45218</v>
      </c>
      <c r="E520" s="1" t="n">
        <v>46257</v>
      </c>
      <c r="F520" t="inlineStr">
        <is>
          <t>JÖNKÖPINGS LÄN</t>
        </is>
      </c>
      <c r="G520" t="inlineStr">
        <is>
          <t>EKSJÖ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45334</v>
      </c>
      <c r="E521" s="1" t="n">
        <v>46257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46255</v>
      </c>
      <c r="E522" s="1" t="n">
        <v>46257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46257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46257</v>
      </c>
      <c r="F524" t="inlineStr">
        <is>
          <t>JÖNKÖPINGS LÄN</t>
        </is>
      </c>
      <c r="G524" t="inlineStr">
        <is>
          <t>EKSJÖ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46257</v>
      </c>
      <c r="F525" t="inlineStr">
        <is>
          <t>JÖNKÖPINGS LÄN</t>
        </is>
      </c>
      <c r="G525" t="inlineStr">
        <is>
          <t>EKSJÖ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46257</v>
      </c>
      <c r="F526" t="inlineStr">
        <is>
          <t>JÖNKÖPINGS LÄN</t>
        </is>
      </c>
      <c r="G526" t="inlineStr">
        <is>
          <t>EKSJÖ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46577-2022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44848</v>
      </c>
      <c r="E527" s="1" t="n">
        <v>46257</v>
      </c>
      <c r="F527" t="inlineStr">
        <is>
          <t>JÖNKÖPINGS LÄN</t>
        </is>
      </c>
      <c r="G527" t="inlineStr">
        <is>
          <t>EKSJÖ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34352-2026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46257</v>
      </c>
      <c r="F528" t="inlineStr">
        <is>
          <t>JÖNKÖPINGS LÄN</t>
        </is>
      </c>
      <c r="G528" t="inlineStr">
        <is>
          <t>EKSJÖ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46257</v>
      </c>
      <c r="F529" t="inlineStr">
        <is>
          <t>JÖNKÖPINGS LÄN</t>
        </is>
      </c>
      <c r="G529" t="inlineStr">
        <is>
          <t>EKSJÖ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46255</v>
      </c>
      <c r="E530" s="1" t="n">
        <v>46257</v>
      </c>
      <c r="F530" t="inlineStr">
        <is>
          <t>JÖNKÖPINGS LÄN</t>
        </is>
      </c>
      <c r="G530" t="inlineStr">
        <is>
          <t>EKSJÖ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46257</v>
      </c>
      <c r="F531" t="inlineStr">
        <is>
          <t>JÖNKÖPINGS LÄN</t>
        </is>
      </c>
      <c r="G531" t="inlineStr">
        <is>
          <t>EKSJÖ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33436-2026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46247</v>
      </c>
      <c r="E532" s="1" t="n">
        <v>46257</v>
      </c>
      <c r="F532" t="inlineStr">
        <is>
          <t>JÖNKÖPINGS LÄN</t>
        </is>
      </c>
      <c r="G532" t="inlineStr">
        <is>
          <t>EKSJÖ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31331-2026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46257</v>
      </c>
      <c r="F533" t="inlineStr">
        <is>
          <t>JÖNKÖPINGS LÄN</t>
        </is>
      </c>
      <c r="G533" t="inlineStr">
        <is>
          <t>EKSJÖ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9292-2025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45714</v>
      </c>
      <c r="E534" s="1" t="n">
        <v>46257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46257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45715</v>
      </c>
      <c r="E536" s="1" t="n">
        <v>46257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45715</v>
      </c>
      <c r="E537" s="1" t="n">
        <v>46257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9404-2025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46257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47204-2022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44851</v>
      </c>
      <c r="E539" s="1" t="n">
        <v>46257</v>
      </c>
      <c r="F539" t="inlineStr">
        <is>
          <t>JÖNKÖPINGS LÄN</t>
        </is>
      </c>
      <c r="G539" t="inlineStr">
        <is>
          <t>EKSJÖ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58631-2023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46257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8056-2025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45707</v>
      </c>
      <c r="E541" s="1" t="n">
        <v>46257</v>
      </c>
      <c r="F541" t="inlineStr">
        <is>
          <t>JÖNKÖPINGS LÄN</t>
        </is>
      </c>
      <c r="G541" t="inlineStr">
        <is>
          <t>EKSJÖ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50516-2025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45945</v>
      </c>
      <c r="E542" s="1" t="n">
        <v>46257</v>
      </c>
      <c r="F542" t="inlineStr">
        <is>
          <t>JÖNKÖPINGS LÄN</t>
        </is>
      </c>
      <c r="G542" t="inlineStr">
        <is>
          <t>EKSJÖ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45329</v>
      </c>
      <c r="E543" s="1" t="n">
        <v>46257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46257</v>
      </c>
      <c r="F544" t="inlineStr">
        <is>
          <t>JÖNKÖPINGS LÄN</t>
        </is>
      </c>
      <c r="G544" t="inlineStr">
        <is>
          <t>EKSJÖ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11446-2023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44991</v>
      </c>
      <c r="E545" s="1" t="n">
        <v>46257</v>
      </c>
      <c r="F545" t="inlineStr">
        <is>
          <t>JÖNKÖPINGS LÄN</t>
        </is>
      </c>
      <c r="G545" t="inlineStr">
        <is>
          <t>EKSJÖ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46257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45334</v>
      </c>
      <c r="E547" s="1" t="n">
        <v>46257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44939</v>
      </c>
      <c r="E548" s="1" t="n">
        <v>46257</v>
      </c>
      <c r="F548" t="inlineStr">
        <is>
          <t>JÖNKÖPINGS LÄN</t>
        </is>
      </c>
      <c r="G548" t="inlineStr">
        <is>
          <t>EKSJÖ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41816-2024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45561</v>
      </c>
      <c r="E549" s="1" t="n">
        <v>46257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23183-2022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44719</v>
      </c>
      <c r="E550" s="1" t="n">
        <v>46257</v>
      </c>
      <c r="F550" t="inlineStr">
        <is>
          <t>JÖNKÖPINGS LÄN</t>
        </is>
      </c>
      <c r="G550" t="inlineStr">
        <is>
          <t>EKSJÖ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46257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45762</v>
      </c>
      <c r="E552" s="1" t="n">
        <v>46257</v>
      </c>
      <c r="F552" t="inlineStr">
        <is>
          <t>JÖNKÖPINGS LÄN</t>
        </is>
      </c>
      <c r="G552" t="inlineStr">
        <is>
          <t>EKSJÖ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45671</v>
      </c>
      <c r="E553" s="1" t="n">
        <v>46257</v>
      </c>
      <c r="F553" t="inlineStr">
        <is>
          <t>JÖNKÖPINGS LÄN</t>
        </is>
      </c>
      <c r="G553" t="inlineStr">
        <is>
          <t>EKSJÖ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8165-2022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44609</v>
      </c>
      <c r="E554" s="1" t="n">
        <v>46257</v>
      </c>
      <c r="F554" t="inlineStr">
        <is>
          <t>JÖNKÖPINGS LÄN</t>
        </is>
      </c>
      <c r="G554" t="inlineStr">
        <is>
          <t>EKSJÖ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46257</v>
      </c>
      <c r="F555" t="inlineStr">
        <is>
          <t>JÖNKÖPINGS LÄN</t>
        </is>
      </c>
      <c r="G555" t="inlineStr">
        <is>
          <t>EKSJÖ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63439-2025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46013</v>
      </c>
      <c r="E556" s="1" t="n">
        <v>46257</v>
      </c>
      <c r="F556" t="inlineStr">
        <is>
          <t>JÖNKÖPINGS LÄN</t>
        </is>
      </c>
      <c r="G556" t="inlineStr">
        <is>
          <t>EKSJÖ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12399-2023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44999</v>
      </c>
      <c r="E557" s="1" t="n">
        <v>46257</v>
      </c>
      <c r="F557" t="inlineStr">
        <is>
          <t>JÖNKÖPINGS LÄN</t>
        </is>
      </c>
      <c r="G557" t="inlineStr">
        <is>
          <t>EKSJÖ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44999</v>
      </c>
      <c r="E558" s="1" t="n">
        <v>46257</v>
      </c>
      <c r="F558" t="inlineStr">
        <is>
          <t>JÖNKÖPINGS LÄN</t>
        </is>
      </c>
      <c r="G558" t="inlineStr">
        <is>
          <t>EKSJÖ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50275-2023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45209</v>
      </c>
      <c r="E559" s="1" t="n">
        <v>46257</v>
      </c>
      <c r="F559" t="inlineStr">
        <is>
          <t>JÖNKÖPINGS LÄN</t>
        </is>
      </c>
      <c r="G559" t="inlineStr">
        <is>
          <t>EKSJÖ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19497-2025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46257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46257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46257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9.6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45779</v>
      </c>
      <c r="E563" s="1" t="n">
        <v>46257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46257</v>
      </c>
      <c r="F564" t="inlineStr">
        <is>
          <t>JÖNKÖPINGS LÄN</t>
        </is>
      </c>
      <c r="G564" t="inlineStr">
        <is>
          <t>EKSJÖ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60920-2025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45996</v>
      </c>
      <c r="E565" s="1" t="n">
        <v>46257</v>
      </c>
      <c r="F565" t="inlineStr">
        <is>
          <t>JÖNKÖPINGS LÄN</t>
        </is>
      </c>
      <c r="G565" t="inlineStr">
        <is>
          <t>EKSJÖ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23309-2026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46257</v>
      </c>
      <c r="F566" t="inlineStr">
        <is>
          <t>JÖNKÖPINGS LÄN</t>
        </is>
      </c>
      <c r="G566" t="inlineStr">
        <is>
          <t>EKSJÖ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7723-2025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46257</v>
      </c>
      <c r="F567" t="inlineStr">
        <is>
          <t>JÖNKÖPINGS LÄN</t>
        </is>
      </c>
      <c r="G567" t="inlineStr">
        <is>
          <t>EKSJÖ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46163</v>
      </c>
      <c r="E568" s="1" t="n">
        <v>46257</v>
      </c>
      <c r="F568" t="inlineStr">
        <is>
          <t>JÖNKÖPINGS LÄN</t>
        </is>
      </c>
      <c r="G568" t="inlineStr">
        <is>
          <t>EKSJÖ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46257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7585-2025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45705</v>
      </c>
      <c r="E570" s="1" t="n">
        <v>46257</v>
      </c>
      <c r="F570" t="inlineStr">
        <is>
          <t>JÖNKÖPINGS LÄN</t>
        </is>
      </c>
      <c r="G570" t="inlineStr">
        <is>
          <t>EKSJÖ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42469-2023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45175</v>
      </c>
      <c r="E571" s="1" t="n">
        <v>46257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23451-2026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46163</v>
      </c>
      <c r="E572" s="1" t="n">
        <v>46257</v>
      </c>
      <c r="F572" t="inlineStr">
        <is>
          <t>JÖNKÖPINGS LÄN</t>
        </is>
      </c>
      <c r="G572" t="inlineStr">
        <is>
          <t>EKSJÖ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35253-2024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46257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46257</v>
      </c>
      <c r="F574" t="inlineStr">
        <is>
          <t>JÖNKÖPINGS LÄN</t>
        </is>
      </c>
      <c r="G574" t="inlineStr">
        <is>
          <t>EKSJÖ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46257</v>
      </c>
      <c r="F575" t="inlineStr">
        <is>
          <t>JÖNKÖPINGS LÄN</t>
        </is>
      </c>
      <c r="G575" t="inlineStr">
        <is>
          <t>EKSJÖ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22987-2025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45790</v>
      </c>
      <c r="E576" s="1" t="n">
        <v>46257</v>
      </c>
      <c r="F576" t="inlineStr">
        <is>
          <t>JÖNKÖPINGS LÄN</t>
        </is>
      </c>
      <c r="G576" t="inlineStr">
        <is>
          <t>EKSJÖ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45743-2024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45579</v>
      </c>
      <c r="E577" s="1" t="n">
        <v>46257</v>
      </c>
      <c r="F577" t="inlineStr">
        <is>
          <t>JÖNKÖPINGS LÄN</t>
        </is>
      </c>
      <c r="G577" t="inlineStr">
        <is>
          <t>EKSJÖ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46257</v>
      </c>
      <c r="F578" t="inlineStr">
        <is>
          <t>JÖNKÖPINGS LÄN</t>
        </is>
      </c>
      <c r="G578" t="inlineStr">
        <is>
          <t>EKSJÖ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46257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46257</v>
      </c>
      <c r="F580" t="inlineStr">
        <is>
          <t>JÖNKÖPINGS LÄN</t>
        </is>
      </c>
      <c r="G580" t="inlineStr">
        <is>
          <t>EKSJÖ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23488-2026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46163</v>
      </c>
      <c r="E581" s="1" t="n">
        <v>46257</v>
      </c>
      <c r="F581" t="inlineStr">
        <is>
          <t>JÖNKÖPINGS LÄN</t>
        </is>
      </c>
      <c r="G581" t="inlineStr">
        <is>
          <t>EKSJÖ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46257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46257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14813-2025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45743</v>
      </c>
      <c r="E584" s="1" t="n">
        <v>46257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14382-2025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45741</v>
      </c>
      <c r="E585" s="1" t="n">
        <v>46257</v>
      </c>
      <c r="F585" t="inlineStr">
        <is>
          <t>JÖNKÖPINGS LÄN</t>
        </is>
      </c>
      <c r="G585" t="inlineStr">
        <is>
          <t>EKSJÖ</t>
        </is>
      </c>
      <c r="H585" t="inlineStr">
        <is>
          <t>Sveaskog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11345-2025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45726</v>
      </c>
      <c r="E586" s="1" t="n">
        <v>46257</v>
      </c>
      <c r="F586" t="inlineStr">
        <is>
          <t>JÖNKÖPINGS LÄN</t>
        </is>
      </c>
      <c r="G586" t="inlineStr">
        <is>
          <t>EKSJÖ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46257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46257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46257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46257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46257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46257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46257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46257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46257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46257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46257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46257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46257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46257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46257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46257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46257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46257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46257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46257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46257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46257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46257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46257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1412-2026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46154</v>
      </c>
      <c r="E611" s="1" t="n">
        <v>46257</v>
      </c>
      <c r="F611" t="inlineStr">
        <is>
          <t>JÖNKÖPINGS LÄN</t>
        </is>
      </c>
      <c r="G611" t="inlineStr">
        <is>
          <t>EKSJÖ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46257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46257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1825-2026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46257</v>
      </c>
      <c r="F614" t="inlineStr">
        <is>
          <t>JÖNKÖPINGS LÄN</t>
        </is>
      </c>
      <c r="G614" t="inlineStr">
        <is>
          <t>EKSJÖ</t>
        </is>
      </c>
      <c r="I614" t="n">
        <v>14.8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46257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1842-2026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46153</v>
      </c>
      <c r="E616" s="1" t="n">
        <v>46257</v>
      </c>
      <c r="F616" t="inlineStr">
        <is>
          <t>JÖNKÖPINGS LÄN</t>
        </is>
      </c>
      <c r="G616" t="inlineStr">
        <is>
          <t>EKSJÖ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2026-08-23T01:52:49Z</dcterms:created>
  <dcterms:modified xmlns:dcterms="http://purl.org/dc/terms/" xmlns:xsi="http://www.w3.org/2001/XMLSchema-instance" xsi:type="dcterms:W3CDTF">2026-08-23T01:52:49Z</dcterms:modified>
</cp:coreProperties>
</file>