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46271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46271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46271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46271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46271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46271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46271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46271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46271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46271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46271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46271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46271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46271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46271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46271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46271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46271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46271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46271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46271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46271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46271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46271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46271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5128-2024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45330</v>
      </c>
      <c r="E27" s="1" t="n">
        <v>46271</v>
      </c>
      <c r="F27" t="inlineStr">
        <is>
          <t>JÖNKÖPINGS LÄN</t>
        </is>
      </c>
      <c r="G27" t="inlineStr">
        <is>
          <t>EKSJÖ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5128-2024 artfynd.xlsx", "A 5128-2024")</f>
        <v/>
      </c>
      <c r="X27">
        <f>HYPERLINK("https://klasma.github.io/Logging_0686/kartor/A 5128-2024 karta.png", "A 5128-2024")</f>
        <v/>
      </c>
      <c r="Y27">
        <f>HYPERLINK("https://klasma.github.io/Logging_0686/kartor_geotiff/A 5128-2024 georefererad karta.tif", "A 5128-2024")</f>
        <v/>
      </c>
      <c r="AA27">
        <f>HYPERLINK("https://klasma.github.io/Logging_0686/klagomål/A 5128-2024 FSC-klagomål.docx", "A 5128-2024")</f>
        <v/>
      </c>
      <c r="AB27">
        <f>HYPERLINK("https://klasma.github.io/Logging_0686/klagomålsmail/A 5128-2024 FSC-klagomål mail.docx", "A 5128-2024")</f>
        <v/>
      </c>
      <c r="AC27">
        <f>HYPERLINK("https://klasma.github.io/Logging_0686/tillsyn/A 5128-2024 tillsynsbegäran.docx", "A 5128-2024")</f>
        <v/>
      </c>
      <c r="AD27">
        <f>HYPERLINK("https://klasma.github.io/Logging_0686/tillsynsmail/A 5128-2024 tillsynsbegäran mail.docx", "A 5128-2024")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46271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46271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1073-2025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46271</v>
      </c>
      <c r="F30" t="inlineStr">
        <is>
          <t>JÖNKÖPINGS LÄN</t>
        </is>
      </c>
      <c r="G30" t="inlineStr">
        <is>
          <t>EKSJÖ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Myggblomster</t>
        </is>
      </c>
      <c r="W30">
        <f>HYPERLINK("https://klasma.github.io/Logging_0686/artfynd/A 1073-2025 artfynd.xlsx", "A 1073-2025")</f>
        <v/>
      </c>
      <c r="X30">
        <f>HYPERLINK("https://klasma.github.io/Logging_0686/kartor/A 1073-2025 karta.png", "A 1073-2025")</f>
        <v/>
      </c>
      <c r="Y30">
        <f>HYPERLINK("https://klasma.github.io/Logging_0686/kartor_geotiff/A 1073-2025 georefererad karta.tif", "A 1073-2025")</f>
        <v/>
      </c>
      <c r="AA30">
        <f>HYPERLINK("https://klasma.github.io/Logging_0686/klagomål/A 1073-2025 FSC-klagomål.docx", "A 1073-2025")</f>
        <v/>
      </c>
      <c r="AB30">
        <f>HYPERLINK("https://klasma.github.io/Logging_0686/klagomålsmail/A 1073-2025 FSC-klagomål mail.docx", "A 1073-2025")</f>
        <v/>
      </c>
      <c r="AC30">
        <f>HYPERLINK("https://klasma.github.io/Logging_0686/tillsyn/A 1073-2025 tillsynsbegäran.docx", "A 1073-2025")</f>
        <v/>
      </c>
      <c r="AD30">
        <f>HYPERLINK("https://klasma.github.io/Logging_0686/tillsynsmail/A 1073-2025 tillsynsbegäran mail.docx", "A 1073-2025")</f>
        <v/>
      </c>
    </row>
    <row r="31" ht="15" customHeight="1">
      <c r="A31" t="inlineStr">
        <is>
          <t>A 41746-2023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45176</v>
      </c>
      <c r="E31" s="1" t="n">
        <v>46271</v>
      </c>
      <c r="F31" t="inlineStr">
        <is>
          <t>JÖNKÖPINGS LÄN</t>
        </is>
      </c>
      <c r="G31" t="inlineStr">
        <is>
          <t>EKSJÖ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vattensalamander</t>
        </is>
      </c>
      <c r="W31">
        <f>HYPERLINK("https://klasma.github.io/Logging_0686/artfynd/A 41746-2023 artfynd.xlsx", "A 41746-2023")</f>
        <v/>
      </c>
      <c r="X31">
        <f>HYPERLINK("https://klasma.github.io/Logging_0686/kartor/A 41746-2023 karta.png", "A 41746-2023")</f>
        <v/>
      </c>
      <c r="Y31">
        <f>HYPERLINK("https://klasma.github.io/Logging_0686/kartor_geotiff/A 41746-2023 georefererad karta.tif", "A 41746-2023")</f>
        <v/>
      </c>
      <c r="AA31">
        <f>HYPERLINK("https://klasma.github.io/Logging_0686/klagomål/A 41746-2023 FSC-klagomål.docx", "A 41746-2023")</f>
        <v/>
      </c>
      <c r="AB31">
        <f>HYPERLINK("https://klasma.github.io/Logging_0686/klagomålsmail/A 41746-2023 FSC-klagomål mail.docx", "A 41746-2023")</f>
        <v/>
      </c>
      <c r="AC31">
        <f>HYPERLINK("https://klasma.github.io/Logging_0686/tillsyn/A 41746-2023 tillsynsbegäran.docx", "A 41746-2023")</f>
        <v/>
      </c>
      <c r="AD31">
        <f>HYPERLINK("https://klasma.github.io/Logging_0686/tillsynsmail/A 41746-2023 tillsynsbegäran mail.docx", "A 41746-2023")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46271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47729-2022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44854</v>
      </c>
      <c r="E33" s="1" t="n">
        <v>46271</v>
      </c>
      <c r="F33" t="inlineStr">
        <is>
          <t>JÖNKÖPINGS LÄN</t>
        </is>
      </c>
      <c r="G33" t="inlineStr">
        <is>
          <t>EKSJÖ</t>
        </is>
      </c>
      <c r="H33" t="inlineStr">
        <is>
          <t>Övriga Aktiebolag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Tibast</t>
        </is>
      </c>
      <c r="W33">
        <f>HYPERLINK("https://klasma.github.io/Logging_0686/artfynd/A 47729-2022 artfynd.xlsx", "A 47729-2022")</f>
        <v/>
      </c>
      <c r="X33">
        <f>HYPERLINK("https://klasma.github.io/Logging_0686/kartor/A 47729-2022 karta.png", "A 47729-2022")</f>
        <v/>
      </c>
      <c r="Y33">
        <f>HYPERLINK("https://klasma.github.io/Logging_0686/kartor_geotiff/A 47729-2022 georefererad karta.tif", "A 47729-2022")</f>
        <v/>
      </c>
      <c r="AA33">
        <f>HYPERLINK("https://klasma.github.io/Logging_0686/klagomål/A 47729-2022 FSC-klagomål.docx", "A 47729-2022")</f>
        <v/>
      </c>
      <c r="AB33">
        <f>HYPERLINK("https://klasma.github.io/Logging_0686/klagomålsmail/A 47729-2022 FSC-klagomål mail.docx", "A 47729-2022")</f>
        <v/>
      </c>
      <c r="AC33">
        <f>HYPERLINK("https://klasma.github.io/Logging_0686/tillsyn/A 47729-2022 tillsynsbegäran.docx", "A 47729-2022")</f>
        <v/>
      </c>
      <c r="AD33">
        <f>HYPERLINK("https://klasma.github.io/Logging_0686/tillsynsmail/A 47729-2022 tillsynsbegäran mail.docx", "A 47729-2022")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46271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10726-2024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45369</v>
      </c>
      <c r="E35" s="1" t="n">
        <v>46271</v>
      </c>
      <c r="F35" t="inlineStr">
        <is>
          <t>JÖNKÖPINGS LÄN</t>
        </is>
      </c>
      <c r="G35" t="inlineStr">
        <is>
          <t>EKSJÖ</t>
        </is>
      </c>
      <c r="I35" t="n">
        <v>0.8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Sotvaxskivling</t>
        </is>
      </c>
      <c r="W35">
        <f>HYPERLINK("https://klasma.github.io/Logging_0686/artfynd/A 10726-2024 artfynd.xlsx", "A 10726-2024")</f>
        <v/>
      </c>
      <c r="X35">
        <f>HYPERLINK("https://klasma.github.io/Logging_0686/kartor/A 10726-2024 karta.png", "A 10726-2024")</f>
        <v/>
      </c>
      <c r="Y35">
        <f>HYPERLINK("https://klasma.github.io/Logging_0686/kartor_geotiff/A 10726-2024 georefererad karta.tif", "A 10726-2024")</f>
        <v/>
      </c>
      <c r="AA35">
        <f>HYPERLINK("https://klasma.github.io/Logging_0686/klagomål/A 10726-2024 FSC-klagomål.docx", "A 10726-2024")</f>
        <v/>
      </c>
      <c r="AB35">
        <f>HYPERLINK("https://klasma.github.io/Logging_0686/klagomålsmail/A 10726-2024 FSC-klagomål mail.docx", "A 10726-2024")</f>
        <v/>
      </c>
      <c r="AC35">
        <f>HYPERLINK("https://klasma.github.io/Logging_0686/tillsyn/A 10726-2024 tillsynsbegäran.docx", "A 10726-2024")</f>
        <v/>
      </c>
      <c r="AD35">
        <f>HYPERLINK("https://klasma.github.io/Logging_0686/tillsynsmail/A 10726-2024 tillsynsbegäran mail.docx", "A 10726-2024")</f>
        <v/>
      </c>
    </row>
    <row r="36" ht="15" customHeight="1">
      <c r="A36" t="inlineStr">
        <is>
          <t>A 15419-2026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46106</v>
      </c>
      <c r="E36" s="1" t="n">
        <v>46271</v>
      </c>
      <c r="F36" t="inlineStr">
        <is>
          <t>JÖNKÖPINGS LÄN</t>
        </is>
      </c>
      <c r="G36" t="inlineStr">
        <is>
          <t>EKSJÖ</t>
        </is>
      </c>
      <c r="H36" t="inlineStr">
        <is>
          <t>Kommuner</t>
        </is>
      </c>
      <c r="I36" t="n">
        <v>4.1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HYPERLINK("https://klasma.github.io/Logging_0686/artfynd/A 15419-2026 artfynd.xlsx", "A 15419-2026")</f>
        <v/>
      </c>
      <c r="X36">
        <f>HYPERLINK("https://klasma.github.io/Logging_0686/kartor/A 15419-2026 karta.png", "A 15419-2026")</f>
        <v/>
      </c>
      <c r="Y36">
        <f>HYPERLINK("https://klasma.github.io/Logging_0686/kartor_geotiff/A 15419-2026 georefererad karta.tif", "A 15419-2026")</f>
        <v/>
      </c>
      <c r="AA36">
        <f>HYPERLINK("https://klasma.github.io/Logging_0686/klagomål/A 15419-2026 FSC-klagomål.docx", "A 15419-2026")</f>
        <v/>
      </c>
      <c r="AB36">
        <f>HYPERLINK("https://klasma.github.io/Logging_0686/klagomålsmail/A 15419-2026 FSC-klagomål mail.docx", "A 15419-2026")</f>
        <v/>
      </c>
      <c r="AC36">
        <f>HYPERLINK("https://klasma.github.io/Logging_0686/tillsyn/A 15419-2026 tillsynsbegäran.docx", "A 15419-2026")</f>
        <v/>
      </c>
      <c r="AD36">
        <f>HYPERLINK("https://klasma.github.io/Logging_0686/tillsynsmail/A 15419-2026 tillsynsbegäran mail.docx", "A 15419-2026")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46271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46271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49412-2021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46271</v>
      </c>
      <c r="F39" t="inlineStr">
        <is>
          <t>JÖNKÖPINGS LÄN</t>
        </is>
      </c>
      <c r="G39" t="inlineStr">
        <is>
          <t>EKSJÖ</t>
        </is>
      </c>
      <c r="I39" t="n">
        <v>5.3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Ladusvala</t>
        </is>
      </c>
      <c r="W39">
        <f>HYPERLINK("https://klasma.github.io/Logging_0686/artfynd/A 49412-2021 artfynd.xlsx", "A 49412-2021")</f>
        <v/>
      </c>
      <c r="X39">
        <f>HYPERLINK("https://klasma.github.io/Logging_0686/kartor/A 49412-2021 karta.png", "A 49412-2021")</f>
        <v/>
      </c>
      <c r="Y39">
        <f>HYPERLINK("https://klasma.github.io/Logging_0686/kartor_geotiff/A 49412-2021 georefererad karta.tif", "A 49412-2021")</f>
        <v/>
      </c>
      <c r="AA39">
        <f>HYPERLINK("https://klasma.github.io/Logging_0686/klagomål/A 49412-2021 FSC-klagomål.docx", "A 49412-2021")</f>
        <v/>
      </c>
      <c r="AB39">
        <f>HYPERLINK("https://klasma.github.io/Logging_0686/klagomålsmail/A 49412-2021 FSC-klagomål mail.docx", "A 49412-2021")</f>
        <v/>
      </c>
      <c r="AC39">
        <f>HYPERLINK("https://klasma.github.io/Logging_0686/tillsyn/A 49412-2021 tillsynsbegäran.docx", "A 49412-2021")</f>
        <v/>
      </c>
      <c r="AD39">
        <f>HYPERLINK("https://klasma.github.io/Logging_0686/tillsynsmail/A 49412-2021 tillsynsbegäran mail.docx", "A 49412-2021")</f>
        <v/>
      </c>
    </row>
    <row r="40" ht="15" customHeight="1">
      <c r="A40" t="inlineStr">
        <is>
          <t>A 23519-2026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46163</v>
      </c>
      <c r="E40" s="1" t="n">
        <v>46271</v>
      </c>
      <c r="F40" t="inlineStr">
        <is>
          <t>JÖNKÖPINGS LÄN</t>
        </is>
      </c>
      <c r="G40" t="inlineStr">
        <is>
          <t>EKSJÖ</t>
        </is>
      </c>
      <c r="I40" t="n">
        <v>0.9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Svartvit flugsnappare</t>
        </is>
      </c>
      <c r="W40">
        <f>HYPERLINK("https://klasma.github.io/Logging_0686/artfynd/A 23519-2026 artfynd.xlsx", "A 23519-2026")</f>
        <v/>
      </c>
      <c r="X40">
        <f>HYPERLINK("https://klasma.github.io/Logging_0686/kartor/A 23519-2026 karta.png", "A 23519-2026")</f>
        <v/>
      </c>
      <c r="Y40">
        <f>HYPERLINK("https://klasma.github.io/Logging_0686/kartor_geotiff/A 23519-2026 georefererad karta.tif", "A 23519-2026")</f>
        <v/>
      </c>
      <c r="AA40">
        <f>HYPERLINK("https://klasma.github.io/Logging_0686/klagomål/A 23519-2026 FSC-klagomål.docx", "A 23519-2026")</f>
        <v/>
      </c>
      <c r="AB40">
        <f>HYPERLINK("https://klasma.github.io/Logging_0686/klagomålsmail/A 23519-2026 FSC-klagomål mail.docx", "A 23519-2026")</f>
        <v/>
      </c>
      <c r="AC40">
        <f>HYPERLINK("https://klasma.github.io/Logging_0686/tillsyn/A 23519-2026 tillsynsbegäran.docx", "A 23519-2026")</f>
        <v/>
      </c>
      <c r="AD40">
        <f>HYPERLINK("https://klasma.github.io/Logging_0686/tillsynsmail/A 23519-2026 tillsynsbegäran mail.docx", "A 23519-2026")</f>
        <v/>
      </c>
    </row>
    <row r="41" ht="15" customHeight="1">
      <c r="A41" t="inlineStr">
        <is>
          <t>A 23536-2026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46271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Spindelört</t>
        </is>
      </c>
      <c r="W41">
        <f>HYPERLINK("https://klasma.github.io/Logging_0686/artfynd/A 23536-2026 artfynd.xlsx", "A 23536-2026")</f>
        <v/>
      </c>
      <c r="X41">
        <f>HYPERLINK("https://klasma.github.io/Logging_0686/kartor/A 23536-2026 karta.png", "A 23536-2026")</f>
        <v/>
      </c>
      <c r="Y41">
        <f>HYPERLINK("https://klasma.github.io/Logging_0686/kartor_geotiff/A 23536-2026 georefererad karta.tif", "A 23536-2026")</f>
        <v/>
      </c>
      <c r="AA41">
        <f>HYPERLINK("https://klasma.github.io/Logging_0686/klagomål/A 23536-2026 FSC-klagomål.docx", "A 23536-2026")</f>
        <v/>
      </c>
      <c r="AB41">
        <f>HYPERLINK("https://klasma.github.io/Logging_0686/klagomålsmail/A 23536-2026 FSC-klagomål mail.docx", "A 23536-2026")</f>
        <v/>
      </c>
      <c r="AC41">
        <f>HYPERLINK("https://klasma.github.io/Logging_0686/tillsyn/A 23536-2026 tillsynsbegäran.docx", "A 23536-2026")</f>
        <v/>
      </c>
      <c r="AD41">
        <f>HYPERLINK("https://klasma.github.io/Logging_0686/tillsynsmail/A 23536-2026 tillsynsbegäran mail.docx", "A 23536-2026")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46271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46271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46271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46271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46271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46271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46271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46271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46271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46271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46271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46271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46271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46271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46271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46271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46271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46271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46271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46271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46271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46271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46271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46271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46271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46271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60915-2021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46271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46271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46271</v>
      </c>
      <c r="F70" t="inlineStr">
        <is>
          <t>JÖNKÖPINGS LÄN</t>
        </is>
      </c>
      <c r="G70" t="inlineStr">
        <is>
          <t>EKSJÖ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46271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52294-2022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44873</v>
      </c>
      <c r="E72" s="1" t="n">
        <v>46271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46271</v>
      </c>
      <c r="F73" t="inlineStr">
        <is>
          <t>JÖNKÖPINGS LÄN</t>
        </is>
      </c>
      <c r="G73" t="inlineStr">
        <is>
          <t>EKSJÖ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46271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46271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46271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46271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26454-2022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44739</v>
      </c>
      <c r="E78" s="1" t="n">
        <v>46271</v>
      </c>
      <c r="F78" t="inlineStr">
        <is>
          <t>JÖNKÖPINGS LÄN</t>
        </is>
      </c>
      <c r="G78" t="inlineStr">
        <is>
          <t>EKSJÖ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56080-2021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46271</v>
      </c>
      <c r="F79" t="inlineStr">
        <is>
          <t>JÖNKÖPINGS LÄN</t>
        </is>
      </c>
      <c r="G79" t="inlineStr">
        <is>
          <t>EKSJÖ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44598</v>
      </c>
      <c r="E80" s="1" t="n">
        <v>46271</v>
      </c>
      <c r="F80" t="inlineStr">
        <is>
          <t>JÖNKÖPINGS LÄN</t>
        </is>
      </c>
      <c r="G80" t="inlineStr">
        <is>
          <t>EKSJÖ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59283-2021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46271</v>
      </c>
      <c r="F81" t="inlineStr">
        <is>
          <t>JÖNKÖPINGS LÄN</t>
        </is>
      </c>
      <c r="G81" t="inlineStr">
        <is>
          <t>EKSJÖ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73675-2021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44552</v>
      </c>
      <c r="E82" s="1" t="n">
        <v>46271</v>
      </c>
      <c r="F82" t="inlineStr">
        <is>
          <t>JÖNKÖPINGS LÄN</t>
        </is>
      </c>
      <c r="G82" t="inlineStr">
        <is>
          <t>EKSJÖ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56075-2021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46271</v>
      </c>
      <c r="F83" t="inlineStr">
        <is>
          <t>JÖNKÖPINGS LÄN</t>
        </is>
      </c>
      <c r="G83" t="inlineStr">
        <is>
          <t>EKSJÖ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51667-2021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46271</v>
      </c>
      <c r="F84" t="inlineStr">
        <is>
          <t>JÖNKÖPINGS LÄN</t>
        </is>
      </c>
      <c r="G84" t="inlineStr">
        <is>
          <t>EKSJÖ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50489-2022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44861</v>
      </c>
      <c r="E85" s="1" t="n">
        <v>46271</v>
      </c>
      <c r="F85" t="inlineStr">
        <is>
          <t>JÖNKÖPINGS LÄN</t>
        </is>
      </c>
      <c r="G85" t="inlineStr">
        <is>
          <t>EKSJÖ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46271</v>
      </c>
      <c r="F86" t="inlineStr">
        <is>
          <t>JÖNKÖPINGS LÄN</t>
        </is>
      </c>
      <c r="G86" t="inlineStr">
        <is>
          <t>EKSJÖ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44498</v>
      </c>
      <c r="E87" s="1" t="n">
        <v>46271</v>
      </c>
      <c r="F87" t="inlineStr">
        <is>
          <t>JÖNKÖPINGS LÄN</t>
        </is>
      </c>
      <c r="G87" t="inlineStr">
        <is>
          <t>EKSJÖ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28039-2022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46271</v>
      </c>
      <c r="F88" t="inlineStr">
        <is>
          <t>JÖNKÖPINGS LÄN</t>
        </is>
      </c>
      <c r="G88" t="inlineStr">
        <is>
          <t>EKSJÖ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46271</v>
      </c>
      <c r="F89" t="inlineStr">
        <is>
          <t>JÖNKÖPINGS LÄN</t>
        </is>
      </c>
      <c r="G89" t="inlineStr">
        <is>
          <t>EKSJÖ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44592</v>
      </c>
      <c r="E90" s="1" t="n">
        <v>46271</v>
      </c>
      <c r="F90" t="inlineStr">
        <is>
          <t>JÖNKÖPINGS LÄN</t>
        </is>
      </c>
      <c r="G90" t="inlineStr">
        <is>
          <t>EKSJÖ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46271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20890-2022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44701</v>
      </c>
      <c r="E92" s="1" t="n">
        <v>46271</v>
      </c>
      <c r="F92" t="inlineStr">
        <is>
          <t>JÖNKÖPINGS LÄN</t>
        </is>
      </c>
      <c r="G92" t="inlineStr">
        <is>
          <t>EKSJÖ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52097-2021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46271</v>
      </c>
      <c r="F93" t="inlineStr">
        <is>
          <t>JÖNKÖPINGS LÄN</t>
        </is>
      </c>
      <c r="G93" t="inlineStr">
        <is>
          <t>EKSJÖ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44883</v>
      </c>
      <c r="E94" s="1" t="n">
        <v>46271</v>
      </c>
      <c r="F94" t="inlineStr">
        <is>
          <t>JÖNKÖPINGS LÄN</t>
        </is>
      </c>
      <c r="G94" t="inlineStr">
        <is>
          <t>EKSJÖ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26704-2022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44739</v>
      </c>
      <c r="E95" s="1" t="n">
        <v>46271</v>
      </c>
      <c r="F95" t="inlineStr">
        <is>
          <t>JÖNKÖPINGS LÄN</t>
        </is>
      </c>
      <c r="G95" t="inlineStr">
        <is>
          <t>EKSJÖ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44467</v>
      </c>
      <c r="E96" s="1" t="n">
        <v>46271</v>
      </c>
      <c r="F96" t="inlineStr">
        <is>
          <t>JÖNKÖPINGS LÄN</t>
        </is>
      </c>
      <c r="G96" t="inlineStr">
        <is>
          <t>EKSJÖ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46271</v>
      </c>
      <c r="F97" t="inlineStr">
        <is>
          <t>JÖNKÖPINGS LÄN</t>
        </is>
      </c>
      <c r="G97" t="inlineStr">
        <is>
          <t>EKSJÖ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55710-2021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44476</v>
      </c>
      <c r="E98" s="1" t="n">
        <v>46271</v>
      </c>
      <c r="F98" t="inlineStr">
        <is>
          <t>JÖNKÖPINGS LÄN</t>
        </is>
      </c>
      <c r="G98" t="inlineStr">
        <is>
          <t>EKSJÖ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46271</v>
      </c>
      <c r="F99" t="inlineStr">
        <is>
          <t>JÖNKÖPINGS LÄN</t>
        </is>
      </c>
      <c r="G99" t="inlineStr">
        <is>
          <t>EKSJÖ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46271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46271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46271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44480</v>
      </c>
      <c r="E103" s="1" t="n">
        <v>46271</v>
      </c>
      <c r="F103" t="inlineStr">
        <is>
          <t>JÖNKÖPINGS LÄN</t>
        </is>
      </c>
      <c r="G103" t="inlineStr">
        <is>
          <t>EKSJÖ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39277-2022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46271</v>
      </c>
      <c r="F104" t="inlineStr">
        <is>
          <t>JÖNKÖPINGS LÄN</t>
        </is>
      </c>
      <c r="G104" t="inlineStr">
        <is>
          <t>EKSJÖ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3226-2022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44582</v>
      </c>
      <c r="E105" s="1" t="n">
        <v>46271</v>
      </c>
      <c r="F105" t="inlineStr">
        <is>
          <t>JÖNKÖPINGS LÄN</t>
        </is>
      </c>
      <c r="G105" t="inlineStr">
        <is>
          <t>EKSJÖ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9258-2022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46271</v>
      </c>
      <c r="F106" t="inlineStr">
        <is>
          <t>JÖNKÖPINGS LÄN</t>
        </is>
      </c>
      <c r="G106" t="inlineStr">
        <is>
          <t>EKSJÖ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46271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11418-2022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46271</v>
      </c>
      <c r="F108" t="inlineStr">
        <is>
          <t>JÖNKÖPINGS LÄN</t>
        </is>
      </c>
      <c r="G108" t="inlineStr">
        <is>
          <t>EKSJÖ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53564-2022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46271</v>
      </c>
      <c r="F109" t="inlineStr">
        <is>
          <t>JÖNKÖPINGS LÄN</t>
        </is>
      </c>
      <c r="G109" t="inlineStr">
        <is>
          <t>EKSJÖ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46271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46271</v>
      </c>
      <c r="F111" t="inlineStr">
        <is>
          <t>JÖNKÖPINGS LÄN</t>
        </is>
      </c>
      <c r="G111" t="inlineStr">
        <is>
          <t>EKSJÖ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44980</v>
      </c>
      <c r="E112" s="1" t="n">
        <v>46271</v>
      </c>
      <c r="F112" t="inlineStr">
        <is>
          <t>JÖNKÖPINGS LÄN</t>
        </is>
      </c>
      <c r="G112" t="inlineStr">
        <is>
          <t>EKSJÖ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23868-2023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46271</v>
      </c>
      <c r="F113" t="inlineStr">
        <is>
          <t>JÖNKÖPINGS LÄN</t>
        </is>
      </c>
      <c r="G113" t="inlineStr">
        <is>
          <t>EKSJÖ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44909</v>
      </c>
      <c r="E114" s="1" t="n">
        <v>46271</v>
      </c>
      <c r="F114" t="inlineStr">
        <is>
          <t>JÖNKÖPINGS LÄN</t>
        </is>
      </c>
      <c r="G114" t="inlineStr">
        <is>
          <t>EKSJÖ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46271</v>
      </c>
      <c r="F115" t="inlineStr">
        <is>
          <t>JÖNKÖPINGS LÄN</t>
        </is>
      </c>
      <c r="G115" t="inlineStr">
        <is>
          <t>EKSJÖ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44861</v>
      </c>
      <c r="E116" s="1" t="n">
        <v>46271</v>
      </c>
      <c r="F116" t="inlineStr">
        <is>
          <t>JÖNKÖPINGS LÄN</t>
        </is>
      </c>
      <c r="G116" t="inlineStr">
        <is>
          <t>EKSJÖ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45003</v>
      </c>
      <c r="E117" s="1" t="n">
        <v>46271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45016-2024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46271</v>
      </c>
      <c r="F118" t="inlineStr">
        <is>
          <t>JÖNKÖPINGS LÄN</t>
        </is>
      </c>
      <c r="G118" t="inlineStr">
        <is>
          <t>EKSJÖ</t>
        </is>
      </c>
      <c r="H118" t="inlineStr">
        <is>
          <t>Övriga Aktiebolag</t>
        </is>
      </c>
      <c r="I118" t="n">
        <v>6.7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46271</v>
      </c>
      <c r="F119" t="inlineStr">
        <is>
          <t>JÖNKÖPINGS LÄN</t>
        </is>
      </c>
      <c r="G119" t="inlineStr">
        <is>
          <t>EKSJÖ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46271</v>
      </c>
      <c r="F120" t="inlineStr">
        <is>
          <t>JÖNKÖPINGS LÄN</t>
        </is>
      </c>
      <c r="G120" t="inlineStr">
        <is>
          <t>EKSJÖ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46271</v>
      </c>
      <c r="F121" t="inlineStr">
        <is>
          <t>JÖNKÖPINGS LÄN</t>
        </is>
      </c>
      <c r="G121" t="inlineStr">
        <is>
          <t>EKSJÖ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2147-2023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44940</v>
      </c>
      <c r="E122" s="1" t="n">
        <v>46271</v>
      </c>
      <c r="F122" t="inlineStr">
        <is>
          <t>JÖNKÖPINGS LÄN</t>
        </is>
      </c>
      <c r="G122" t="inlineStr">
        <is>
          <t>EKSJÖ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44941</v>
      </c>
      <c r="E123" s="1" t="n">
        <v>46271</v>
      </c>
      <c r="F123" t="inlineStr">
        <is>
          <t>JÖNKÖPINGS LÄN</t>
        </is>
      </c>
      <c r="G123" t="inlineStr">
        <is>
          <t>EKSJÖ</t>
        </is>
      </c>
      <c r="H123" t="inlineStr">
        <is>
          <t>Övriga Aktiebolag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20485-2023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46271</v>
      </c>
      <c r="F124" t="inlineStr">
        <is>
          <t>JÖNKÖPINGS LÄN</t>
        </is>
      </c>
      <c r="G124" t="inlineStr">
        <is>
          <t>EKSJÖ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19682-2023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46271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46271</v>
      </c>
      <c r="F126" t="inlineStr">
        <is>
          <t>JÖNKÖPINGS LÄN</t>
        </is>
      </c>
      <c r="G126" t="inlineStr">
        <is>
          <t>EKSJÖ</t>
        </is>
      </c>
      <c r="H126" t="inlineStr">
        <is>
          <t>Sveaskog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46271</v>
      </c>
      <c r="F127" t="inlineStr">
        <is>
          <t>JÖNKÖPINGS LÄN</t>
        </is>
      </c>
      <c r="G127" t="inlineStr">
        <is>
          <t>EKSJÖ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45243</v>
      </c>
      <c r="E128" s="1" t="n">
        <v>46271</v>
      </c>
      <c r="F128" t="inlineStr">
        <is>
          <t>JÖNKÖPINGS LÄN</t>
        </is>
      </c>
      <c r="G128" t="inlineStr">
        <is>
          <t>EKSJÖ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44925</v>
      </c>
      <c r="E129" s="1" t="n">
        <v>46271</v>
      </c>
      <c r="F129" t="inlineStr">
        <is>
          <t>JÖNKÖPINGS LÄN</t>
        </is>
      </c>
      <c r="G129" t="inlineStr">
        <is>
          <t>EKSJÖ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7262-2024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45344</v>
      </c>
      <c r="E130" s="1" t="n">
        <v>46271</v>
      </c>
      <c r="F130" t="inlineStr">
        <is>
          <t>JÖNKÖPINGS LÄN</t>
        </is>
      </c>
      <c r="G130" t="inlineStr">
        <is>
          <t>EKSJÖ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45345</v>
      </c>
      <c r="E131" s="1" t="n">
        <v>46271</v>
      </c>
      <c r="F131" t="inlineStr">
        <is>
          <t>JÖNKÖPINGS LÄN</t>
        </is>
      </c>
      <c r="G131" t="inlineStr">
        <is>
          <t>EKSJÖ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46271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46271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45092</v>
      </c>
      <c r="E134" s="1" t="n">
        <v>46271</v>
      </c>
      <c r="F134" t="inlineStr">
        <is>
          <t>JÖNKÖPINGS LÄN</t>
        </is>
      </c>
      <c r="G134" t="inlineStr">
        <is>
          <t>EKSJÖ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46271</v>
      </c>
      <c r="F135" t="inlineStr">
        <is>
          <t>JÖNKÖPINGS LÄN</t>
        </is>
      </c>
      <c r="G135" t="inlineStr">
        <is>
          <t>EKSJÖ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44908</v>
      </c>
      <c r="E136" s="1" t="n">
        <v>46271</v>
      </c>
      <c r="F136" t="inlineStr">
        <is>
          <t>JÖNKÖPINGS LÄN</t>
        </is>
      </c>
      <c r="G136" t="inlineStr">
        <is>
          <t>EKSJÖ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46271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45715</v>
      </c>
      <c r="E138" s="1" t="n">
        <v>46271</v>
      </c>
      <c r="F138" t="inlineStr">
        <is>
          <t>JÖNKÖPINGS LÄN</t>
        </is>
      </c>
      <c r="G138" t="inlineStr">
        <is>
          <t>EKSJÖ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9429-2025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45715</v>
      </c>
      <c r="E139" s="1" t="n">
        <v>46271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47987-2023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45204</v>
      </c>
      <c r="E140" s="1" t="n">
        <v>46271</v>
      </c>
      <c r="F140" t="inlineStr">
        <is>
          <t>JÖNKÖPINGS LÄN</t>
        </is>
      </c>
      <c r="G140" t="inlineStr">
        <is>
          <t>EKSJÖ</t>
        </is>
      </c>
      <c r="H140" t="inlineStr">
        <is>
          <t>Sveaskog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46271</v>
      </c>
      <c r="F141" t="inlineStr">
        <is>
          <t>JÖNKÖPINGS LÄN</t>
        </is>
      </c>
      <c r="G141" t="inlineStr">
        <is>
          <t>EKSJÖ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55207-2023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45237</v>
      </c>
      <c r="E142" s="1" t="n">
        <v>46271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46271</v>
      </c>
      <c r="F143" t="inlineStr">
        <is>
          <t>JÖNKÖPINGS LÄN</t>
        </is>
      </c>
      <c r="G143" t="inlineStr">
        <is>
          <t>EKSJÖ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8571-2024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46271</v>
      </c>
      <c r="F144" t="inlineStr">
        <is>
          <t>JÖNKÖPINGS LÄN</t>
        </is>
      </c>
      <c r="G144" t="inlineStr">
        <is>
          <t>EKSJÖ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45533</v>
      </c>
      <c r="E145" s="1" t="n">
        <v>46271</v>
      </c>
      <c r="F145" t="inlineStr">
        <is>
          <t>JÖNKÖPINGS LÄN</t>
        </is>
      </c>
      <c r="G145" t="inlineStr">
        <is>
          <t>EKSJÖ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46271</v>
      </c>
      <c r="F146" t="inlineStr">
        <is>
          <t>JÖNKÖPINGS LÄN</t>
        </is>
      </c>
      <c r="G146" t="inlineStr">
        <is>
          <t>EKSJÖ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38198-2023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46271</v>
      </c>
      <c r="F147" t="inlineStr">
        <is>
          <t>JÖNKÖPINGS LÄN</t>
        </is>
      </c>
      <c r="G147" t="inlineStr">
        <is>
          <t>EKSJÖ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38199-2023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46271</v>
      </c>
      <c r="F148" t="inlineStr">
        <is>
          <t>JÖNKÖPINGS LÄN</t>
        </is>
      </c>
      <c r="G148" t="inlineStr">
        <is>
          <t>EKSJÖ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45680</v>
      </c>
      <c r="E149" s="1" t="n">
        <v>46271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46271</v>
      </c>
      <c r="F150" t="inlineStr">
        <is>
          <t>JÖNKÖPINGS LÄN</t>
        </is>
      </c>
      <c r="G150" t="inlineStr">
        <is>
          <t>EKSJÖ</t>
        </is>
      </c>
      <c r="H150" t="inlineStr">
        <is>
          <t>Övriga Aktiebolag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14817-2025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46271</v>
      </c>
      <c r="F151" t="inlineStr">
        <is>
          <t>JÖNKÖPINGS LÄN</t>
        </is>
      </c>
      <c r="G151" t="inlineStr">
        <is>
          <t>EKSJÖ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56039-2024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45624</v>
      </c>
      <c r="E152" s="1" t="n">
        <v>46271</v>
      </c>
      <c r="F152" t="inlineStr">
        <is>
          <t>JÖNKÖPINGS LÄN</t>
        </is>
      </c>
      <c r="G152" t="inlineStr">
        <is>
          <t>EKSJÖ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14813-2025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46271</v>
      </c>
      <c r="F153" t="inlineStr">
        <is>
          <t>JÖNKÖPINGS LÄN</t>
        </is>
      </c>
      <c r="G153" t="inlineStr">
        <is>
          <t>EKSJÖ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14382-2025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45741</v>
      </c>
      <c r="E154" s="1" t="n">
        <v>46271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46271</v>
      </c>
      <c r="F155" t="inlineStr">
        <is>
          <t>JÖNKÖPINGS LÄN</t>
        </is>
      </c>
      <c r="G155" t="inlineStr">
        <is>
          <t>EKSJÖ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23534-2023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45076</v>
      </c>
      <c r="E156" s="1" t="n">
        <v>46271</v>
      </c>
      <c r="F156" t="inlineStr">
        <is>
          <t>JÖNKÖPINGS LÄN</t>
        </is>
      </c>
      <c r="G156" t="inlineStr">
        <is>
          <t>EKSJÖ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45741</v>
      </c>
      <c r="E157" s="1" t="n">
        <v>46271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46271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45530</v>
      </c>
      <c r="E159" s="1" t="n">
        <v>46271</v>
      </c>
      <c r="F159" t="inlineStr">
        <is>
          <t>JÖNKÖPINGS LÄN</t>
        </is>
      </c>
      <c r="G159" t="inlineStr">
        <is>
          <t>EKSJÖ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46271</v>
      </c>
      <c r="F160" t="inlineStr">
        <is>
          <t>JÖNKÖPINGS LÄN</t>
        </is>
      </c>
      <c r="G160" t="inlineStr">
        <is>
          <t>EKSJÖ</t>
        </is>
      </c>
      <c r="H160" t="inlineStr">
        <is>
          <t>Sveaskog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45741</v>
      </c>
      <c r="E161" s="1" t="n">
        <v>46271</v>
      </c>
      <c r="F161" t="inlineStr">
        <is>
          <t>JÖNKÖPINGS LÄN</t>
        </is>
      </c>
      <c r="G161" t="inlineStr">
        <is>
          <t>EKSJÖ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45727</v>
      </c>
      <c r="E162" s="1" t="n">
        <v>46271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44888</v>
      </c>
      <c r="E163" s="1" t="n">
        <v>46271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45231</v>
      </c>
      <c r="E164" s="1" t="n">
        <v>46271</v>
      </c>
      <c r="F164" t="inlineStr">
        <is>
          <t>JÖNKÖPINGS LÄN</t>
        </is>
      </c>
      <c r="G164" t="inlineStr">
        <is>
          <t>EKSJÖ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46271</v>
      </c>
      <c r="F165" t="inlineStr">
        <is>
          <t>JÖNKÖPINGS LÄN</t>
        </is>
      </c>
      <c r="G165" t="inlineStr">
        <is>
          <t>EKSJÖ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46271</v>
      </c>
      <c r="F166" t="inlineStr">
        <is>
          <t>JÖNKÖPINGS LÄN</t>
        </is>
      </c>
      <c r="G166" t="inlineStr">
        <is>
          <t>EKSJÖ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25613-2024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46271</v>
      </c>
      <c r="F167" t="inlineStr">
        <is>
          <t>JÖNKÖPINGS LÄN</t>
        </is>
      </c>
      <c r="G167" t="inlineStr">
        <is>
          <t>EKSJÖ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45716</v>
      </c>
      <c r="E168" s="1" t="n">
        <v>46271</v>
      </c>
      <c r="F168" t="inlineStr">
        <is>
          <t>JÖNKÖPINGS LÄN</t>
        </is>
      </c>
      <c r="G168" t="inlineStr">
        <is>
          <t>EKSJÖ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46271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46271</v>
      </c>
      <c r="F170" t="inlineStr">
        <is>
          <t>JÖNKÖPINGS LÄN</t>
        </is>
      </c>
      <c r="G170" t="inlineStr">
        <is>
          <t>EKSJÖ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46271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26306-2023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46271</v>
      </c>
      <c r="F172" t="inlineStr">
        <is>
          <t>JÖNKÖPINGS LÄN</t>
        </is>
      </c>
      <c r="G172" t="inlineStr">
        <is>
          <t>EKSJÖ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19856-2025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46271</v>
      </c>
      <c r="F173" t="inlineStr">
        <is>
          <t>JÖNKÖPINGS LÄN</t>
        </is>
      </c>
      <c r="G173" t="inlineStr">
        <is>
          <t>EKSJÖ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45601</v>
      </c>
      <c r="E174" s="1" t="n">
        <v>46271</v>
      </c>
      <c r="F174" t="inlineStr">
        <is>
          <t>JÖNKÖPINGS LÄN</t>
        </is>
      </c>
      <c r="G174" t="inlineStr">
        <is>
          <t>EKSJÖ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45532</v>
      </c>
      <c r="E175" s="1" t="n">
        <v>46271</v>
      </c>
      <c r="F175" t="inlineStr">
        <is>
          <t>JÖNKÖPINGS LÄN</t>
        </is>
      </c>
      <c r="G175" t="inlineStr">
        <is>
          <t>EKSJÖ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35617-2023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46271</v>
      </c>
      <c r="F176" t="inlineStr">
        <is>
          <t>JÖNKÖPINGS LÄN</t>
        </is>
      </c>
      <c r="G176" t="inlineStr">
        <is>
          <t>EKSJÖ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32362-2025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45837</v>
      </c>
      <c r="E177" s="1" t="n">
        <v>46271</v>
      </c>
      <c r="F177" t="inlineStr">
        <is>
          <t>JÖNKÖPINGS LÄN</t>
        </is>
      </c>
      <c r="G177" t="inlineStr">
        <is>
          <t>EKSJÖ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45840</v>
      </c>
      <c r="E178" s="1" t="n">
        <v>46271</v>
      </c>
      <c r="F178" t="inlineStr">
        <is>
          <t>JÖNKÖPINGS LÄN</t>
        </is>
      </c>
      <c r="G178" t="inlineStr">
        <is>
          <t>EKSJÖ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46271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10045-2025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45719</v>
      </c>
      <c r="E180" s="1" t="n">
        <v>46271</v>
      </c>
      <c r="F180" t="inlineStr">
        <is>
          <t>JÖNKÖPINGS LÄN</t>
        </is>
      </c>
      <c r="G180" t="inlineStr">
        <is>
          <t>EKSJÖ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28441-2025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45819</v>
      </c>
      <c r="E181" s="1" t="n">
        <v>46271</v>
      </c>
      <c r="F181" t="inlineStr">
        <is>
          <t>JÖNKÖPINGS LÄN</t>
        </is>
      </c>
      <c r="G181" t="inlineStr">
        <is>
          <t>EKSJÖ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46271</v>
      </c>
      <c r="F182" t="inlineStr">
        <is>
          <t>JÖNKÖPINGS LÄN</t>
        </is>
      </c>
      <c r="G182" t="inlineStr">
        <is>
          <t>EKSJÖ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28465-2025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46271</v>
      </c>
      <c r="F183" t="inlineStr">
        <is>
          <t>JÖNKÖPINGS LÄN</t>
        </is>
      </c>
      <c r="G183" t="inlineStr">
        <is>
          <t>EKSJÖ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45825</v>
      </c>
      <c r="E184" s="1" t="n">
        <v>46271</v>
      </c>
      <c r="F184" t="inlineStr">
        <is>
          <t>JÖNKÖPINGS LÄN</t>
        </is>
      </c>
      <c r="G184" t="inlineStr">
        <is>
          <t>EKSJÖ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44574</v>
      </c>
      <c r="E185" s="1" t="n">
        <v>46271</v>
      </c>
      <c r="F185" t="inlineStr">
        <is>
          <t>JÖNKÖPINGS LÄN</t>
        </is>
      </c>
      <c r="G185" t="inlineStr">
        <is>
          <t>EKSJÖ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45714</v>
      </c>
      <c r="E186" s="1" t="n">
        <v>46271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46271</v>
      </c>
      <c r="F187" t="inlineStr">
        <is>
          <t>JÖNKÖPINGS LÄN</t>
        </is>
      </c>
      <c r="G187" t="inlineStr">
        <is>
          <t>EKSJÖ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46271</v>
      </c>
      <c r="F188" t="inlineStr">
        <is>
          <t>JÖNKÖPINGS LÄN</t>
        </is>
      </c>
      <c r="G188" t="inlineStr">
        <is>
          <t>EKSJÖ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43411-2022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44834</v>
      </c>
      <c r="E189" s="1" t="n">
        <v>46271</v>
      </c>
      <c r="F189" t="inlineStr">
        <is>
          <t>JÖNKÖPINGS LÄN</t>
        </is>
      </c>
      <c r="G189" t="inlineStr">
        <is>
          <t>EKSJÖ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46271</v>
      </c>
      <c r="F190" t="inlineStr">
        <is>
          <t>JÖNKÖPINGS LÄN</t>
        </is>
      </c>
      <c r="G190" t="inlineStr">
        <is>
          <t>EKSJÖ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46271</v>
      </c>
      <c r="F191" t="inlineStr">
        <is>
          <t>JÖNKÖPINGS LÄN</t>
        </is>
      </c>
      <c r="G191" t="inlineStr">
        <is>
          <t>EKSJÖ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30137-2025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46271</v>
      </c>
      <c r="F192" t="inlineStr">
        <is>
          <t>JÖNKÖPINGS LÄN</t>
        </is>
      </c>
      <c r="G192" t="inlineStr">
        <is>
          <t>EKSJÖ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45195</v>
      </c>
      <c r="E193" s="1" t="n">
        <v>46271</v>
      </c>
      <c r="F193" t="inlineStr">
        <is>
          <t>JÖNKÖPINGS LÄN</t>
        </is>
      </c>
      <c r="G193" t="inlineStr">
        <is>
          <t>EKSJÖ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46271</v>
      </c>
      <c r="F194" t="inlineStr">
        <is>
          <t>JÖNKÖPINGS LÄN</t>
        </is>
      </c>
      <c r="G194" t="inlineStr">
        <is>
          <t>EKSJÖ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45837</v>
      </c>
      <c r="E195" s="1" t="n">
        <v>46271</v>
      </c>
      <c r="F195" t="inlineStr">
        <is>
          <t>JÖNKÖPINGS LÄN</t>
        </is>
      </c>
      <c r="G195" t="inlineStr">
        <is>
          <t>EKSJÖ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46271</v>
      </c>
      <c r="F196" t="inlineStr">
        <is>
          <t>JÖNKÖPINGS LÄN</t>
        </is>
      </c>
      <c r="G196" t="inlineStr">
        <is>
          <t>EKSJÖ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45418</v>
      </c>
      <c r="E197" s="1" t="n">
        <v>46271</v>
      </c>
      <c r="F197" t="inlineStr">
        <is>
          <t>JÖNKÖPINGS LÄN</t>
        </is>
      </c>
      <c r="G197" t="inlineStr">
        <is>
          <t>EKSJÖ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55656-2022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44888</v>
      </c>
      <c r="E198" s="1" t="n">
        <v>46271</v>
      </c>
      <c r="F198" t="inlineStr">
        <is>
          <t>JÖNKÖPINGS LÄN</t>
        </is>
      </c>
      <c r="G198" t="inlineStr">
        <is>
          <t>EKSJÖ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46271</v>
      </c>
      <c r="F199" t="inlineStr">
        <is>
          <t>JÖNKÖPINGS LÄN</t>
        </is>
      </c>
      <c r="G199" t="inlineStr">
        <is>
          <t>EKSJÖ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45911</v>
      </c>
      <c r="E200" s="1" t="n">
        <v>46271</v>
      </c>
      <c r="F200" t="inlineStr">
        <is>
          <t>JÖNKÖPINGS LÄN</t>
        </is>
      </c>
      <c r="G200" t="inlineStr">
        <is>
          <t>EKSJÖ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46271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46271</v>
      </c>
      <c r="F202" t="inlineStr">
        <is>
          <t>JÖNKÖPINGS LÄN</t>
        </is>
      </c>
      <c r="G202" t="inlineStr">
        <is>
          <t>EKSJÖ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46271</v>
      </c>
      <c r="F203" t="inlineStr">
        <is>
          <t>JÖNKÖPINGS LÄN</t>
        </is>
      </c>
      <c r="G203" t="inlineStr">
        <is>
          <t>EKSJÖ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46271</v>
      </c>
      <c r="F204" t="inlineStr">
        <is>
          <t>JÖNKÖPINGS LÄN</t>
        </is>
      </c>
      <c r="G204" t="inlineStr">
        <is>
          <t>EKSJÖ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45911</v>
      </c>
      <c r="E205" s="1" t="n">
        <v>46271</v>
      </c>
      <c r="F205" t="inlineStr">
        <is>
          <t>JÖNKÖPINGS LÄN</t>
        </is>
      </c>
      <c r="G205" t="inlineStr">
        <is>
          <t>EKSJÖ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41440-2024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45560</v>
      </c>
      <c r="E206" s="1" t="n">
        <v>46271</v>
      </c>
      <c r="F206" t="inlineStr">
        <is>
          <t>JÖNKÖPINGS LÄN</t>
        </is>
      </c>
      <c r="G206" t="inlineStr">
        <is>
          <t>EKSJÖ</t>
        </is>
      </c>
      <c r="H206" t="inlineStr">
        <is>
          <t>Kyrkan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23869-2023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46271</v>
      </c>
      <c r="F207" t="inlineStr">
        <is>
          <t>JÖNKÖPINGS LÄN</t>
        </is>
      </c>
      <c r="G207" t="inlineStr">
        <is>
          <t>EKSJÖ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46271</v>
      </c>
      <c r="F208" t="inlineStr">
        <is>
          <t>JÖNKÖPINGS LÄN</t>
        </is>
      </c>
      <c r="G208" t="inlineStr">
        <is>
          <t>EKSJÖ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44526-2025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45916</v>
      </c>
      <c r="E209" s="1" t="n">
        <v>46271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46271</v>
      </c>
      <c r="F210" t="inlineStr">
        <is>
          <t>JÖNKÖPINGS LÄN</t>
        </is>
      </c>
      <c r="G210" t="inlineStr">
        <is>
          <t>EKSJÖ</t>
        </is>
      </c>
      <c r="H210" t="inlineStr">
        <is>
          <t>Sveaskog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44953</v>
      </c>
      <c r="E211" s="1" t="n">
        <v>46271</v>
      </c>
      <c r="F211" t="inlineStr">
        <is>
          <t>JÖNKÖPINGS LÄN</t>
        </is>
      </c>
      <c r="G211" t="inlineStr">
        <is>
          <t>EKSJÖ</t>
        </is>
      </c>
      <c r="I211" t="n">
        <v>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46271</v>
      </c>
      <c r="F212" t="inlineStr">
        <is>
          <t>JÖNKÖPINGS LÄN</t>
        </is>
      </c>
      <c r="G212" t="inlineStr">
        <is>
          <t>EKSJÖ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45204</v>
      </c>
      <c r="E213" s="1" t="n">
        <v>46271</v>
      </c>
      <c r="F213" t="inlineStr">
        <is>
          <t>JÖNKÖPINGS LÄN</t>
        </is>
      </c>
      <c r="G213" t="inlineStr">
        <is>
          <t>EKSJÖ</t>
        </is>
      </c>
      <c r="H213" t="inlineStr">
        <is>
          <t>Sveaskog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46271</v>
      </c>
      <c r="F214" t="inlineStr">
        <is>
          <t>JÖNKÖPINGS LÄN</t>
        </is>
      </c>
      <c r="G214" t="inlineStr">
        <is>
          <t>EKSJÖ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44803</v>
      </c>
      <c r="E215" s="1" t="n">
        <v>46271</v>
      </c>
      <c r="F215" t="inlineStr">
        <is>
          <t>JÖNKÖPINGS LÄN</t>
        </is>
      </c>
      <c r="G215" t="inlineStr">
        <is>
          <t>EKSJÖ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45841</v>
      </c>
      <c r="E216" s="1" t="n">
        <v>46271</v>
      </c>
      <c r="F216" t="inlineStr">
        <is>
          <t>JÖNKÖPINGS LÄN</t>
        </is>
      </c>
      <c r="G216" t="inlineStr">
        <is>
          <t>EKSJÖ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33614-2025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46271</v>
      </c>
      <c r="F217" t="inlineStr">
        <is>
          <t>JÖNKÖPINGS LÄN</t>
        </is>
      </c>
      <c r="G217" t="inlineStr">
        <is>
          <t>EKSJÖ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46127-2025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46271</v>
      </c>
      <c r="F218" t="inlineStr">
        <is>
          <t>JÖNKÖPINGS LÄN</t>
        </is>
      </c>
      <c r="G218" t="inlineStr">
        <is>
          <t>EKSJÖ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46271</v>
      </c>
      <c r="F219" t="inlineStr">
        <is>
          <t>JÖNKÖPINGS LÄN</t>
        </is>
      </c>
      <c r="G219" t="inlineStr">
        <is>
          <t>EKSJÖ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45842</v>
      </c>
      <c r="E220" s="1" t="n">
        <v>46271</v>
      </c>
      <c r="F220" t="inlineStr">
        <is>
          <t>JÖNKÖPINGS LÄN</t>
        </is>
      </c>
      <c r="G220" t="inlineStr">
        <is>
          <t>EKSJÖ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9188-2024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45358</v>
      </c>
      <c r="E221" s="1" t="n">
        <v>46271</v>
      </c>
      <c r="F221" t="inlineStr">
        <is>
          <t>JÖNKÖPINGS LÄN</t>
        </is>
      </c>
      <c r="G221" t="inlineStr">
        <is>
          <t>EKSJÖ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46271</v>
      </c>
      <c r="F222" t="inlineStr">
        <is>
          <t>JÖNKÖPINGS LÄN</t>
        </is>
      </c>
      <c r="G222" t="inlineStr">
        <is>
          <t>EKSJÖ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1638-2026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46034</v>
      </c>
      <c r="E223" s="1" t="n">
        <v>46271</v>
      </c>
      <c r="F223" t="inlineStr">
        <is>
          <t>JÖNKÖPINGS LÄN</t>
        </is>
      </c>
      <c r="G223" t="inlineStr">
        <is>
          <t>EKSJÖ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46271</v>
      </c>
      <c r="F224" t="inlineStr">
        <is>
          <t>JÖNKÖPINGS LÄN</t>
        </is>
      </c>
      <c r="G224" t="inlineStr">
        <is>
          <t>EKSJÖ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41744-2023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45176</v>
      </c>
      <c r="E225" s="1" t="n">
        <v>46271</v>
      </c>
      <c r="F225" t="inlineStr">
        <is>
          <t>JÖNKÖPINGS LÄN</t>
        </is>
      </c>
      <c r="G225" t="inlineStr">
        <is>
          <t>EKSJÖ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45842</v>
      </c>
      <c r="E226" s="1" t="n">
        <v>46271</v>
      </c>
      <c r="F226" t="inlineStr">
        <is>
          <t>JÖNKÖPINGS LÄN</t>
        </is>
      </c>
      <c r="G226" t="inlineStr">
        <is>
          <t>EKSJÖ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45463</v>
      </c>
      <c r="E227" s="1" t="n">
        <v>46271</v>
      </c>
      <c r="F227" t="inlineStr">
        <is>
          <t>JÖNKÖPINGS LÄN</t>
        </is>
      </c>
      <c r="G227" t="inlineStr">
        <is>
          <t>EKSJÖ</t>
        </is>
      </c>
      <c r="H227" t="inlineStr">
        <is>
          <t>Övriga Aktiebolag</t>
        </is>
      </c>
      <c r="I227" t="n">
        <v>17.5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45245</v>
      </c>
      <c r="E228" s="1" t="n">
        <v>46271</v>
      </c>
      <c r="F228" t="inlineStr">
        <is>
          <t>JÖNKÖPINGS LÄN</t>
        </is>
      </c>
      <c r="G228" t="inlineStr">
        <is>
          <t>EKSJÖ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45758</v>
      </c>
      <c r="E229" s="1" t="n">
        <v>46271</v>
      </c>
      <c r="F229" t="inlineStr">
        <is>
          <t>JÖNKÖPINGS LÄN</t>
        </is>
      </c>
      <c r="G229" t="inlineStr">
        <is>
          <t>EKSJÖ</t>
        </is>
      </c>
      <c r="H229" t="inlineStr">
        <is>
          <t>Sveaskog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46034</v>
      </c>
      <c r="E230" s="1" t="n">
        <v>46271</v>
      </c>
      <c r="F230" t="inlineStr">
        <is>
          <t>JÖNKÖPINGS LÄN</t>
        </is>
      </c>
      <c r="G230" t="inlineStr">
        <is>
          <t>EKSJÖ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46034</v>
      </c>
      <c r="E231" s="1" t="n">
        <v>46271</v>
      </c>
      <c r="F231" t="inlineStr">
        <is>
          <t>JÖNKÖPINGS LÄN</t>
        </is>
      </c>
      <c r="G231" t="inlineStr">
        <is>
          <t>EKSJÖ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45785</v>
      </c>
      <c r="E232" s="1" t="n">
        <v>46271</v>
      </c>
      <c r="F232" t="inlineStr">
        <is>
          <t>JÖNKÖPINGS LÄN</t>
        </is>
      </c>
      <c r="G232" t="inlineStr">
        <is>
          <t>EKSJÖ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46271</v>
      </c>
      <c r="F233" t="inlineStr">
        <is>
          <t>JÖNKÖPINGS LÄN</t>
        </is>
      </c>
      <c r="G233" t="inlineStr">
        <is>
          <t>EKSJÖ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8057-2023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44974</v>
      </c>
      <c r="E234" s="1" t="n">
        <v>46271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46271</v>
      </c>
      <c r="F235" t="inlineStr">
        <is>
          <t>JÖNKÖPINGS LÄN</t>
        </is>
      </c>
      <c r="G235" t="inlineStr">
        <is>
          <t>EKSJÖ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46034</v>
      </c>
      <c r="E236" s="1" t="n">
        <v>46271</v>
      </c>
      <c r="F236" t="inlineStr">
        <is>
          <t>JÖNKÖPINGS LÄN</t>
        </is>
      </c>
      <c r="G236" t="inlineStr">
        <is>
          <t>EKSJÖ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46271</v>
      </c>
      <c r="F237" t="inlineStr">
        <is>
          <t>JÖNKÖPINGS LÄN</t>
        </is>
      </c>
      <c r="G237" t="inlineStr">
        <is>
          <t>EKSJÖ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45461</v>
      </c>
      <c r="E238" s="1" t="n">
        <v>46271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46271</v>
      </c>
      <c r="F239" t="inlineStr">
        <is>
          <t>JÖNKÖPINGS LÄN</t>
        </is>
      </c>
      <c r="G239" t="inlineStr">
        <is>
          <t>EKSJÖ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1697-2026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46034</v>
      </c>
      <c r="E240" s="1" t="n">
        <v>46271</v>
      </c>
      <c r="F240" t="inlineStr">
        <is>
          <t>JÖNKÖPINGS LÄN</t>
        </is>
      </c>
      <c r="G240" t="inlineStr">
        <is>
          <t>EKSJÖ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45860</v>
      </c>
      <c r="E241" s="1" t="n">
        <v>46271</v>
      </c>
      <c r="F241" t="inlineStr">
        <is>
          <t>JÖNKÖPINGS LÄN</t>
        </is>
      </c>
      <c r="G241" t="inlineStr">
        <is>
          <t>EKSJÖ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44580</v>
      </c>
      <c r="E242" s="1" t="n">
        <v>46271</v>
      </c>
      <c r="F242" t="inlineStr">
        <is>
          <t>JÖNKÖPINGS LÄN</t>
        </is>
      </c>
      <c r="G242" t="inlineStr">
        <is>
          <t>EKSJÖ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45860</v>
      </c>
      <c r="E243" s="1" t="n">
        <v>46271</v>
      </c>
      <c r="F243" t="inlineStr">
        <is>
          <t>JÖNKÖPINGS LÄN</t>
        </is>
      </c>
      <c r="G243" t="inlineStr">
        <is>
          <t>EKSJÖ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45097</v>
      </c>
      <c r="E244" s="1" t="n">
        <v>46271</v>
      </c>
      <c r="F244" t="inlineStr">
        <is>
          <t>JÖNKÖPINGS LÄN</t>
        </is>
      </c>
      <c r="G244" t="inlineStr">
        <is>
          <t>EKSJÖ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50299-2023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46271</v>
      </c>
      <c r="F245" t="inlineStr">
        <is>
          <t>JÖNKÖPINGS LÄN</t>
        </is>
      </c>
      <c r="G245" t="inlineStr">
        <is>
          <t>EKSJÖ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46271</v>
      </c>
      <c r="F246" t="inlineStr">
        <is>
          <t>JÖNKÖPINGS LÄN</t>
        </is>
      </c>
      <c r="G246" t="inlineStr">
        <is>
          <t>EKSJÖ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46271</v>
      </c>
      <c r="F247" t="inlineStr">
        <is>
          <t>JÖNKÖPINGS LÄN</t>
        </is>
      </c>
      <c r="G247" t="inlineStr">
        <is>
          <t>EKSJÖ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46037</v>
      </c>
      <c r="E248" s="1" t="n">
        <v>46271</v>
      </c>
      <c r="F248" t="inlineStr">
        <is>
          <t>JÖNKÖPINGS LÄN</t>
        </is>
      </c>
      <c r="G248" t="inlineStr">
        <is>
          <t>EKSJÖ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46271</v>
      </c>
      <c r="F249" t="inlineStr">
        <is>
          <t>JÖNKÖPINGS LÄN</t>
        </is>
      </c>
      <c r="G249" t="inlineStr">
        <is>
          <t>EKSJÖ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13906-2023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45008</v>
      </c>
      <c r="E250" s="1" t="n">
        <v>46271</v>
      </c>
      <c r="F250" t="inlineStr">
        <is>
          <t>JÖNKÖPINGS LÄN</t>
        </is>
      </c>
      <c r="G250" t="inlineStr">
        <is>
          <t>EKSJÖ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46037</v>
      </c>
      <c r="E251" s="1" t="n">
        <v>46271</v>
      </c>
      <c r="F251" t="inlineStr">
        <is>
          <t>JÖNKÖPINGS LÄN</t>
        </is>
      </c>
      <c r="G251" t="inlineStr">
        <is>
          <t>EKSJÖ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45940</v>
      </c>
      <c r="E252" s="1" t="n">
        <v>46271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46038</v>
      </c>
      <c r="E253" s="1" t="n">
        <v>46271</v>
      </c>
      <c r="F253" t="inlineStr">
        <is>
          <t>JÖNKÖPINGS LÄN</t>
        </is>
      </c>
      <c r="G253" t="inlineStr">
        <is>
          <t>EKSJÖ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45944</v>
      </c>
      <c r="E254" s="1" t="n">
        <v>46271</v>
      </c>
      <c r="F254" t="inlineStr">
        <is>
          <t>JÖNKÖPINGS LÄN</t>
        </is>
      </c>
      <c r="G254" t="inlineStr">
        <is>
          <t>EKSJÖ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45741</v>
      </c>
      <c r="E255" s="1" t="n">
        <v>46271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46271</v>
      </c>
      <c r="F256" t="inlineStr">
        <is>
          <t>JÖNKÖPINGS LÄN</t>
        </is>
      </c>
      <c r="G256" t="inlineStr">
        <is>
          <t>EKSJÖ</t>
        </is>
      </c>
      <c r="H256" t="inlineStr">
        <is>
          <t>Sveaskog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46271</v>
      </c>
      <c r="F257" t="inlineStr">
        <is>
          <t>JÖNKÖPINGS LÄN</t>
        </is>
      </c>
      <c r="G257" t="inlineStr">
        <is>
          <t>EKSJÖ</t>
        </is>
      </c>
      <c r="H257" t="inlineStr">
        <is>
          <t>Övriga Aktiebolag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45315</v>
      </c>
      <c r="E258" s="1" t="n">
        <v>46271</v>
      </c>
      <c r="F258" t="inlineStr">
        <is>
          <t>JÖNKÖPINGS LÄN</t>
        </is>
      </c>
      <c r="G258" t="inlineStr">
        <is>
          <t>EKSJÖ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45036</v>
      </c>
      <c r="E259" s="1" t="n">
        <v>46271</v>
      </c>
      <c r="F259" t="inlineStr">
        <is>
          <t>JÖNKÖPINGS LÄN</t>
        </is>
      </c>
      <c r="G259" t="inlineStr">
        <is>
          <t>EKSJÖ</t>
        </is>
      </c>
      <c r="I259" t="n">
        <v>3.9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46271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36853-2025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46271</v>
      </c>
      <c r="F261" t="inlineStr">
        <is>
          <t>JÖNKÖPINGS LÄN</t>
        </is>
      </c>
      <c r="G261" t="inlineStr">
        <is>
          <t>EKSJÖ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45875</v>
      </c>
      <c r="E262" s="1" t="n">
        <v>46271</v>
      </c>
      <c r="F262" t="inlineStr">
        <is>
          <t>JÖNKÖPINGS LÄN</t>
        </is>
      </c>
      <c r="G262" t="inlineStr">
        <is>
          <t>EKSJÖ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37169-2025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45875</v>
      </c>
      <c r="E263" s="1" t="n">
        <v>46271</v>
      </c>
      <c r="F263" t="inlineStr">
        <is>
          <t>JÖNKÖPINGS LÄN</t>
        </is>
      </c>
      <c r="G263" t="inlineStr">
        <is>
          <t>EKSJÖ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45945</v>
      </c>
      <c r="E264" s="1" t="n">
        <v>46271</v>
      </c>
      <c r="F264" t="inlineStr">
        <is>
          <t>JÖNKÖPINGS LÄN</t>
        </is>
      </c>
      <c r="G264" t="inlineStr">
        <is>
          <t>EKSJÖ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45877</v>
      </c>
      <c r="E265" s="1" t="n">
        <v>46271</v>
      </c>
      <c r="F265" t="inlineStr">
        <is>
          <t>JÖNKÖPINGS LÄN</t>
        </is>
      </c>
      <c r="G265" t="inlineStr">
        <is>
          <t>EKSJÖ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28438-2025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45819</v>
      </c>
      <c r="E266" s="1" t="n">
        <v>46271</v>
      </c>
      <c r="F266" t="inlineStr">
        <is>
          <t>JÖNKÖPINGS LÄN</t>
        </is>
      </c>
      <c r="G266" t="inlineStr">
        <is>
          <t>EKSJÖ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4784-2024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45328</v>
      </c>
      <c r="E267" s="1" t="n">
        <v>46271</v>
      </c>
      <c r="F267" t="inlineStr">
        <is>
          <t>JÖNKÖPINGS LÄN</t>
        </is>
      </c>
      <c r="G267" t="inlineStr">
        <is>
          <t>EKSJÖ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46271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46271</v>
      </c>
      <c r="F269" t="inlineStr">
        <is>
          <t>JÖNKÖPINGS LÄN</t>
        </is>
      </c>
      <c r="G269" t="inlineStr">
        <is>
          <t>EKSJÖ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52566-2025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45954</v>
      </c>
      <c r="E270" s="1" t="n">
        <v>46271</v>
      </c>
      <c r="F270" t="inlineStr">
        <is>
          <t>JÖNKÖPINGS LÄN</t>
        </is>
      </c>
      <c r="G270" t="inlineStr">
        <is>
          <t>EKSJÖ</t>
        </is>
      </c>
      <c r="H270" t="inlineStr">
        <is>
          <t>Kyrkan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45842</v>
      </c>
      <c r="E271" s="1" t="n">
        <v>46271</v>
      </c>
      <c r="F271" t="inlineStr">
        <is>
          <t>JÖNKÖPINGS LÄN</t>
        </is>
      </c>
      <c r="G271" t="inlineStr">
        <is>
          <t>EKSJÖ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64419-2021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44511</v>
      </c>
      <c r="E272" s="1" t="n">
        <v>46271</v>
      </c>
      <c r="F272" t="inlineStr">
        <is>
          <t>JÖNKÖPINGS LÄN</t>
        </is>
      </c>
      <c r="G272" t="inlineStr">
        <is>
          <t>EKSJÖ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45954</v>
      </c>
      <c r="E273" s="1" t="n">
        <v>46271</v>
      </c>
      <c r="F273" t="inlineStr">
        <is>
          <t>JÖNKÖPINGS LÄN</t>
        </is>
      </c>
      <c r="G273" t="inlineStr">
        <is>
          <t>EKSJÖ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46271</v>
      </c>
      <c r="F274" t="inlineStr">
        <is>
          <t>JÖNKÖPINGS LÄN</t>
        </is>
      </c>
      <c r="G274" t="inlineStr">
        <is>
          <t>EKSJÖ</t>
        </is>
      </c>
      <c r="H274" t="inlineStr">
        <is>
          <t>Kyrkan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46271</v>
      </c>
      <c r="F275" t="inlineStr">
        <is>
          <t>JÖNKÖPINGS LÄN</t>
        </is>
      </c>
      <c r="G275" t="inlineStr">
        <is>
          <t>EKSJÖ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43483-2023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45184</v>
      </c>
      <c r="E276" s="1" t="n">
        <v>46271</v>
      </c>
      <c r="F276" t="inlineStr">
        <is>
          <t>JÖNKÖPINGS LÄN</t>
        </is>
      </c>
      <c r="G276" t="inlineStr">
        <is>
          <t>EKSJÖ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4804-2026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46048</v>
      </c>
      <c r="E277" s="1" t="n">
        <v>46271</v>
      </c>
      <c r="F277" t="inlineStr">
        <is>
          <t>JÖNKÖPINGS LÄN</t>
        </is>
      </c>
      <c r="G277" t="inlineStr">
        <is>
          <t>EKSJÖ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46271</v>
      </c>
      <c r="F278" t="inlineStr">
        <is>
          <t>JÖNKÖPINGS LÄN</t>
        </is>
      </c>
      <c r="G278" t="inlineStr">
        <is>
          <t>EKSJÖ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46049</v>
      </c>
      <c r="E279" s="1" t="n">
        <v>46271</v>
      </c>
      <c r="F279" t="inlineStr">
        <is>
          <t>JÖNKÖPINGS LÄN</t>
        </is>
      </c>
      <c r="G279" t="inlineStr">
        <is>
          <t>EKSJÖ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32333-2022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44781</v>
      </c>
      <c r="E280" s="1" t="n">
        <v>46271</v>
      </c>
      <c r="F280" t="inlineStr">
        <is>
          <t>JÖNKÖPINGS LÄN</t>
        </is>
      </c>
      <c r="G280" t="inlineStr">
        <is>
          <t>EKSJÖ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44781</v>
      </c>
      <c r="E281" s="1" t="n">
        <v>46271</v>
      </c>
      <c r="F281" t="inlineStr">
        <is>
          <t>JÖNKÖPINGS LÄN</t>
        </is>
      </c>
      <c r="G281" t="inlineStr">
        <is>
          <t>EKSJÖ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19469-2025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45770</v>
      </c>
      <c r="E282" s="1" t="n">
        <v>46271</v>
      </c>
      <c r="F282" t="inlineStr">
        <is>
          <t>JÖNKÖPINGS LÄN</t>
        </is>
      </c>
      <c r="G282" t="inlineStr">
        <is>
          <t>EKSJÖ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6596-2026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46056</v>
      </c>
      <c r="E283" s="1" t="n">
        <v>46271</v>
      </c>
      <c r="F283" t="inlineStr">
        <is>
          <t>JÖNKÖPINGS LÄN</t>
        </is>
      </c>
      <c r="G283" t="inlineStr">
        <is>
          <t>EKSJÖ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54292-2023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45232</v>
      </c>
      <c r="E284" s="1" t="n">
        <v>46271</v>
      </c>
      <c r="F284" t="inlineStr">
        <is>
          <t>JÖNKÖPINGS LÄN</t>
        </is>
      </c>
      <c r="G284" t="inlineStr">
        <is>
          <t>EKSJÖ</t>
        </is>
      </c>
      <c r="I284" t="n">
        <v>18.3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56322-2021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44477</v>
      </c>
      <c r="E285" s="1" t="n">
        <v>46271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54292-2023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45232</v>
      </c>
      <c r="E286" s="1" t="n">
        <v>46271</v>
      </c>
      <c r="F286" t="inlineStr">
        <is>
          <t>JÖNKÖPINGS LÄN</t>
        </is>
      </c>
      <c r="G286" t="inlineStr">
        <is>
          <t>EKSJÖ</t>
        </is>
      </c>
      <c r="I286" t="n">
        <v>18.3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45223</v>
      </c>
      <c r="E287" s="1" t="n">
        <v>46271</v>
      </c>
      <c r="F287" t="inlineStr">
        <is>
          <t>JÖNKÖPINGS LÄN</t>
        </is>
      </c>
      <c r="G287" t="inlineStr">
        <is>
          <t>EKSJÖ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46271</v>
      </c>
      <c r="F288" t="inlineStr">
        <is>
          <t>JÖNKÖPINGS LÄN</t>
        </is>
      </c>
      <c r="G288" t="inlineStr">
        <is>
          <t>EKSJÖ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46271</v>
      </c>
      <c r="F289" t="inlineStr">
        <is>
          <t>JÖNKÖPINGS LÄN</t>
        </is>
      </c>
      <c r="G289" t="inlineStr">
        <is>
          <t>EKSJÖ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46271</v>
      </c>
      <c r="F290" t="inlineStr">
        <is>
          <t>JÖNKÖPINGS LÄN</t>
        </is>
      </c>
      <c r="G290" t="inlineStr">
        <is>
          <t>EKSJÖ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45334</v>
      </c>
      <c r="E291" s="1" t="n">
        <v>46271</v>
      </c>
      <c r="F291" t="inlineStr">
        <is>
          <t>JÖNKÖPINGS LÄN</t>
        </is>
      </c>
      <c r="G291" t="inlineStr">
        <is>
          <t>EKSJÖ</t>
        </is>
      </c>
      <c r="H291" t="inlineStr">
        <is>
          <t>Sveaskog</t>
        </is>
      </c>
      <c r="I291" t="n">
        <v>16.1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45334</v>
      </c>
      <c r="E292" s="1" t="n">
        <v>46271</v>
      </c>
      <c r="F292" t="inlineStr">
        <is>
          <t>JÖNKÖPINGS LÄN</t>
        </is>
      </c>
      <c r="G292" t="inlineStr">
        <is>
          <t>EKSJÖ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46271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10153-2024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45364</v>
      </c>
      <c r="E294" s="1" t="n">
        <v>46271</v>
      </c>
      <c r="F294" t="inlineStr">
        <is>
          <t>JÖNKÖPINGS LÄN</t>
        </is>
      </c>
      <c r="G294" t="inlineStr">
        <is>
          <t>EKSJÖ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55628-2025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45972</v>
      </c>
      <c r="E295" s="1" t="n">
        <v>46271</v>
      </c>
      <c r="F295" t="inlineStr">
        <is>
          <t>JÖNKÖPINGS LÄN</t>
        </is>
      </c>
      <c r="G295" t="inlineStr">
        <is>
          <t>EKSJÖ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44945</v>
      </c>
      <c r="E296" s="1" t="n">
        <v>46271</v>
      </c>
      <c r="F296" t="inlineStr">
        <is>
          <t>JÖNKÖPINGS LÄN</t>
        </is>
      </c>
      <c r="G296" t="inlineStr">
        <is>
          <t>EKSJÖ</t>
        </is>
      </c>
      <c r="H296" t="inlineStr">
        <is>
          <t>Övriga Aktiebolag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46271</v>
      </c>
      <c r="F297" t="inlineStr">
        <is>
          <t>JÖNKÖPINGS LÄN</t>
        </is>
      </c>
      <c r="G297" t="inlineStr">
        <is>
          <t>EKSJÖ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45338</v>
      </c>
      <c r="E298" s="1" t="n">
        <v>46271</v>
      </c>
      <c r="F298" t="inlineStr">
        <is>
          <t>JÖNKÖPINGS LÄN</t>
        </is>
      </c>
      <c r="G298" t="inlineStr">
        <is>
          <t>EKSJÖ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46271</v>
      </c>
      <c r="F299" t="inlineStr">
        <is>
          <t>JÖNKÖPINGS LÄN</t>
        </is>
      </c>
      <c r="G299" t="inlineStr">
        <is>
          <t>EKSJÖ</t>
        </is>
      </c>
      <c r="H299" t="inlineStr">
        <is>
          <t>Kyrkan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45975</v>
      </c>
      <c r="E300" s="1" t="n">
        <v>46271</v>
      </c>
      <c r="F300" t="inlineStr">
        <is>
          <t>JÖNKÖPINGS LÄN</t>
        </is>
      </c>
      <c r="G300" t="inlineStr">
        <is>
          <t>EKSJÖ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8984-2026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46069</v>
      </c>
      <c r="E301" s="1" t="n">
        <v>46271</v>
      </c>
      <c r="F301" t="inlineStr">
        <is>
          <t>JÖNKÖPINGS LÄN</t>
        </is>
      </c>
      <c r="G301" t="inlineStr">
        <is>
          <t>EKSJÖ</t>
        </is>
      </c>
      <c r="I301" t="n">
        <v>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46271</v>
      </c>
      <c r="F302" t="inlineStr">
        <is>
          <t>JÖNKÖPINGS LÄN</t>
        </is>
      </c>
      <c r="G302" t="inlineStr">
        <is>
          <t>EKSJÖ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46271</v>
      </c>
      <c r="F303" t="inlineStr">
        <is>
          <t>JÖNKÖPINGS LÄN</t>
        </is>
      </c>
      <c r="G303" t="inlineStr">
        <is>
          <t>EKSJÖ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46271</v>
      </c>
      <c r="F304" t="inlineStr">
        <is>
          <t>JÖNKÖPINGS LÄN</t>
        </is>
      </c>
      <c r="G304" t="inlineStr">
        <is>
          <t>EKSJÖ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45391</v>
      </c>
      <c r="E305" s="1" t="n">
        <v>46271</v>
      </c>
      <c r="F305" t="inlineStr">
        <is>
          <t>JÖNKÖPINGS LÄN</t>
        </is>
      </c>
      <c r="G305" t="inlineStr">
        <is>
          <t>EKSJÖ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46271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46271</v>
      </c>
      <c r="F307" t="inlineStr">
        <is>
          <t>JÖNKÖPINGS LÄN</t>
        </is>
      </c>
      <c r="G307" t="inlineStr">
        <is>
          <t>EKSJÖ</t>
        </is>
      </c>
      <c r="H307" t="inlineStr">
        <is>
          <t>Kommuner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45981</v>
      </c>
      <c r="E308" s="1" t="n">
        <v>46271</v>
      </c>
      <c r="F308" t="inlineStr">
        <is>
          <t>JÖNKÖPINGS LÄN</t>
        </is>
      </c>
      <c r="G308" t="inlineStr">
        <is>
          <t>EKSJÖ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58307-2025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45985</v>
      </c>
      <c r="E309" s="1" t="n">
        <v>46271</v>
      </c>
      <c r="F309" t="inlineStr">
        <is>
          <t>JÖNKÖPINGS LÄN</t>
        </is>
      </c>
      <c r="G309" t="inlineStr">
        <is>
          <t>EKSJÖ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45334</v>
      </c>
      <c r="E310" s="1" t="n">
        <v>46271</v>
      </c>
      <c r="F310" t="inlineStr">
        <is>
          <t>JÖNKÖPINGS LÄN</t>
        </is>
      </c>
      <c r="G310" t="inlineStr">
        <is>
          <t>EKSJÖ</t>
        </is>
      </c>
      <c r="H310" t="inlineStr">
        <is>
          <t>Kommuner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46271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46271</v>
      </c>
      <c r="F312" t="inlineStr">
        <is>
          <t>JÖNKÖPINGS LÄN</t>
        </is>
      </c>
      <c r="G312" t="inlineStr">
        <is>
          <t>EKSJÖ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28261-2022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44746</v>
      </c>
      <c r="E313" s="1" t="n">
        <v>46271</v>
      </c>
      <c r="F313" t="inlineStr">
        <is>
          <t>JÖNKÖPINGS LÄN</t>
        </is>
      </c>
      <c r="G313" t="inlineStr">
        <is>
          <t>EKSJÖ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45195</v>
      </c>
      <c r="E314" s="1" t="n">
        <v>46271</v>
      </c>
      <c r="F314" t="inlineStr">
        <is>
          <t>JÖNKÖPINGS LÄN</t>
        </is>
      </c>
      <c r="G314" t="inlineStr">
        <is>
          <t>EKSJÖ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46271</v>
      </c>
      <c r="F315" t="inlineStr">
        <is>
          <t>JÖNKÖPINGS LÄN</t>
        </is>
      </c>
      <c r="G315" t="inlineStr">
        <is>
          <t>EKSJÖ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46271</v>
      </c>
      <c r="F316" t="inlineStr">
        <is>
          <t>JÖNKÖPINGS LÄN</t>
        </is>
      </c>
      <c r="G316" t="inlineStr">
        <is>
          <t>EKSJÖ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22491-2023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46271</v>
      </c>
      <c r="F317" t="inlineStr">
        <is>
          <t>JÖNKÖPINGS LÄN</t>
        </is>
      </c>
      <c r="G317" t="inlineStr">
        <is>
          <t>EKSJÖ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45173</v>
      </c>
      <c r="E318" s="1" t="n">
        <v>46271</v>
      </c>
      <c r="F318" t="inlineStr">
        <is>
          <t>JÖNKÖPINGS LÄN</t>
        </is>
      </c>
      <c r="G318" t="inlineStr">
        <is>
          <t>EKSJÖ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59665-2025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46271</v>
      </c>
      <c r="F319" t="inlineStr">
        <is>
          <t>JÖNKÖPINGS LÄN</t>
        </is>
      </c>
      <c r="G319" t="inlineStr">
        <is>
          <t>EKSJÖ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59655-2025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45992</v>
      </c>
      <c r="E320" s="1" t="n">
        <v>46271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38201-2023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45161</v>
      </c>
      <c r="E321" s="1" t="n">
        <v>46271</v>
      </c>
      <c r="F321" t="inlineStr">
        <is>
          <t>JÖNKÖPINGS LÄN</t>
        </is>
      </c>
      <c r="G321" t="inlineStr">
        <is>
          <t>EKSJÖ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45991</v>
      </c>
      <c r="E322" s="1" t="n">
        <v>46271</v>
      </c>
      <c r="F322" t="inlineStr">
        <is>
          <t>JÖNKÖPINGS LÄN</t>
        </is>
      </c>
      <c r="G322" t="inlineStr">
        <is>
          <t>EKSJÖ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59673-2025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46271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27775-2024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45475</v>
      </c>
      <c r="E324" s="1" t="n">
        <v>46271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46271</v>
      </c>
      <c r="F325" t="inlineStr">
        <is>
          <t>JÖNKÖPINGS LÄN</t>
        </is>
      </c>
      <c r="G325" t="inlineStr">
        <is>
          <t>EKSJÖ</t>
        </is>
      </c>
      <c r="H325" t="inlineStr">
        <is>
          <t>Kommuner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25608-2024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46271</v>
      </c>
      <c r="F326" t="inlineStr">
        <is>
          <t>JÖNKÖPINGS LÄN</t>
        </is>
      </c>
      <c r="G326" t="inlineStr">
        <is>
          <t>EKSJÖ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45373</v>
      </c>
      <c r="E327" s="1" t="n">
        <v>46271</v>
      </c>
      <c r="F327" t="inlineStr">
        <is>
          <t>JÖNKÖPINGS LÄN</t>
        </is>
      </c>
      <c r="G327" t="inlineStr">
        <is>
          <t>EKSJÖ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45337</v>
      </c>
      <c r="E328" s="1" t="n">
        <v>46271</v>
      </c>
      <c r="F328" t="inlineStr">
        <is>
          <t>JÖNKÖPINGS LÄN</t>
        </is>
      </c>
      <c r="G328" t="inlineStr">
        <is>
          <t>EKSJÖ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10464-2023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44987</v>
      </c>
      <c r="E329" s="1" t="n">
        <v>46271</v>
      </c>
      <c r="F329" t="inlineStr">
        <is>
          <t>JÖNKÖPINGS LÄN</t>
        </is>
      </c>
      <c r="G329" t="inlineStr">
        <is>
          <t>EKSJÖ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56469-2021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44480</v>
      </c>
      <c r="E330" s="1" t="n">
        <v>46271</v>
      </c>
      <c r="F330" t="inlineStr">
        <is>
          <t>JÖNKÖPINGS LÄN</t>
        </is>
      </c>
      <c r="G330" t="inlineStr">
        <is>
          <t>EKSJÖ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45677</v>
      </c>
      <c r="E331" s="1" t="n">
        <v>46271</v>
      </c>
      <c r="F331" t="inlineStr">
        <is>
          <t>JÖNKÖPINGS LÄN</t>
        </is>
      </c>
      <c r="G331" t="inlineStr">
        <is>
          <t>EKSJÖ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1065-2025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46271</v>
      </c>
      <c r="F332" t="inlineStr">
        <is>
          <t>JÖNKÖPINGS LÄN</t>
        </is>
      </c>
      <c r="G332" t="inlineStr">
        <is>
          <t>EKSJÖ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46271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11381-2022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44630</v>
      </c>
      <c r="E334" s="1" t="n">
        <v>46271</v>
      </c>
      <c r="F334" t="inlineStr">
        <is>
          <t>JÖNKÖPINGS LÄN</t>
        </is>
      </c>
      <c r="G334" t="inlineStr">
        <is>
          <t>EKSJÖ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64993-2023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45286</v>
      </c>
      <c r="E335" s="1" t="n">
        <v>46271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32344-2024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45512</v>
      </c>
      <c r="E336" s="1" t="n">
        <v>46271</v>
      </c>
      <c r="F336" t="inlineStr">
        <is>
          <t>JÖNKÖPINGS LÄN</t>
        </is>
      </c>
      <c r="G336" t="inlineStr">
        <is>
          <t>EKSJÖ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46271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62892-2025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46271</v>
      </c>
      <c r="F338" t="inlineStr">
        <is>
          <t>JÖNKÖPINGS LÄN</t>
        </is>
      </c>
      <c r="G338" t="inlineStr">
        <is>
          <t>EKSJÖ</t>
        </is>
      </c>
      <c r="H338" t="inlineStr">
        <is>
          <t>Kommuner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25140-2023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45086</v>
      </c>
      <c r="E339" s="1" t="n">
        <v>46271</v>
      </c>
      <c r="F339" t="inlineStr">
        <is>
          <t>JÖNKÖPINGS LÄN</t>
        </is>
      </c>
      <c r="G339" t="inlineStr">
        <is>
          <t>EKSJÖ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63438-2025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46271</v>
      </c>
      <c r="F340" t="inlineStr">
        <is>
          <t>JÖNKÖPINGS LÄN</t>
        </is>
      </c>
      <c r="G340" t="inlineStr">
        <is>
          <t>EKSJÖ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46271</v>
      </c>
      <c r="F341" t="inlineStr">
        <is>
          <t>JÖNKÖPINGS LÄN</t>
        </is>
      </c>
      <c r="G341" t="inlineStr">
        <is>
          <t>EKSJÖ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63643-2025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46014</v>
      </c>
      <c r="E342" s="1" t="n">
        <v>46271</v>
      </c>
      <c r="F342" t="inlineStr">
        <is>
          <t>JÖNKÖPINGS LÄN</t>
        </is>
      </c>
      <c r="G342" t="inlineStr">
        <is>
          <t>EKSJÖ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12821-2024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45384</v>
      </c>
      <c r="E343" s="1" t="n">
        <v>46271</v>
      </c>
      <c r="F343" t="inlineStr">
        <is>
          <t>JÖNKÖPINGS LÄN</t>
        </is>
      </c>
      <c r="G343" t="inlineStr">
        <is>
          <t>EKSJÖ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46271</v>
      </c>
      <c r="F344" t="inlineStr">
        <is>
          <t>JÖNKÖPINGS LÄN</t>
        </is>
      </c>
      <c r="G344" t="inlineStr">
        <is>
          <t>EKSJÖ</t>
        </is>
      </c>
      <c r="I344" t="n">
        <v>6.8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46271</v>
      </c>
      <c r="F345" t="inlineStr">
        <is>
          <t>JÖNKÖPINGS LÄN</t>
        </is>
      </c>
      <c r="G345" t="inlineStr">
        <is>
          <t>EKSJÖ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45513</v>
      </c>
      <c r="E346" s="1" t="n">
        <v>46271</v>
      </c>
      <c r="F346" t="inlineStr">
        <is>
          <t>JÖNKÖPINGS LÄN</t>
        </is>
      </c>
      <c r="G346" t="inlineStr">
        <is>
          <t>EKSJÖ</t>
        </is>
      </c>
      <c r="H346" t="inlineStr">
        <is>
          <t>Kyrkan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46271</v>
      </c>
      <c r="F347" t="inlineStr">
        <is>
          <t>JÖNKÖPINGS LÄN</t>
        </is>
      </c>
      <c r="G347" t="inlineStr">
        <is>
          <t>EKSJÖ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13881-2026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46098</v>
      </c>
      <c r="E348" s="1" t="n">
        <v>46271</v>
      </c>
      <c r="F348" t="inlineStr">
        <is>
          <t>JÖNKÖPINGS LÄN</t>
        </is>
      </c>
      <c r="G348" t="inlineStr">
        <is>
          <t>EKSJÖ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7729-2025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45706</v>
      </c>
      <c r="E349" s="1" t="n">
        <v>46271</v>
      </c>
      <c r="F349" t="inlineStr">
        <is>
          <t>JÖNKÖPINGS LÄN</t>
        </is>
      </c>
      <c r="G349" t="inlineStr">
        <is>
          <t>EKSJÖ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14344-2026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46271</v>
      </c>
      <c r="F350" t="inlineStr">
        <is>
          <t>JÖNKÖPINGS LÄN</t>
        </is>
      </c>
      <c r="G350" t="inlineStr">
        <is>
          <t>EKSJÖ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65554-2021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44516</v>
      </c>
      <c r="E351" s="1" t="n">
        <v>46271</v>
      </c>
      <c r="F351" t="inlineStr">
        <is>
          <t>JÖNKÖPINGS LÄN</t>
        </is>
      </c>
      <c r="G351" t="inlineStr">
        <is>
          <t>EKSJÖ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45370-2024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45576</v>
      </c>
      <c r="E352" s="1" t="n">
        <v>46271</v>
      </c>
      <c r="F352" t="inlineStr">
        <is>
          <t>JÖNKÖPINGS LÄN</t>
        </is>
      </c>
      <c r="G352" t="inlineStr">
        <is>
          <t>EKSJÖ</t>
        </is>
      </c>
      <c r="H352" t="inlineStr">
        <is>
          <t>Övriga Aktiebolag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46271</v>
      </c>
      <c r="F353" t="inlineStr">
        <is>
          <t>JÖNKÖPINGS LÄN</t>
        </is>
      </c>
      <c r="G353" t="inlineStr">
        <is>
          <t>EKSJÖ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46012-2022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44846</v>
      </c>
      <c r="E354" s="1" t="n">
        <v>46271</v>
      </c>
      <c r="F354" t="inlineStr">
        <is>
          <t>JÖNKÖPINGS LÄN</t>
        </is>
      </c>
      <c r="G354" t="inlineStr">
        <is>
          <t>EKSJÖ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46271</v>
      </c>
      <c r="F355" t="inlineStr">
        <is>
          <t>JÖNKÖPINGS LÄN</t>
        </is>
      </c>
      <c r="G355" t="inlineStr">
        <is>
          <t>EKSJÖ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15403-2026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46271</v>
      </c>
      <c r="F356" t="inlineStr">
        <is>
          <t>JÖNKÖPINGS LÄN</t>
        </is>
      </c>
      <c r="G356" t="inlineStr">
        <is>
          <t>EKSJÖ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46106</v>
      </c>
      <c r="E357" s="1" t="n">
        <v>46271</v>
      </c>
      <c r="F357" t="inlineStr">
        <is>
          <t>JÖNKÖPINGS LÄN</t>
        </is>
      </c>
      <c r="G357" t="inlineStr">
        <is>
          <t>EKSJÖ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10309-2024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46271</v>
      </c>
      <c r="F358" t="inlineStr">
        <is>
          <t>JÖNKÖPINGS LÄN</t>
        </is>
      </c>
      <c r="G358" t="inlineStr">
        <is>
          <t>EKSJÖ</t>
        </is>
      </c>
      <c r="H358" t="inlineStr">
        <is>
          <t>Sveaskog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46271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15763-2026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46107</v>
      </c>
      <c r="E360" s="1" t="n">
        <v>46271</v>
      </c>
      <c r="F360" t="inlineStr">
        <is>
          <t>JÖNKÖPINGS LÄN</t>
        </is>
      </c>
      <c r="G360" t="inlineStr">
        <is>
          <t>EKSJÖ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15767-2026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46107</v>
      </c>
      <c r="E361" s="1" t="n">
        <v>46271</v>
      </c>
      <c r="F361" t="inlineStr">
        <is>
          <t>JÖNKÖPINGS LÄN</t>
        </is>
      </c>
      <c r="G361" t="inlineStr">
        <is>
          <t>EKSJÖ</t>
        </is>
      </c>
      <c r="H361" t="inlineStr">
        <is>
          <t>Sveaskog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44925</v>
      </c>
      <c r="E362" s="1" t="n">
        <v>46271</v>
      </c>
      <c r="F362" t="inlineStr">
        <is>
          <t>JÖNKÖPINGS LÄN</t>
        </is>
      </c>
      <c r="G362" t="inlineStr">
        <is>
          <t>EKSJÖ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45239</v>
      </c>
      <c r="E363" s="1" t="n">
        <v>46271</v>
      </c>
      <c r="F363" t="inlineStr">
        <is>
          <t>JÖNKÖPINGS LÄN</t>
        </is>
      </c>
      <c r="G363" t="inlineStr">
        <is>
          <t>EKSJÖ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46107</v>
      </c>
      <c r="E364" s="1" t="n">
        <v>46271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46107</v>
      </c>
      <c r="E365" s="1" t="n">
        <v>46271</v>
      </c>
      <c r="F365" t="inlineStr">
        <is>
          <t>JÖNKÖPINGS LÄN</t>
        </is>
      </c>
      <c r="G365" t="inlineStr">
        <is>
          <t>EKSJÖ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31307-2023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45114</v>
      </c>
      <c r="E366" s="1" t="n">
        <v>46271</v>
      </c>
      <c r="F366" t="inlineStr">
        <is>
          <t>JÖNKÖPINGS LÄN</t>
        </is>
      </c>
      <c r="G366" t="inlineStr">
        <is>
          <t>EKSJÖ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15619-2024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45402</v>
      </c>
      <c r="E367" s="1" t="n">
        <v>46271</v>
      </c>
      <c r="F367" t="inlineStr">
        <is>
          <t>JÖNKÖPINGS LÄN</t>
        </is>
      </c>
      <c r="G367" t="inlineStr">
        <is>
          <t>EKSJÖ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45713</v>
      </c>
      <c r="E368" s="1" t="n">
        <v>46271</v>
      </c>
      <c r="F368" t="inlineStr">
        <is>
          <t>JÖNKÖPINGS LÄN</t>
        </is>
      </c>
      <c r="G368" t="inlineStr">
        <is>
          <t>EKSJÖ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41739-2023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45176</v>
      </c>
      <c r="E369" s="1" t="n">
        <v>46271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45314</v>
      </c>
      <c r="E370" s="1" t="n">
        <v>46271</v>
      </c>
      <c r="F370" t="inlineStr">
        <is>
          <t>JÖNKÖPINGS LÄN</t>
        </is>
      </c>
      <c r="G370" t="inlineStr">
        <is>
          <t>EKSJÖ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2690-2024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46271</v>
      </c>
      <c r="F371" t="inlineStr">
        <is>
          <t>JÖNKÖPINGS LÄN</t>
        </is>
      </c>
      <c r="G371" t="inlineStr">
        <is>
          <t>EKSJÖ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46271</v>
      </c>
      <c r="F372" t="inlineStr">
        <is>
          <t>JÖNKÖPINGS LÄN</t>
        </is>
      </c>
      <c r="G372" t="inlineStr">
        <is>
          <t>EKSJÖ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16847-2026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46271</v>
      </c>
      <c r="F373" t="inlineStr">
        <is>
          <t>JÖNKÖPINGS LÄN</t>
        </is>
      </c>
      <c r="G373" t="inlineStr">
        <is>
          <t>EKSJÖ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16885-2026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46113</v>
      </c>
      <c r="E374" s="1" t="n">
        <v>46271</v>
      </c>
      <c r="F374" t="inlineStr">
        <is>
          <t>JÖNKÖPINGS LÄN</t>
        </is>
      </c>
      <c r="G374" t="inlineStr">
        <is>
          <t>EKSJÖ</t>
        </is>
      </c>
      <c r="H374" t="inlineStr">
        <is>
          <t>Övriga Aktiebolag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46113</v>
      </c>
      <c r="E375" s="1" t="n">
        <v>46271</v>
      </c>
      <c r="F375" t="inlineStr">
        <is>
          <t>JÖNKÖPINGS LÄN</t>
        </is>
      </c>
      <c r="G375" t="inlineStr">
        <is>
          <t>EKSJÖ</t>
        </is>
      </c>
      <c r="H375" t="inlineStr">
        <is>
          <t>Övriga Aktiebolag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26054-2023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45091</v>
      </c>
      <c r="E376" s="1" t="n">
        <v>46271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46528-2023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45197</v>
      </c>
      <c r="E377" s="1" t="n">
        <v>46271</v>
      </c>
      <c r="F377" t="inlineStr">
        <is>
          <t>JÖNKÖPINGS LÄN</t>
        </is>
      </c>
      <c r="G377" t="inlineStr">
        <is>
          <t>EKSJÖ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45659</v>
      </c>
      <c r="E378" s="1" t="n">
        <v>46271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34772-2023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45141</v>
      </c>
      <c r="E379" s="1" t="n">
        <v>46271</v>
      </c>
      <c r="F379" t="inlineStr">
        <is>
          <t>JÖNKÖPINGS LÄN</t>
        </is>
      </c>
      <c r="G379" t="inlineStr">
        <is>
          <t>EKSJÖ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46127</v>
      </c>
      <c r="E380" s="1" t="n">
        <v>46271</v>
      </c>
      <c r="F380" t="inlineStr">
        <is>
          <t>JÖNKÖPINGS LÄN</t>
        </is>
      </c>
      <c r="G380" t="inlineStr">
        <is>
          <t>EKSJÖ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19095-2026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46271</v>
      </c>
      <c r="F381" t="inlineStr">
        <is>
          <t>JÖNKÖPINGS LÄN</t>
        </is>
      </c>
      <c r="G381" t="inlineStr">
        <is>
          <t>EKSJÖ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54255-2023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45232</v>
      </c>
      <c r="E382" s="1" t="n">
        <v>46271</v>
      </c>
      <c r="F382" t="inlineStr">
        <is>
          <t>JÖNKÖPINGS LÄN</t>
        </is>
      </c>
      <c r="G382" t="inlineStr">
        <is>
          <t>EKSJÖ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45175</v>
      </c>
      <c r="E383" s="1" t="n">
        <v>46271</v>
      </c>
      <c r="F383" t="inlineStr">
        <is>
          <t>JÖNKÖPINGS LÄN</t>
        </is>
      </c>
      <c r="G383" t="inlineStr">
        <is>
          <t>EKSJÖ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25141-2023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45086</v>
      </c>
      <c r="E384" s="1" t="n">
        <v>46271</v>
      </c>
      <c r="F384" t="inlineStr">
        <is>
          <t>JÖNKÖPINGS LÄN</t>
        </is>
      </c>
      <c r="G384" t="inlineStr">
        <is>
          <t>EKSJÖ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40094-2025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45894</v>
      </c>
      <c r="E385" s="1" t="n">
        <v>46271</v>
      </c>
      <c r="F385" t="inlineStr">
        <is>
          <t>JÖNKÖPINGS LÄN</t>
        </is>
      </c>
      <c r="G385" t="inlineStr">
        <is>
          <t>EKSJÖ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55553-2023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45238</v>
      </c>
      <c r="E386" s="1" t="n">
        <v>46271</v>
      </c>
      <c r="F386" t="inlineStr">
        <is>
          <t>JÖNKÖPINGS LÄN</t>
        </is>
      </c>
      <c r="G386" t="inlineStr">
        <is>
          <t>EKSJÖ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28276-2025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45818</v>
      </c>
      <c r="E387" s="1" t="n">
        <v>46271</v>
      </c>
      <c r="F387" t="inlineStr">
        <is>
          <t>JÖNKÖPINGS LÄN</t>
        </is>
      </c>
      <c r="G387" t="inlineStr">
        <is>
          <t>EKSJÖ</t>
        </is>
      </c>
      <c r="H387" t="inlineStr">
        <is>
          <t>Övriga Aktiebolag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759-2026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46271</v>
      </c>
      <c r="F388" t="inlineStr">
        <is>
          <t>JÖNKÖPINGS LÄN</t>
        </is>
      </c>
      <c r="G388" t="inlineStr">
        <is>
          <t>EKSJÖ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45533</v>
      </c>
      <c r="E389" s="1" t="n">
        <v>46271</v>
      </c>
      <c r="F389" t="inlineStr">
        <is>
          <t>JÖNKÖPINGS LÄN</t>
        </is>
      </c>
      <c r="G389" t="inlineStr">
        <is>
          <t>EKSJÖ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32623-2022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44783</v>
      </c>
      <c r="E390" s="1" t="n">
        <v>46271</v>
      </c>
      <c r="F390" t="inlineStr">
        <is>
          <t>JÖNKÖPINGS LÄN</t>
        </is>
      </c>
      <c r="G390" t="inlineStr">
        <is>
          <t>EKSJÖ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45533</v>
      </c>
      <c r="E391" s="1" t="n">
        <v>46271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46271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56805-2024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46271</v>
      </c>
      <c r="F393" t="inlineStr">
        <is>
          <t>JÖNKÖPINGS LÄN</t>
        </is>
      </c>
      <c r="G393" t="inlineStr">
        <is>
          <t>EKSJÖ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26706-2022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46271</v>
      </c>
      <c r="F394" t="inlineStr">
        <is>
          <t>JÖNKÖPINGS LÄN</t>
        </is>
      </c>
      <c r="G394" t="inlineStr">
        <is>
          <t>EKSJÖ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30931-2023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45113</v>
      </c>
      <c r="E395" s="1" t="n">
        <v>46271</v>
      </c>
      <c r="F395" t="inlineStr">
        <is>
          <t>JÖNKÖPINGS LÄN</t>
        </is>
      </c>
      <c r="G395" t="inlineStr">
        <is>
          <t>EKSJÖ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45523</v>
      </c>
      <c r="E396" s="1" t="n">
        <v>46271</v>
      </c>
      <c r="F396" t="inlineStr">
        <is>
          <t>JÖNKÖPINGS LÄN</t>
        </is>
      </c>
      <c r="G396" t="inlineStr">
        <is>
          <t>EKSJÖ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34045-2024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45523</v>
      </c>
      <c r="E397" s="1" t="n">
        <v>46271</v>
      </c>
      <c r="F397" t="inlineStr">
        <is>
          <t>JÖNKÖPINGS LÄN</t>
        </is>
      </c>
      <c r="G397" t="inlineStr">
        <is>
          <t>EKSJÖ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50287-2024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45600</v>
      </c>
      <c r="E398" s="1" t="n">
        <v>46271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36042-2024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46271</v>
      </c>
      <c r="F399" t="inlineStr">
        <is>
          <t>JÖNKÖPINGS LÄN</t>
        </is>
      </c>
      <c r="G399" t="inlineStr">
        <is>
          <t>EKSJÖ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19468-2023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45049</v>
      </c>
      <c r="E400" s="1" t="n">
        <v>46271</v>
      </c>
      <c r="F400" t="inlineStr">
        <is>
          <t>JÖNKÖPINGS LÄN</t>
        </is>
      </c>
      <c r="G400" t="inlineStr">
        <is>
          <t>EKSJÖ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33969-2025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45842</v>
      </c>
      <c r="E401" s="1" t="n">
        <v>46271</v>
      </c>
      <c r="F401" t="inlineStr">
        <is>
          <t>JÖNKÖPINGS LÄN</t>
        </is>
      </c>
      <c r="G401" t="inlineStr">
        <is>
          <t>EKSJÖ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47390-2022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44853</v>
      </c>
      <c r="E402" s="1" t="n">
        <v>46271</v>
      </c>
      <c r="F402" t="inlineStr">
        <is>
          <t>JÖNKÖPINGS LÄN</t>
        </is>
      </c>
      <c r="G402" t="inlineStr">
        <is>
          <t>EKSJÖ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46271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9287-2025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46271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44925</v>
      </c>
      <c r="E405" s="1" t="n">
        <v>46271</v>
      </c>
      <c r="F405" t="inlineStr">
        <is>
          <t>JÖNKÖPINGS LÄN</t>
        </is>
      </c>
      <c r="G405" t="inlineStr">
        <is>
          <t>EKSJÖ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17635-2025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45758</v>
      </c>
      <c r="E406" s="1" t="n">
        <v>46271</v>
      </c>
      <c r="F406" t="inlineStr">
        <is>
          <t>JÖNKÖPINGS LÄN</t>
        </is>
      </c>
      <c r="G406" t="inlineStr">
        <is>
          <t>EKSJÖ</t>
        </is>
      </c>
      <c r="H406" t="inlineStr">
        <is>
          <t>Sveaskog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45882</v>
      </c>
      <c r="E407" s="1" t="n">
        <v>46271</v>
      </c>
      <c r="F407" t="inlineStr">
        <is>
          <t>JÖNKÖPINGS LÄN</t>
        </is>
      </c>
      <c r="G407" t="inlineStr">
        <is>
          <t>EKSJÖ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45882</v>
      </c>
      <c r="E408" s="1" t="n">
        <v>46271</v>
      </c>
      <c r="F408" t="inlineStr">
        <is>
          <t>JÖNKÖPINGS LÄN</t>
        </is>
      </c>
      <c r="G408" t="inlineStr">
        <is>
          <t>EKSJÖ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49681-2023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46271</v>
      </c>
      <c r="F409" t="inlineStr">
        <is>
          <t>JÖNKÖPINGS LÄN</t>
        </is>
      </c>
      <c r="G409" t="inlineStr">
        <is>
          <t>EKSJÖ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56804-2024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45628</v>
      </c>
      <c r="E410" s="1" t="n">
        <v>46271</v>
      </c>
      <c r="F410" t="inlineStr">
        <is>
          <t>JÖNKÖPINGS LÄN</t>
        </is>
      </c>
      <c r="G410" t="inlineStr">
        <is>
          <t>EKSJÖ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22860-2023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46271</v>
      </c>
      <c r="F411" t="inlineStr">
        <is>
          <t>JÖNKÖPINGS LÄN</t>
        </is>
      </c>
      <c r="G411" t="inlineStr">
        <is>
          <t>EKSJÖ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8070-2023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44974</v>
      </c>
      <c r="E412" s="1" t="n">
        <v>46271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44685</v>
      </c>
      <c r="E413" s="1" t="n">
        <v>46271</v>
      </c>
      <c r="F413" t="inlineStr">
        <is>
          <t>JÖNKÖPINGS LÄN</t>
        </is>
      </c>
      <c r="G413" t="inlineStr">
        <is>
          <t>EKSJÖ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46019-2022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44846</v>
      </c>
      <c r="E414" s="1" t="n">
        <v>46271</v>
      </c>
      <c r="F414" t="inlineStr">
        <is>
          <t>JÖNKÖPINGS LÄN</t>
        </is>
      </c>
      <c r="G414" t="inlineStr">
        <is>
          <t>EKSJÖ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38592-2022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44813</v>
      </c>
      <c r="E415" s="1" t="n">
        <v>46271</v>
      </c>
      <c r="F415" t="inlineStr">
        <is>
          <t>JÖNKÖPINGS LÄN</t>
        </is>
      </c>
      <c r="G415" t="inlineStr">
        <is>
          <t>EKSJÖ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45420</v>
      </c>
      <c r="E416" s="1" t="n">
        <v>46271</v>
      </c>
      <c r="F416" t="inlineStr">
        <is>
          <t>JÖNKÖPINGS LÄN</t>
        </is>
      </c>
      <c r="G416" t="inlineStr">
        <is>
          <t>EKSJÖ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46140</v>
      </c>
      <c r="E417" s="1" t="n">
        <v>46271</v>
      </c>
      <c r="F417" t="inlineStr">
        <is>
          <t>JÖNKÖPINGS LÄN</t>
        </is>
      </c>
      <c r="G417" t="inlineStr">
        <is>
          <t>EKSJÖ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45426</v>
      </c>
      <c r="E418" s="1" t="n">
        <v>46271</v>
      </c>
      <c r="F418" t="inlineStr">
        <is>
          <t>JÖNKÖPINGS LÄN</t>
        </is>
      </c>
      <c r="G418" t="inlineStr">
        <is>
          <t>EKSJÖ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36355-2022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44803</v>
      </c>
      <c r="E419" s="1" t="n">
        <v>46271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58632-2023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45251</v>
      </c>
      <c r="E420" s="1" t="n">
        <v>46271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58631-2023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45251</v>
      </c>
      <c r="E421" s="1" t="n">
        <v>46271</v>
      </c>
      <c r="F421" t="inlineStr">
        <is>
          <t>JÖNKÖPINGS LÄN</t>
        </is>
      </c>
      <c r="G421" t="inlineStr">
        <is>
          <t>EKSJÖ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46271</v>
      </c>
      <c r="F422" t="inlineStr">
        <is>
          <t>JÖNKÖPINGS LÄN</t>
        </is>
      </c>
      <c r="G422" t="inlineStr">
        <is>
          <t>EKSJÖ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23156-2023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45075</v>
      </c>
      <c r="E423" s="1" t="n">
        <v>46271</v>
      </c>
      <c r="F423" t="inlineStr">
        <is>
          <t>JÖNKÖPINGS LÄN</t>
        </is>
      </c>
      <c r="G423" t="inlineStr">
        <is>
          <t>EKSJÖ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46271</v>
      </c>
      <c r="F424" t="inlineStr">
        <is>
          <t>JÖNKÖPINGS LÄN</t>
        </is>
      </c>
      <c r="G424" t="inlineStr">
        <is>
          <t>EKSJÖ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8172-2023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44974</v>
      </c>
      <c r="E425" s="1" t="n">
        <v>46271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11446-2023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44991</v>
      </c>
      <c r="E426" s="1" t="n">
        <v>46271</v>
      </c>
      <c r="F426" t="inlineStr">
        <is>
          <t>JÖNKÖPINGS LÄN</t>
        </is>
      </c>
      <c r="G426" t="inlineStr">
        <is>
          <t>EKSJÖ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46013-2022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44846</v>
      </c>
      <c r="E427" s="1" t="n">
        <v>46271</v>
      </c>
      <c r="F427" t="inlineStr">
        <is>
          <t>JÖNKÖPINGS LÄN</t>
        </is>
      </c>
      <c r="G427" t="inlineStr">
        <is>
          <t>EKSJÖ</t>
        </is>
      </c>
      <c r="I427" t="n">
        <v>4.8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46014-2022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46271</v>
      </c>
      <c r="F428" t="inlineStr">
        <is>
          <t>JÖNKÖPINGS LÄN</t>
        </is>
      </c>
      <c r="G428" t="inlineStr">
        <is>
          <t>EKSJÖ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45468</v>
      </c>
      <c r="E429" s="1" t="n">
        <v>46271</v>
      </c>
      <c r="F429" t="inlineStr">
        <is>
          <t>JÖNKÖPINGS LÄN</t>
        </is>
      </c>
      <c r="G429" t="inlineStr">
        <is>
          <t>EKSJÖ</t>
        </is>
      </c>
      <c r="I429" t="n">
        <v>7.5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22456-2022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44713</v>
      </c>
      <c r="E430" s="1" t="n">
        <v>46271</v>
      </c>
      <c r="F430" t="inlineStr">
        <is>
          <t>JÖNKÖPINGS LÄN</t>
        </is>
      </c>
      <c r="G430" t="inlineStr">
        <is>
          <t>EKSJÖ</t>
        </is>
      </c>
      <c r="H430" t="inlineStr">
        <is>
          <t>Kyrkan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46271</v>
      </c>
      <c r="F431" t="inlineStr">
        <is>
          <t>JÖNKÖPINGS LÄN</t>
        </is>
      </c>
      <c r="G431" t="inlineStr">
        <is>
          <t>EKSJÖ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49403-2021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44454</v>
      </c>
      <c r="E432" s="1" t="n">
        <v>46271</v>
      </c>
      <c r="F432" t="inlineStr">
        <is>
          <t>JÖNKÖPINGS LÄN</t>
        </is>
      </c>
      <c r="G432" t="inlineStr">
        <is>
          <t>EKSJÖ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21073-2026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46271</v>
      </c>
      <c r="F433" t="inlineStr">
        <is>
          <t>JÖNKÖPINGS LÄN</t>
        </is>
      </c>
      <c r="G433" t="inlineStr">
        <is>
          <t>EKSJÖ</t>
        </is>
      </c>
      <c r="H433" t="inlineStr">
        <is>
          <t>Sveaskog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10972-2025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46271</v>
      </c>
      <c r="F434" t="inlineStr">
        <is>
          <t>JÖNKÖPINGS LÄN</t>
        </is>
      </c>
      <c r="G434" t="inlineStr">
        <is>
          <t>EKSJÖ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37144-2023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45154</v>
      </c>
      <c r="E435" s="1" t="n">
        <v>46271</v>
      </c>
      <c r="F435" t="inlineStr">
        <is>
          <t>JÖNKÖPINGS LÄN</t>
        </is>
      </c>
      <c r="G435" t="inlineStr">
        <is>
          <t>EKSJÖ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45328</v>
      </c>
      <c r="E436" s="1" t="n">
        <v>46271</v>
      </c>
      <c r="F436" t="inlineStr">
        <is>
          <t>JÖNKÖPINGS LÄN</t>
        </is>
      </c>
      <c r="G436" t="inlineStr">
        <is>
          <t>EKSJÖ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59734-2022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46271</v>
      </c>
      <c r="F437" t="inlineStr">
        <is>
          <t>JÖNKÖPINGS LÄN</t>
        </is>
      </c>
      <c r="G437" t="inlineStr">
        <is>
          <t>EKSJÖ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46271</v>
      </c>
      <c r="F438" t="inlineStr">
        <is>
          <t>JÖNKÖPINGS LÄN</t>
        </is>
      </c>
      <c r="G438" t="inlineStr">
        <is>
          <t>EKSJÖ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46271</v>
      </c>
      <c r="F439" t="inlineStr">
        <is>
          <t>JÖNKÖPINGS LÄN</t>
        </is>
      </c>
      <c r="G439" t="inlineStr">
        <is>
          <t>EKSJÖ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9058-2022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44615</v>
      </c>
      <c r="E440" s="1" t="n">
        <v>46271</v>
      </c>
      <c r="F440" t="inlineStr">
        <is>
          <t>JÖNKÖPINGS LÄN</t>
        </is>
      </c>
      <c r="G440" t="inlineStr">
        <is>
          <t>EKSJÖ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59955-2022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44909</v>
      </c>
      <c r="E441" s="1" t="n">
        <v>46271</v>
      </c>
      <c r="F441" t="inlineStr">
        <is>
          <t>JÖNKÖPINGS LÄN</t>
        </is>
      </c>
      <c r="G441" t="inlineStr">
        <is>
          <t>EKSJÖ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53053-2021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46271</v>
      </c>
      <c r="F442" t="inlineStr">
        <is>
          <t>JÖNKÖPINGS LÄN</t>
        </is>
      </c>
      <c r="G442" t="inlineStr">
        <is>
          <t>EKSJÖ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38337-2023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45161</v>
      </c>
      <c r="E443" s="1" t="n">
        <v>46271</v>
      </c>
      <c r="F443" t="inlineStr">
        <is>
          <t>JÖNKÖPINGS LÄN</t>
        </is>
      </c>
      <c r="G443" t="inlineStr">
        <is>
          <t>EKSJÖ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45224</v>
      </c>
      <c r="E444" s="1" t="n">
        <v>46271</v>
      </c>
      <c r="F444" t="inlineStr">
        <is>
          <t>JÖNKÖPINGS LÄN</t>
        </is>
      </c>
      <c r="G444" t="inlineStr">
        <is>
          <t>EKSJÖ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56689-2021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44481</v>
      </c>
      <c r="E445" s="1" t="n">
        <v>46271</v>
      </c>
      <c r="F445" t="inlineStr">
        <is>
          <t>JÖNKÖPINGS LÄN</t>
        </is>
      </c>
      <c r="G445" t="inlineStr">
        <is>
          <t>EKSJÖ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36873-2023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46271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60920-2025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45996</v>
      </c>
      <c r="E447" s="1" t="n">
        <v>46271</v>
      </c>
      <c r="F447" t="inlineStr">
        <is>
          <t>JÖNKÖPINGS LÄN</t>
        </is>
      </c>
      <c r="G447" t="inlineStr">
        <is>
          <t>EKSJÖ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23309-2026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46271</v>
      </c>
      <c r="F448" t="inlineStr">
        <is>
          <t>JÖNKÖPINGS LÄN</t>
        </is>
      </c>
      <c r="G448" t="inlineStr">
        <is>
          <t>EKSJÖ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46163</v>
      </c>
      <c r="E449" s="1" t="n">
        <v>46271</v>
      </c>
      <c r="F449" t="inlineStr">
        <is>
          <t>JÖNKÖPINGS LÄN</t>
        </is>
      </c>
      <c r="G449" t="inlineStr">
        <is>
          <t>EKSJÖ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23451-2026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46271</v>
      </c>
      <c r="F450" t="inlineStr">
        <is>
          <t>JÖNKÖPINGS LÄN</t>
        </is>
      </c>
      <c r="G450" t="inlineStr">
        <is>
          <t>EKSJÖ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45706</v>
      </c>
      <c r="E451" s="1" t="n">
        <v>46271</v>
      </c>
      <c r="F451" t="inlineStr">
        <is>
          <t>JÖNKÖPINGS LÄN</t>
        </is>
      </c>
      <c r="G451" t="inlineStr">
        <is>
          <t>EKSJÖ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10169-2025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45719</v>
      </c>
      <c r="E452" s="1" t="n">
        <v>46271</v>
      </c>
      <c r="F452" t="inlineStr">
        <is>
          <t>JÖNKÖPINGS LÄN</t>
        </is>
      </c>
      <c r="G452" t="inlineStr">
        <is>
          <t>EKSJÖ</t>
        </is>
      </c>
      <c r="H452" t="inlineStr">
        <is>
          <t>Sveaskog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23535-2026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46271</v>
      </c>
      <c r="F453" t="inlineStr">
        <is>
          <t>JÖNKÖPINGS LÄN</t>
        </is>
      </c>
      <c r="G453" t="inlineStr">
        <is>
          <t>EKSJÖ</t>
        </is>
      </c>
      <c r="I453" t="n">
        <v>0.2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23575-2026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46163</v>
      </c>
      <c r="E454" s="1" t="n">
        <v>46271</v>
      </c>
      <c r="F454" t="inlineStr">
        <is>
          <t>JÖNKÖPINGS LÄN</t>
        </is>
      </c>
      <c r="G454" t="inlineStr">
        <is>
          <t>EKSJÖ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23533-2026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46271</v>
      </c>
      <c r="F455" t="inlineStr">
        <is>
          <t>JÖNKÖPINGS LÄN</t>
        </is>
      </c>
      <c r="G455" t="inlineStr">
        <is>
          <t>EKSJÖ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23488-2026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46271</v>
      </c>
      <c r="F456" t="inlineStr">
        <is>
          <t>JÖNKÖPINGS LÄN</t>
        </is>
      </c>
      <c r="G456" t="inlineStr">
        <is>
          <t>EKSJÖ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23572-2026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46271</v>
      </c>
      <c r="F457" t="inlineStr">
        <is>
          <t>JÖNKÖPINGS LÄN</t>
        </is>
      </c>
      <c r="G457" t="inlineStr">
        <is>
          <t>EKSJÖ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20897-2022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44701</v>
      </c>
      <c r="E458" s="1" t="n">
        <v>46271</v>
      </c>
      <c r="F458" t="inlineStr">
        <is>
          <t>JÖNKÖPINGS LÄN</t>
        </is>
      </c>
      <c r="G458" t="inlineStr">
        <is>
          <t>EKSJÖ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46271</v>
      </c>
      <c r="F459" t="inlineStr">
        <is>
          <t>JÖNKÖPINGS LÄN</t>
        </is>
      </c>
      <c r="G459" t="inlineStr">
        <is>
          <t>EKSJÖ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24556-2023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45082</v>
      </c>
      <c r="E460" s="1" t="n">
        <v>46271</v>
      </c>
      <c r="F460" t="inlineStr">
        <is>
          <t>JÖNKÖPINGS LÄN</t>
        </is>
      </c>
      <c r="G460" t="inlineStr">
        <is>
          <t>EKSJÖ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45916</v>
      </c>
      <c r="E461" s="1" t="n">
        <v>46271</v>
      </c>
      <c r="F461" t="inlineStr">
        <is>
          <t>JÖNKÖPINGS LÄN</t>
        </is>
      </c>
      <c r="G461" t="inlineStr">
        <is>
          <t>EKSJÖ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61850-2024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45649</v>
      </c>
      <c r="E462" s="1" t="n">
        <v>46271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27077-2023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45096</v>
      </c>
      <c r="E463" s="1" t="n">
        <v>46271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54916-2023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45236</v>
      </c>
      <c r="E464" s="1" t="n">
        <v>46271</v>
      </c>
      <c r="F464" t="inlineStr">
        <is>
          <t>JÖNKÖPINGS LÄN</t>
        </is>
      </c>
      <c r="G464" t="inlineStr">
        <is>
          <t>EKSJÖ</t>
        </is>
      </c>
      <c r="H464" t="inlineStr">
        <is>
          <t>Övriga Aktiebolag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46271</v>
      </c>
      <c r="F465" t="inlineStr">
        <is>
          <t>JÖNKÖPINGS LÄN</t>
        </is>
      </c>
      <c r="G465" t="inlineStr">
        <is>
          <t>EKSJÖ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63959-2023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46271</v>
      </c>
      <c r="F466" t="inlineStr">
        <is>
          <t>JÖNKÖPINGS LÄN</t>
        </is>
      </c>
      <c r="G466" t="inlineStr">
        <is>
          <t>EKSJÖ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25066-2026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46174</v>
      </c>
      <c r="E467" s="1" t="n">
        <v>46271</v>
      </c>
      <c r="F467" t="inlineStr">
        <is>
          <t>JÖNKÖPINGS LÄN</t>
        </is>
      </c>
      <c r="G467" t="inlineStr">
        <is>
          <t>EKSJÖ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25132-2026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46175</v>
      </c>
      <c r="E468" s="1" t="n">
        <v>46271</v>
      </c>
      <c r="F468" t="inlineStr">
        <is>
          <t>JÖNKÖPINGS LÄN</t>
        </is>
      </c>
      <c r="G468" t="inlineStr">
        <is>
          <t>EKSJÖ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25140-2026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46271</v>
      </c>
      <c r="F469" t="inlineStr">
        <is>
          <t>JÖNKÖPINGS LÄN</t>
        </is>
      </c>
      <c r="G469" t="inlineStr">
        <is>
          <t>EKSJÖ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44966</v>
      </c>
      <c r="E470" s="1" t="n">
        <v>46271</v>
      </c>
      <c r="F470" t="inlineStr">
        <is>
          <t>JÖNKÖPINGS LÄN</t>
        </is>
      </c>
      <c r="G470" t="inlineStr">
        <is>
          <t>EKSJÖ</t>
        </is>
      </c>
      <c r="H470" t="inlineStr">
        <is>
          <t>Kyrkan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37918-2023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45160</v>
      </c>
      <c r="E471" s="1" t="n">
        <v>46271</v>
      </c>
      <c r="F471" t="inlineStr">
        <is>
          <t>JÖNKÖPINGS LÄN</t>
        </is>
      </c>
      <c r="G471" t="inlineStr">
        <is>
          <t>EKSJÖ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11007-2024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46271</v>
      </c>
      <c r="F472" t="inlineStr">
        <is>
          <t>JÖNKÖPINGS LÄN</t>
        </is>
      </c>
      <c r="G472" t="inlineStr">
        <is>
          <t>EKSJÖ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46178</v>
      </c>
      <c r="E473" s="1" t="n">
        <v>46271</v>
      </c>
      <c r="F473" t="inlineStr">
        <is>
          <t>JÖNKÖPINGS LÄN</t>
        </is>
      </c>
      <c r="G473" t="inlineStr">
        <is>
          <t>EKSJÖ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21883-2023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45068</v>
      </c>
      <c r="E474" s="1" t="n">
        <v>46271</v>
      </c>
      <c r="F474" t="inlineStr">
        <is>
          <t>JÖNKÖPINGS LÄN</t>
        </is>
      </c>
      <c r="G474" t="inlineStr">
        <is>
          <t>EKSJÖ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71313-2021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44539</v>
      </c>
      <c r="E475" s="1" t="n">
        <v>46271</v>
      </c>
      <c r="F475" t="inlineStr">
        <is>
          <t>JÖNKÖPINGS LÄN</t>
        </is>
      </c>
      <c r="G475" t="inlineStr">
        <is>
          <t>EKSJÖ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46178</v>
      </c>
      <c r="E476" s="1" t="n">
        <v>46271</v>
      </c>
      <c r="F476" t="inlineStr">
        <is>
          <t>JÖNKÖPINGS LÄN</t>
        </is>
      </c>
      <c r="G476" t="inlineStr">
        <is>
          <t>EKSJÖ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26179-2026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46182</v>
      </c>
      <c r="E477" s="1" t="n">
        <v>46271</v>
      </c>
      <c r="F477" t="inlineStr">
        <is>
          <t>JÖNKÖPINGS LÄN</t>
        </is>
      </c>
      <c r="G477" t="inlineStr">
        <is>
          <t>EKSJÖ</t>
        </is>
      </c>
      <c r="H477" t="inlineStr">
        <is>
          <t>Kyrkan</t>
        </is>
      </c>
      <c r="I477" t="n">
        <v>15.2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59254-2023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45253</v>
      </c>
      <c r="E478" s="1" t="n">
        <v>46271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45493-2022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44845</v>
      </c>
      <c r="E479" s="1" t="n">
        <v>46271</v>
      </c>
      <c r="F479" t="inlineStr">
        <is>
          <t>JÖNKÖPINGS LÄN</t>
        </is>
      </c>
      <c r="G479" t="inlineStr">
        <is>
          <t>EKSJÖ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26405-2026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46271</v>
      </c>
      <c r="F480" t="inlineStr">
        <is>
          <t>JÖNKÖPINGS LÄN</t>
        </is>
      </c>
      <c r="G480" t="inlineStr">
        <is>
          <t>EKSJÖ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26648-2026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46184</v>
      </c>
      <c r="E481" s="1" t="n">
        <v>46271</v>
      </c>
      <c r="F481" t="inlineStr">
        <is>
          <t>JÖNKÖPINGS LÄN</t>
        </is>
      </c>
      <c r="G481" t="inlineStr">
        <is>
          <t>EKSJÖ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46271</v>
      </c>
      <c r="F482" t="inlineStr">
        <is>
          <t>JÖNKÖPINGS LÄN</t>
        </is>
      </c>
      <c r="G482" t="inlineStr">
        <is>
          <t>EKSJÖ</t>
        </is>
      </c>
      <c r="I482" t="n">
        <v>6.9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55817-2023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46271</v>
      </c>
      <c r="F483" t="inlineStr">
        <is>
          <t>JÖNKÖPINGS LÄN</t>
        </is>
      </c>
      <c r="G483" t="inlineStr">
        <is>
          <t>EKSJÖ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46184</v>
      </c>
      <c r="E484" s="1" t="n">
        <v>46271</v>
      </c>
      <c r="F484" t="inlineStr">
        <is>
          <t>JÖNKÖPINGS LÄN</t>
        </is>
      </c>
      <c r="G484" t="inlineStr">
        <is>
          <t>EKSJÖ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46271</v>
      </c>
      <c r="F485" t="inlineStr">
        <is>
          <t>JÖNKÖPINGS LÄN</t>
        </is>
      </c>
      <c r="G485" t="inlineStr">
        <is>
          <t>EKSJÖ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45370</v>
      </c>
      <c r="E486" s="1" t="n">
        <v>46271</v>
      </c>
      <c r="F486" t="inlineStr">
        <is>
          <t>JÖNKÖPINGS LÄN</t>
        </is>
      </c>
      <c r="G486" t="inlineStr">
        <is>
          <t>EKSJÖ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46271</v>
      </c>
      <c r="F487" t="inlineStr">
        <is>
          <t>JÖNKÖPINGS LÄN</t>
        </is>
      </c>
      <c r="G487" t="inlineStr">
        <is>
          <t>EKSJÖ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5629-2024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45334</v>
      </c>
      <c r="E488" s="1" t="n">
        <v>46271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45334</v>
      </c>
      <c r="E489" s="1" t="n">
        <v>46271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50165-2022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44865</v>
      </c>
      <c r="E490" s="1" t="n">
        <v>46271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29878-2023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45107</v>
      </c>
      <c r="E491" s="1" t="n">
        <v>46271</v>
      </c>
      <c r="F491" t="inlineStr">
        <is>
          <t>JÖNKÖPINGS LÄN</t>
        </is>
      </c>
      <c r="G491" t="inlineStr">
        <is>
          <t>EKSJÖ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45204</v>
      </c>
      <c r="E492" s="1" t="n">
        <v>46271</v>
      </c>
      <c r="F492" t="inlineStr">
        <is>
          <t>JÖNKÖPINGS LÄN</t>
        </is>
      </c>
      <c r="G492" t="inlineStr">
        <is>
          <t>EKSJÖ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9294-2025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45714</v>
      </c>
      <c r="E493" s="1" t="n">
        <v>46271</v>
      </c>
      <c r="F493" t="inlineStr">
        <is>
          <t>JÖNKÖPINGS LÄN</t>
        </is>
      </c>
      <c r="G493" t="inlineStr">
        <is>
          <t>EKSJÖ</t>
        </is>
      </c>
      <c r="H493" t="inlineStr">
        <is>
          <t>Sveaskog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27220-2026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46271</v>
      </c>
      <c r="F494" t="inlineStr">
        <is>
          <t>JÖNKÖPINGS LÄN</t>
        </is>
      </c>
      <c r="G494" t="inlineStr">
        <is>
          <t>EKSJÖ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44974</v>
      </c>
      <c r="E495" s="1" t="n">
        <v>46271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41397-2024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46271</v>
      </c>
      <c r="F496" t="inlineStr">
        <is>
          <t>JÖNKÖPINGS LÄN</t>
        </is>
      </c>
      <c r="G496" t="inlineStr">
        <is>
          <t>EKSJÖ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45367-2024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45576</v>
      </c>
      <c r="E497" s="1" t="n">
        <v>46271</v>
      </c>
      <c r="F497" t="inlineStr">
        <is>
          <t>JÖNKÖPINGS LÄN</t>
        </is>
      </c>
      <c r="G497" t="inlineStr">
        <is>
          <t>EKSJÖ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59050-2021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44490</v>
      </c>
      <c r="E498" s="1" t="n">
        <v>46271</v>
      </c>
      <c r="F498" t="inlineStr">
        <is>
          <t>JÖNKÖPINGS LÄN</t>
        </is>
      </c>
      <c r="G498" t="inlineStr">
        <is>
          <t>EKSJÖ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23535-2023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45076</v>
      </c>
      <c r="E499" s="1" t="n">
        <v>46271</v>
      </c>
      <c r="F499" t="inlineStr">
        <is>
          <t>JÖNKÖPINGS LÄN</t>
        </is>
      </c>
      <c r="G499" t="inlineStr">
        <is>
          <t>EKSJÖ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27395-2023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45096</v>
      </c>
      <c r="E500" s="1" t="n">
        <v>46271</v>
      </c>
      <c r="F500" t="inlineStr">
        <is>
          <t>JÖNKÖPINGS LÄN</t>
        </is>
      </c>
      <c r="G500" t="inlineStr">
        <is>
          <t>EKSJÖ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45372</v>
      </c>
      <c r="E501" s="1" t="n">
        <v>46271</v>
      </c>
      <c r="F501" t="inlineStr">
        <is>
          <t>JÖNKÖPINGS LÄN</t>
        </is>
      </c>
      <c r="G501" t="inlineStr">
        <is>
          <t>EKSJÖ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44623</v>
      </c>
      <c r="E502" s="1" t="n">
        <v>46271</v>
      </c>
      <c r="F502" t="inlineStr">
        <is>
          <t>JÖNKÖPINGS LÄN</t>
        </is>
      </c>
      <c r="G502" t="inlineStr">
        <is>
          <t>EKSJÖ</t>
        </is>
      </c>
      <c r="H502" t="inlineStr">
        <is>
          <t>Sveaskog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37753-2023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45156</v>
      </c>
      <c r="E503" s="1" t="n">
        <v>46271</v>
      </c>
      <c r="F503" t="inlineStr">
        <is>
          <t>JÖNKÖPINGS LÄN</t>
        </is>
      </c>
      <c r="G503" t="inlineStr">
        <is>
          <t>EKSJÖ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22670-2023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45071</v>
      </c>
      <c r="E504" s="1" t="n">
        <v>46271</v>
      </c>
      <c r="F504" t="inlineStr">
        <is>
          <t>JÖNKÖPINGS LÄN</t>
        </is>
      </c>
      <c r="G504" t="inlineStr">
        <is>
          <t>EKSJÖ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59905-2022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44908</v>
      </c>
      <c r="E505" s="1" t="n">
        <v>46271</v>
      </c>
      <c r="F505" t="inlineStr">
        <is>
          <t>JÖNKÖPINGS LÄN</t>
        </is>
      </c>
      <c r="G505" t="inlineStr">
        <is>
          <t>EKSJÖ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13833-2024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45391</v>
      </c>
      <c r="E506" s="1" t="n">
        <v>46271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44581</v>
      </c>
      <c r="E507" s="1" t="n">
        <v>46271</v>
      </c>
      <c r="F507" t="inlineStr">
        <is>
          <t>JÖNKÖPINGS LÄN</t>
        </is>
      </c>
      <c r="G507" t="inlineStr">
        <is>
          <t>EKSJÖ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30527-2023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45111</v>
      </c>
      <c r="E508" s="1" t="n">
        <v>46271</v>
      </c>
      <c r="F508" t="inlineStr">
        <is>
          <t>JÖNKÖPINGS LÄN</t>
        </is>
      </c>
      <c r="G508" t="inlineStr">
        <is>
          <t>EKSJÖ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6236-2022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44600</v>
      </c>
      <c r="E509" s="1" t="n">
        <v>46271</v>
      </c>
      <c r="F509" t="inlineStr">
        <is>
          <t>JÖNKÖPINGS LÄN</t>
        </is>
      </c>
      <c r="G509" t="inlineStr">
        <is>
          <t>EKSJÖ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9363-2025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46271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46271</v>
      </c>
      <c r="F511" t="inlineStr">
        <is>
          <t>JÖNKÖPINGS LÄN</t>
        </is>
      </c>
      <c r="G511" t="inlineStr">
        <is>
          <t>EKSJÖ</t>
        </is>
      </c>
      <c r="I511" t="n">
        <v>7.1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28624-2026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46271</v>
      </c>
      <c r="F512" t="inlineStr">
        <is>
          <t>JÖNKÖPINGS LÄN</t>
        </is>
      </c>
      <c r="G512" t="inlineStr">
        <is>
          <t>EKSJÖ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17030-2024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45411</v>
      </c>
      <c r="E513" s="1" t="n">
        <v>46271</v>
      </c>
      <c r="F513" t="inlineStr">
        <is>
          <t>JÖNKÖPINGS LÄN</t>
        </is>
      </c>
      <c r="G513" t="inlineStr">
        <is>
          <t>EKSJÖ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45214</v>
      </c>
      <c r="E514" s="1" t="n">
        <v>46271</v>
      </c>
      <c r="F514" t="inlineStr">
        <is>
          <t>JÖNKÖPINGS LÄN</t>
        </is>
      </c>
      <c r="G514" t="inlineStr">
        <is>
          <t>EKSJÖ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46271</v>
      </c>
      <c r="F515" t="inlineStr">
        <is>
          <t>JÖNKÖPINGS LÄN</t>
        </is>
      </c>
      <c r="G515" t="inlineStr">
        <is>
          <t>EKSJÖ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44746</v>
      </c>
      <c r="E516" s="1" t="n">
        <v>46271</v>
      </c>
      <c r="F516" t="inlineStr">
        <is>
          <t>JÖNKÖPINGS LÄN</t>
        </is>
      </c>
      <c r="G516" t="inlineStr">
        <is>
          <t>EKSJÖ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28401-2026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46197</v>
      </c>
      <c r="E517" s="1" t="n">
        <v>46271</v>
      </c>
      <c r="F517" t="inlineStr">
        <is>
          <t>JÖNKÖPINGS LÄN</t>
        </is>
      </c>
      <c r="G517" t="inlineStr">
        <is>
          <t>EKSJÖ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45300</v>
      </c>
      <c r="E518" s="1" t="n">
        <v>46271</v>
      </c>
      <c r="F518" t="inlineStr">
        <is>
          <t>JÖNKÖPINGS LÄN</t>
        </is>
      </c>
      <c r="G518" t="inlineStr">
        <is>
          <t>EKSJÖ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46271</v>
      </c>
      <c r="F519" t="inlineStr">
        <is>
          <t>JÖNKÖPINGS LÄN</t>
        </is>
      </c>
      <c r="G519" t="inlineStr">
        <is>
          <t>EKSJÖ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46271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58095-2024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46271</v>
      </c>
      <c r="F521" t="inlineStr">
        <is>
          <t>JÖNKÖPINGS LÄN</t>
        </is>
      </c>
      <c r="G521" t="inlineStr">
        <is>
          <t>EKSJÖ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46271</v>
      </c>
      <c r="F522" t="inlineStr">
        <is>
          <t>JÖNKÖPINGS LÄN</t>
        </is>
      </c>
      <c r="G522" t="inlineStr">
        <is>
          <t>EKSJÖ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48740-2023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45208</v>
      </c>
      <c r="E523" s="1" t="n">
        <v>46271</v>
      </c>
      <c r="F523" t="inlineStr">
        <is>
          <t>JÖNKÖPINGS LÄN</t>
        </is>
      </c>
      <c r="G523" t="inlineStr">
        <is>
          <t>EKSJÖ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51020-2023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45218</v>
      </c>
      <c r="E524" s="1" t="n">
        <v>46271</v>
      </c>
      <c r="F524" t="inlineStr">
        <is>
          <t>JÖNKÖPINGS LÄN</t>
        </is>
      </c>
      <c r="G524" t="inlineStr">
        <is>
          <t>EKSJÖ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29193-2026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46202</v>
      </c>
      <c r="E525" s="1" t="n">
        <v>46271</v>
      </c>
      <c r="F525" t="inlineStr">
        <is>
          <t>JÖNKÖPINGS LÄN</t>
        </is>
      </c>
      <c r="G525" t="inlineStr">
        <is>
          <t>EKSJÖ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5638-2024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45334</v>
      </c>
      <c r="E526" s="1" t="n">
        <v>46271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29043-2026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46199</v>
      </c>
      <c r="E527" s="1" t="n">
        <v>46271</v>
      </c>
      <c r="F527" t="inlineStr">
        <is>
          <t>JÖNKÖPINGS LÄN</t>
        </is>
      </c>
      <c r="G527" t="inlineStr">
        <is>
          <t>EKSJÖ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46577-2022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44848</v>
      </c>
      <c r="E528" s="1" t="n">
        <v>46271</v>
      </c>
      <c r="F528" t="inlineStr">
        <is>
          <t>JÖNKÖPINGS LÄN</t>
        </is>
      </c>
      <c r="G528" t="inlineStr">
        <is>
          <t>EKSJÖ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36503-2024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46271</v>
      </c>
      <c r="F529" t="inlineStr">
        <is>
          <t>JÖNKÖPINGS LÄN</t>
        </is>
      </c>
      <c r="G529" t="inlineStr">
        <is>
          <t>EKSJÖ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9292-2025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45714</v>
      </c>
      <c r="E530" s="1" t="n">
        <v>46271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9300-2025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46271</v>
      </c>
      <c r="F531" t="inlineStr">
        <is>
          <t>JÖNKÖPINGS LÄN</t>
        </is>
      </c>
      <c r="G531" t="inlineStr">
        <is>
          <t>EKSJÖ</t>
        </is>
      </c>
      <c r="H531" t="inlineStr">
        <is>
          <t>Sveaskog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45715</v>
      </c>
      <c r="E532" s="1" t="n">
        <v>46271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9400-2025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46271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9404-2025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46271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47204-2022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44851</v>
      </c>
      <c r="E535" s="1" t="n">
        <v>46271</v>
      </c>
      <c r="F535" t="inlineStr">
        <is>
          <t>JÖNKÖPINGS LÄN</t>
        </is>
      </c>
      <c r="G535" t="inlineStr">
        <is>
          <t>EKSJÖ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45707</v>
      </c>
      <c r="E536" s="1" t="n">
        <v>46271</v>
      </c>
      <c r="F536" t="inlineStr">
        <is>
          <t>JÖNKÖPINGS LÄN</t>
        </is>
      </c>
      <c r="G536" t="inlineStr">
        <is>
          <t>EKSJÖ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4929-2024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45329</v>
      </c>
      <c r="E537" s="1" t="n">
        <v>46271</v>
      </c>
      <c r="F537" t="inlineStr">
        <is>
          <t>JÖNKÖPINGS LÄN</t>
        </is>
      </c>
      <c r="G537" t="inlineStr">
        <is>
          <t>EKSJÖ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46271</v>
      </c>
      <c r="F538" t="inlineStr">
        <is>
          <t>JÖNKÖPINGS LÄN</t>
        </is>
      </c>
      <c r="G538" t="inlineStr">
        <is>
          <t>EKSJÖ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45334</v>
      </c>
      <c r="E539" s="1" t="n">
        <v>46271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5640-2024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45334</v>
      </c>
      <c r="E540" s="1" t="n">
        <v>46271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46247</v>
      </c>
      <c r="E541" s="1" t="n">
        <v>46271</v>
      </c>
      <c r="F541" t="inlineStr">
        <is>
          <t>JÖNKÖPINGS LÄN</t>
        </is>
      </c>
      <c r="G541" t="inlineStr">
        <is>
          <t>EKSJÖ</t>
        </is>
      </c>
      <c r="H541" t="inlineStr">
        <is>
          <t>Sveaskog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2224-2023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44939</v>
      </c>
      <c r="E542" s="1" t="n">
        <v>46271</v>
      </c>
      <c r="F542" t="inlineStr">
        <is>
          <t>JÖNKÖPINGS LÄN</t>
        </is>
      </c>
      <c r="G542" t="inlineStr">
        <is>
          <t>EKSJÖ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41816-2024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46271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23183-2022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44719</v>
      </c>
      <c r="E544" s="1" t="n">
        <v>46271</v>
      </c>
      <c r="F544" t="inlineStr">
        <is>
          <t>JÖNKÖPINGS LÄN</t>
        </is>
      </c>
      <c r="G544" t="inlineStr">
        <is>
          <t>EKSJÖ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18337-2025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45762</v>
      </c>
      <c r="E545" s="1" t="n">
        <v>46271</v>
      </c>
      <c r="F545" t="inlineStr">
        <is>
          <t>JÖNKÖPINGS LÄN</t>
        </is>
      </c>
      <c r="G545" t="inlineStr">
        <is>
          <t>EKSJÖ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30362-2026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46209</v>
      </c>
      <c r="E546" s="1" t="n">
        <v>46271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30392-2026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46209</v>
      </c>
      <c r="E547" s="1" t="n">
        <v>46271</v>
      </c>
      <c r="F547" t="inlineStr">
        <is>
          <t>JÖNKÖPINGS LÄN</t>
        </is>
      </c>
      <c r="G547" t="inlineStr">
        <is>
          <t>EKSJÖ</t>
        </is>
      </c>
      <c r="H547" t="inlineStr">
        <is>
          <t>Sveaskog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30394-2026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46271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1903-2025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45671</v>
      </c>
      <c r="E549" s="1" t="n">
        <v>46271</v>
      </c>
      <c r="F549" t="inlineStr">
        <is>
          <t>JÖNKÖPINGS LÄN</t>
        </is>
      </c>
      <c r="G549" t="inlineStr">
        <is>
          <t>EKSJÖ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46271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8165-2022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44609</v>
      </c>
      <c r="E551" s="1" t="n">
        <v>46271</v>
      </c>
      <c r="F551" t="inlineStr">
        <is>
          <t>JÖNKÖPINGS LÄN</t>
        </is>
      </c>
      <c r="G551" t="inlineStr">
        <is>
          <t>EKSJÖ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30363-2026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46271</v>
      </c>
      <c r="F552" t="inlineStr">
        <is>
          <t>JÖNKÖPINGS LÄN</t>
        </is>
      </c>
      <c r="G552" t="inlineStr">
        <is>
          <t>EKSJÖ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44999</v>
      </c>
      <c r="E553" s="1" t="n">
        <v>46271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44999</v>
      </c>
      <c r="E554" s="1" t="n">
        <v>46271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31332-2026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46271</v>
      </c>
      <c r="F555" t="inlineStr">
        <is>
          <t>JÖNKÖPINGS LÄN</t>
        </is>
      </c>
      <c r="G555" t="inlineStr">
        <is>
          <t>EKSJÖ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50275-2023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45209</v>
      </c>
      <c r="E556" s="1" t="n">
        <v>46271</v>
      </c>
      <c r="F556" t="inlineStr">
        <is>
          <t>JÖNKÖPINGS LÄN</t>
        </is>
      </c>
      <c r="G556" t="inlineStr">
        <is>
          <t>EKSJÖ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34514-2026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46255</v>
      </c>
      <c r="E557" s="1" t="n">
        <v>46271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34518-2026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46255</v>
      </c>
      <c r="E558" s="1" t="n">
        <v>46271</v>
      </c>
      <c r="F558" t="inlineStr">
        <is>
          <t>JÖNKÖPINGS LÄN</t>
        </is>
      </c>
      <c r="G558" t="inlineStr">
        <is>
          <t>EKSJÖ</t>
        </is>
      </c>
      <c r="H558" t="inlineStr">
        <is>
          <t>Sveaskog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46255</v>
      </c>
      <c r="E559" s="1" t="n">
        <v>46271</v>
      </c>
      <c r="F559" t="inlineStr">
        <is>
          <t>JÖNKÖPINGS LÄN</t>
        </is>
      </c>
      <c r="G559" t="inlineStr">
        <is>
          <t>EKSJÖ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46271</v>
      </c>
      <c r="F560" t="inlineStr">
        <is>
          <t>JÖNKÖPINGS LÄN</t>
        </is>
      </c>
      <c r="G560" t="inlineStr">
        <is>
          <t>EKSJÖ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20960-2025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45777</v>
      </c>
      <c r="E561" s="1" t="n">
        <v>46271</v>
      </c>
      <c r="F561" t="inlineStr">
        <is>
          <t>JÖNKÖPINGS LÄN</t>
        </is>
      </c>
      <c r="G561" t="inlineStr">
        <is>
          <t>EKSJÖ</t>
        </is>
      </c>
      <c r="H561" t="inlineStr">
        <is>
          <t>Kommuner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20986-2025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45777</v>
      </c>
      <c r="E562" s="1" t="n">
        <v>46271</v>
      </c>
      <c r="F562" t="inlineStr">
        <is>
          <t>JÖNKÖPINGS LÄN</t>
        </is>
      </c>
      <c r="G562" t="inlineStr">
        <is>
          <t>EKSJÖ</t>
        </is>
      </c>
      <c r="H562" t="inlineStr">
        <is>
          <t>Kommuner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34534-2026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46255</v>
      </c>
      <c r="E563" s="1" t="n">
        <v>46271</v>
      </c>
      <c r="F563" t="inlineStr">
        <is>
          <t>JÖNKÖPINGS LÄN</t>
        </is>
      </c>
      <c r="G563" t="inlineStr">
        <is>
          <t>EKSJÖ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45779</v>
      </c>
      <c r="E564" s="1" t="n">
        <v>46271</v>
      </c>
      <c r="F564" t="inlineStr">
        <is>
          <t>JÖNKÖPINGS LÄN</t>
        </is>
      </c>
      <c r="G564" t="inlineStr">
        <is>
          <t>EKSJÖ</t>
        </is>
      </c>
      <c r="H564" t="inlineStr">
        <is>
          <t>Kommuner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34352-2026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46254</v>
      </c>
      <c r="E565" s="1" t="n">
        <v>46271</v>
      </c>
      <c r="F565" t="inlineStr">
        <is>
          <t>JÖNKÖPINGS LÄN</t>
        </is>
      </c>
      <c r="G565" t="inlineStr">
        <is>
          <t>EKSJÖ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46271</v>
      </c>
      <c r="F566" t="inlineStr">
        <is>
          <t>JÖNKÖPINGS LÄN</t>
        </is>
      </c>
      <c r="G566" t="inlineStr">
        <is>
          <t>EKSJÖ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46212</v>
      </c>
      <c r="E567" s="1" t="n">
        <v>46271</v>
      </c>
      <c r="F567" t="inlineStr">
        <is>
          <t>JÖNKÖPINGS LÄN</t>
        </is>
      </c>
      <c r="G567" t="inlineStr">
        <is>
          <t>EKSJÖ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59234-2024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45637</v>
      </c>
      <c r="E568" s="1" t="n">
        <v>46271</v>
      </c>
      <c r="F568" t="inlineStr">
        <is>
          <t>JÖNKÖPINGS LÄN</t>
        </is>
      </c>
      <c r="G568" t="inlineStr">
        <is>
          <t>EKSJÖ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19497-2025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45770</v>
      </c>
      <c r="E569" s="1" t="n">
        <v>46271</v>
      </c>
      <c r="F569" t="inlineStr">
        <is>
          <t>JÖNKÖPINGS LÄN</t>
        </is>
      </c>
      <c r="G569" t="inlineStr">
        <is>
          <t>EKSJÖ</t>
        </is>
      </c>
      <c r="H569" t="inlineStr">
        <is>
          <t>Sveaskog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7723-2025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45706</v>
      </c>
      <c r="E570" s="1" t="n">
        <v>46271</v>
      </c>
      <c r="F570" t="inlineStr">
        <is>
          <t>JÖNKÖPINGS LÄN</t>
        </is>
      </c>
      <c r="G570" t="inlineStr">
        <is>
          <t>EKSJÖ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46271</v>
      </c>
      <c r="F571" t="inlineStr">
        <is>
          <t>JÖNKÖPINGS LÄN</t>
        </is>
      </c>
      <c r="G571" t="inlineStr">
        <is>
          <t>EKSJÖ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22574-2025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45786</v>
      </c>
      <c r="E572" s="1" t="n">
        <v>46271</v>
      </c>
      <c r="F572" t="inlineStr">
        <is>
          <t>JÖNKÖPINGS LÄN</t>
        </is>
      </c>
      <c r="G572" t="inlineStr">
        <is>
          <t>EKSJÖ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46271</v>
      </c>
      <c r="F573" t="inlineStr">
        <is>
          <t>JÖNKÖPINGS LÄN</t>
        </is>
      </c>
      <c r="G573" t="inlineStr">
        <is>
          <t>EKSJÖ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7585-2025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45705</v>
      </c>
      <c r="E574" s="1" t="n">
        <v>46271</v>
      </c>
      <c r="F574" t="inlineStr">
        <is>
          <t>JÖNKÖPINGS LÄN</t>
        </is>
      </c>
      <c r="G574" t="inlineStr">
        <is>
          <t>EKSJÖ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45175</v>
      </c>
      <c r="E575" s="1" t="n">
        <v>46271</v>
      </c>
      <c r="F575" t="inlineStr">
        <is>
          <t>JÖNKÖPINGS LÄN</t>
        </is>
      </c>
      <c r="G575" t="inlineStr">
        <is>
          <t>EKSJÖ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35253-2024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45530</v>
      </c>
      <c r="E576" s="1" t="n">
        <v>46271</v>
      </c>
      <c r="F576" t="inlineStr">
        <is>
          <t>JÖNKÖPINGS LÄN</t>
        </is>
      </c>
      <c r="G576" t="inlineStr">
        <is>
          <t>EKSJÖ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45790</v>
      </c>
      <c r="E577" s="1" t="n">
        <v>46271</v>
      </c>
      <c r="F577" t="inlineStr">
        <is>
          <t>JÖNKÖPINGS LÄN</t>
        </is>
      </c>
      <c r="G577" t="inlineStr">
        <is>
          <t>EKSJÖ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35154-2026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46260</v>
      </c>
      <c r="E578" s="1" t="n">
        <v>46271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46271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45743-2024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45579</v>
      </c>
      <c r="E580" s="1" t="n">
        <v>46271</v>
      </c>
      <c r="F580" t="inlineStr">
        <is>
          <t>JÖNKÖPINGS LÄN</t>
        </is>
      </c>
      <c r="G580" t="inlineStr">
        <is>
          <t>EKSJÖ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23387-2025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46271</v>
      </c>
      <c r="F581" t="inlineStr">
        <is>
          <t>JÖNKÖPINGS LÄN</t>
        </is>
      </c>
      <c r="G581" t="inlineStr">
        <is>
          <t>EKSJÖ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33436-2026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46271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23386-2025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45791</v>
      </c>
      <c r="E583" s="1" t="n">
        <v>46271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46271</v>
      </c>
      <c r="F584" t="inlineStr">
        <is>
          <t>JÖNKÖPINGS LÄN</t>
        </is>
      </c>
      <c r="G584" t="inlineStr">
        <is>
          <t>EKSJÖ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33456-2026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46247</v>
      </c>
      <c r="E585" s="1" t="n">
        <v>46271</v>
      </c>
      <c r="F585" t="inlineStr">
        <is>
          <t>JÖNKÖPINGS LÄN</t>
        </is>
      </c>
      <c r="G585" t="inlineStr">
        <is>
          <t>EKSJÖ</t>
        </is>
      </c>
      <c r="H585" t="inlineStr">
        <is>
          <t>Sveaskog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46271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46271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46271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46271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46271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46271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46271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46271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46271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46271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46271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46271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46271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46271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46271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46271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46271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46271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46271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46271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46271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46271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46271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46271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46271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46271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46271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46271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1973-2026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46210</v>
      </c>
      <c r="E614" s="1" t="n">
        <v>46271</v>
      </c>
      <c r="F614" t="inlineStr">
        <is>
          <t>JÖNKÖPINGS LÄN</t>
        </is>
      </c>
      <c r="G614" t="inlineStr">
        <is>
          <t>EKSJÖ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1842-2026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46153</v>
      </c>
      <c r="E615" s="1" t="n">
        <v>46271</v>
      </c>
      <c r="F615" t="inlineStr">
        <is>
          <t>JÖNKÖPINGS LÄN</t>
        </is>
      </c>
      <c r="G615" t="inlineStr">
        <is>
          <t>EKSJÖ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2026-09-06T02:08:25Z</dcterms:created>
  <dcterms:modified xmlns:dcterms="http://purl.org/dc/terms/" xmlns:xsi="http://www.w3.org/2001/XMLSchema-instance" xsi:type="dcterms:W3CDTF">2026-09-06T02:08:26Z</dcterms:modified>
</cp:coreProperties>
</file>