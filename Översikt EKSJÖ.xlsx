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46286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46286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46286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46286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46286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46286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46286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46286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46286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46286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46286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46286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46286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46286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46286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46286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46286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46286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46286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46286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46286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46286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46286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46286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46286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46286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47729-2022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44854</v>
      </c>
      <c r="E29" s="1" t="n">
        <v>46286</v>
      </c>
      <c r="F29" t="inlineStr">
        <is>
          <t>JÖNKÖPINGS LÄN</t>
        </is>
      </c>
      <c r="G29" t="inlineStr">
        <is>
          <t>EKSJÖ</t>
        </is>
      </c>
      <c r="H29" t="inlineStr">
        <is>
          <t>Övriga Aktiebolag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HYPERLINK("https://klasma.github.io/Logging_0686/artfynd/A 47729-2022 artfynd.xlsx", "A 47729-2022")</f>
        <v/>
      </c>
      <c r="X29">
        <f>HYPERLINK("https://klasma.github.io/Logging_0686/kartor/A 47729-2022 karta.png", "A 47729-2022")</f>
        <v/>
      </c>
      <c r="Y29">
        <f>HYPERLINK("https://klasma.github.io/Logging_0686/kartor_geotiff/A 47729-2022 georefererad karta.tif", "A 47729-2022")</f>
        <v/>
      </c>
      <c r="AA29">
        <f>HYPERLINK("https://klasma.github.io/Logging_0686/klagomål/A 47729-2022 FSC-klagomål.docx", "A 47729-2022")</f>
        <v/>
      </c>
      <c r="AB29">
        <f>HYPERLINK("https://klasma.github.io/Logging_0686/klagomålsmail/A 47729-2022 FSC-klagomål mail.docx", "A 47729-2022")</f>
        <v/>
      </c>
      <c r="AC29">
        <f>HYPERLINK("https://klasma.github.io/Logging_0686/tillsyn/A 47729-2022 tillsynsbegäran.docx", "A 47729-2022")</f>
        <v/>
      </c>
      <c r="AD29">
        <f>HYPERLINK("https://klasma.github.io/Logging_0686/tillsynsmail/A 47729-2022 tillsynsbegäran mail.docx", "A 47729-2022")</f>
        <v/>
      </c>
    </row>
    <row r="30" ht="15" customHeight="1">
      <c r="A30" t="inlineStr">
        <is>
          <t>A 32830-2025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46286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Spindelblomster</t>
        </is>
      </c>
      <c r="W30">
        <f>HYPERLINK("https://klasma.github.io/Logging_0686/artfynd/A 32830-2025 artfynd.xlsx", "A 32830-2025")</f>
        <v/>
      </c>
      <c r="X30">
        <f>HYPERLINK("https://klasma.github.io/Logging_0686/kartor/A 32830-2025 karta.png", "A 32830-2025")</f>
        <v/>
      </c>
      <c r="Y30">
        <f>HYPERLINK("https://klasma.github.io/Logging_0686/kartor_geotiff/A 32830-2025 georefererad karta.tif", "A 32830-2025")</f>
        <v/>
      </c>
      <c r="AA30">
        <f>HYPERLINK("https://klasma.github.io/Logging_0686/klagomål/A 32830-2025 FSC-klagomål.docx", "A 32830-2025")</f>
        <v/>
      </c>
      <c r="AB30">
        <f>HYPERLINK("https://klasma.github.io/Logging_0686/klagomålsmail/A 32830-2025 FSC-klagomål mail.docx", "A 32830-2025")</f>
        <v/>
      </c>
      <c r="AC30">
        <f>HYPERLINK("https://klasma.github.io/Logging_0686/tillsyn/A 32830-2025 tillsynsbegäran.docx", "A 32830-2025")</f>
        <v/>
      </c>
      <c r="AD30">
        <f>HYPERLINK("https://klasma.github.io/Logging_0686/tillsynsmail/A 32830-2025 tillsynsbegäran mail.docx", "A 32830-2025")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46286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46286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10726-2024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46286</v>
      </c>
      <c r="F33" t="inlineStr">
        <is>
          <t>JÖNKÖPINGS LÄN</t>
        </is>
      </c>
      <c r="G33" t="inlineStr">
        <is>
          <t>EKSJÖ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Sotvaxskivling</t>
        </is>
      </c>
      <c r="W33">
        <f>HYPERLINK("https://klasma.github.io/Logging_0686/artfynd/A 10726-2024 artfynd.xlsx", "A 10726-2024")</f>
        <v/>
      </c>
      <c r="X33">
        <f>HYPERLINK("https://klasma.github.io/Logging_0686/kartor/A 10726-2024 karta.png", "A 10726-2024")</f>
        <v/>
      </c>
      <c r="Y33">
        <f>HYPERLINK("https://klasma.github.io/Logging_0686/kartor_geotiff/A 10726-2024 georefererad karta.tif", "A 10726-2024")</f>
        <v/>
      </c>
      <c r="AA33">
        <f>HYPERLINK("https://klasma.github.io/Logging_0686/klagomål/A 10726-2024 FSC-klagomål.docx", "A 10726-2024")</f>
        <v/>
      </c>
      <c r="AB33">
        <f>HYPERLINK("https://klasma.github.io/Logging_0686/klagomålsmail/A 10726-2024 FSC-klagomål mail.docx", "A 10726-2024")</f>
        <v/>
      </c>
      <c r="AC33">
        <f>HYPERLINK("https://klasma.github.io/Logging_0686/tillsyn/A 10726-2024 tillsynsbegäran.docx", "A 10726-2024")</f>
        <v/>
      </c>
      <c r="AD33">
        <f>HYPERLINK("https://klasma.github.io/Logging_0686/tillsynsmail/A 10726-2024 tillsynsbegäran mail.docx", "A 10726-2024")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46286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23519-2026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46163</v>
      </c>
      <c r="E35" s="1" t="n">
        <v>46286</v>
      </c>
      <c r="F35" t="inlineStr">
        <is>
          <t>JÖNKÖPINGS LÄN</t>
        </is>
      </c>
      <c r="G35" t="inlineStr">
        <is>
          <t>EKSJÖ</t>
        </is>
      </c>
      <c r="I35" t="n">
        <v>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Svartvit flugsnappare</t>
        </is>
      </c>
      <c r="W35">
        <f>HYPERLINK("https://klasma.github.io/Logging_0686/artfynd/A 23519-2026 artfynd.xlsx", "A 23519-2026")</f>
        <v/>
      </c>
      <c r="X35">
        <f>HYPERLINK("https://klasma.github.io/Logging_0686/kartor/A 23519-2026 karta.png", "A 23519-2026")</f>
        <v/>
      </c>
      <c r="Y35">
        <f>HYPERLINK("https://klasma.github.io/Logging_0686/kartor_geotiff/A 23519-2026 georefererad karta.tif", "A 23519-2026")</f>
        <v/>
      </c>
      <c r="AA35">
        <f>HYPERLINK("https://klasma.github.io/Logging_0686/klagomål/A 23519-2026 FSC-klagomål.docx", "A 23519-2026")</f>
        <v/>
      </c>
      <c r="AB35">
        <f>HYPERLINK("https://klasma.github.io/Logging_0686/klagomålsmail/A 23519-2026 FSC-klagomål mail.docx", "A 23519-2026")</f>
        <v/>
      </c>
      <c r="AC35">
        <f>HYPERLINK("https://klasma.github.io/Logging_0686/tillsyn/A 23519-2026 tillsynsbegäran.docx", "A 23519-2026")</f>
        <v/>
      </c>
      <c r="AD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46286</v>
      </c>
      <c r="F36" t="inlineStr">
        <is>
          <t>JÖNKÖPINGS LÄN</t>
        </is>
      </c>
      <c r="G36" t="inlineStr">
        <is>
          <t>EKSJÖ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Spindelört</t>
        </is>
      </c>
      <c r="W36">
        <f>HYPERLINK("https://klasma.github.io/Logging_0686/artfynd/A 23536-2026 artfynd.xlsx", "A 23536-2026")</f>
        <v/>
      </c>
      <c r="X36">
        <f>HYPERLINK("https://klasma.github.io/Logging_0686/kartor/A 23536-2026 karta.png", "A 23536-2026")</f>
        <v/>
      </c>
      <c r="Y36">
        <f>HYPERLINK("https://klasma.github.io/Logging_0686/kartor_geotiff/A 23536-2026 georefererad karta.tif", "A 23536-2026")</f>
        <v/>
      </c>
      <c r="AA36">
        <f>HYPERLINK("https://klasma.github.io/Logging_0686/klagomål/A 23536-2026 FSC-klagomål.docx", "A 23536-2026")</f>
        <v/>
      </c>
      <c r="AB36">
        <f>HYPERLINK("https://klasma.github.io/Logging_0686/klagomålsmail/A 23536-2026 FSC-klagomål mail.docx", "A 23536-2026")</f>
        <v/>
      </c>
      <c r="AC36">
        <f>HYPERLINK("https://klasma.github.io/Logging_0686/tillsyn/A 23536-2026 tillsynsbegäran.docx", "A 23536-2026")</f>
        <v/>
      </c>
      <c r="AD36">
        <f>HYPERLINK("https://klasma.github.io/Logging_0686/tillsynsmail/A 23536-2026 tillsynsbegäran mail.docx", "A 23536-2026")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46286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46286</v>
      </c>
      <c r="F38" t="inlineStr">
        <is>
          <t>JÖNKÖPINGS LÄN</t>
        </is>
      </c>
      <c r="G38" t="inlineStr">
        <is>
          <t>EKSJÖ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HYPERLINK("https://klasma.github.io/Logging_0686/artfynd/A 58-2023 artfynd.xlsx", "A 58-2023")</f>
        <v/>
      </c>
      <c r="X38">
        <f>HYPERLINK("https://klasma.github.io/Logging_0686/kartor/A 58-2023 karta.png", "A 58-2023")</f>
        <v/>
      </c>
      <c r="Y38">
        <f>HYPERLINK("https://klasma.github.io/Logging_0686/kartor_geotiff/A 58-2023 georefererad karta.tif", "A 58-2023")</f>
        <v/>
      </c>
      <c r="AA38">
        <f>HYPERLINK("https://klasma.github.io/Logging_0686/klagomål/A 58-2023 FSC-klagomål.docx", "A 58-2023")</f>
        <v/>
      </c>
      <c r="AB38">
        <f>HYPERLINK("https://klasma.github.io/Logging_0686/klagomålsmail/A 58-2023 FSC-klagomål mail.docx", "A 58-2023")</f>
        <v/>
      </c>
      <c r="AC38">
        <f>HYPERLINK("https://klasma.github.io/Logging_0686/tillsyn/A 58-2023 tillsynsbegäran.docx", "A 58-2023")</f>
        <v/>
      </c>
      <c r="AD38">
        <f>HYPERLINK("https://klasma.github.io/Logging_0686/tillsynsmail/A 58-2023 tillsynsbegäran mail.docx", "A 58-2023")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46286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4964-2023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44958</v>
      </c>
      <c r="E40" s="1" t="n">
        <v>46286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Gröngöling</t>
        </is>
      </c>
      <c r="W40">
        <f>HYPERLINK("https://klasma.github.io/Logging_0686/artfynd/A 4964-2023 artfynd.xlsx", "A 4964-2023")</f>
        <v/>
      </c>
      <c r="X40">
        <f>HYPERLINK("https://klasma.github.io/Logging_0686/kartor/A 4964-2023 karta.png", "A 4964-2023")</f>
        <v/>
      </c>
      <c r="Y40">
        <f>HYPERLINK("https://klasma.github.io/Logging_0686/kartor_geotiff/A 4964-2023 georefererad karta.tif", "A 4964-2023")</f>
        <v/>
      </c>
      <c r="AA40">
        <f>HYPERLINK("https://klasma.github.io/Logging_0686/klagomål/A 4964-2023 FSC-klagomål.docx", "A 4964-2023")</f>
        <v/>
      </c>
      <c r="AB40">
        <f>HYPERLINK("https://klasma.github.io/Logging_0686/klagomålsmail/A 4964-2023 FSC-klagomål mail.docx", "A 4964-2023")</f>
        <v/>
      </c>
      <c r="AC40">
        <f>HYPERLINK("https://klasma.github.io/Logging_0686/tillsyn/A 4964-2023 tillsynsbegäran.docx", "A 4964-2023")</f>
        <v/>
      </c>
      <c r="AD40">
        <f>HYPERLINK("https://klasma.github.io/Logging_0686/tillsynsmail/A 4964-2023 tillsynsbegäran mail.docx", "A 4964-2023")</f>
        <v/>
      </c>
    </row>
    <row r="41" ht="15" customHeight="1">
      <c r="A41" t="inlineStr">
        <is>
          <t>A 18327-2024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45422</v>
      </c>
      <c r="E41" s="1" t="n">
        <v>46286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Dvärgbägarlav</t>
        </is>
      </c>
      <c r="W41">
        <f>HYPERLINK("https://klasma.github.io/Logging_0686/artfynd/A 18327-2024 artfynd.xlsx", "A 18327-2024")</f>
        <v/>
      </c>
      <c r="X41">
        <f>HYPERLINK("https://klasma.github.io/Logging_0686/kartor/A 18327-2024 karta.png", "A 18327-2024")</f>
        <v/>
      </c>
      <c r="Y41">
        <f>HYPERLINK("https://klasma.github.io/Logging_0686/kartor_geotiff/A 18327-2024 georefererad karta.tif", "A 18327-2024")</f>
        <v/>
      </c>
      <c r="AA41">
        <f>HYPERLINK("https://klasma.github.io/Logging_0686/klagomål/A 18327-2024 FSC-klagomål.docx", "A 18327-2024")</f>
        <v/>
      </c>
      <c r="AB41">
        <f>HYPERLINK("https://klasma.github.io/Logging_0686/klagomålsmail/A 18327-2024 FSC-klagomål mail.docx", "A 18327-2024")</f>
        <v/>
      </c>
      <c r="AC41">
        <f>HYPERLINK("https://klasma.github.io/Logging_0686/tillsyn/A 18327-2024 tillsynsbegäran.docx", "A 18327-2024")</f>
        <v/>
      </c>
      <c r="AD41">
        <f>HYPERLINK("https://klasma.github.io/Logging_0686/tillsynsmail/A 18327-2024 tillsynsbegäran mail.docx", "A 18327-2024")</f>
        <v/>
      </c>
    </row>
    <row r="42" ht="15" customHeight="1">
      <c r="A42" t="inlineStr">
        <is>
          <t>A 5519-2024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45334</v>
      </c>
      <c r="E42" s="1" t="n">
        <v>46286</v>
      </c>
      <c r="F42" t="inlineStr">
        <is>
          <t>JÖNKÖPINGS LÄN</t>
        </is>
      </c>
      <c r="G42" t="inlineStr">
        <is>
          <t>EKSJÖ</t>
        </is>
      </c>
      <c r="H42" t="inlineStr">
        <is>
          <t>Kommuner</t>
        </is>
      </c>
      <c r="I42" t="n">
        <v>7.2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HYPERLINK("https://klasma.github.io/Logging_0686/artfynd/A 5519-2024 artfynd.xlsx", "A 5519-2024")</f>
        <v/>
      </c>
      <c r="X42">
        <f>HYPERLINK("https://klasma.github.io/Logging_0686/kartor/A 5519-2024 karta.png", "A 5519-2024")</f>
        <v/>
      </c>
      <c r="Y42">
        <f>HYPERLINK("https://klasma.github.io/Logging_0686/kartor_geotiff/A 5519-2024 georefererad karta.tif", "A 5519-2024")</f>
        <v/>
      </c>
      <c r="AA42">
        <f>HYPERLINK("https://klasma.github.io/Logging_0686/klagomål/A 5519-2024 FSC-klagomål.docx", "A 5519-2024")</f>
        <v/>
      </c>
      <c r="AB42">
        <f>HYPERLINK("https://klasma.github.io/Logging_0686/klagomålsmail/A 5519-2024 FSC-klagomål mail.docx", "A 5519-2024")</f>
        <v/>
      </c>
      <c r="AC42">
        <f>HYPERLINK("https://klasma.github.io/Logging_0686/tillsyn/A 5519-2024 tillsynsbegäran.docx", "A 5519-2024")</f>
        <v/>
      </c>
      <c r="AD42">
        <f>HYPERLINK("https://klasma.github.io/Logging_0686/tillsynsmail/A 5519-2024 tillsynsbegäran mail.docx", "A 5519-2024")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46286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HYPERLINK("https://klasma.github.io/Logging_0686/artfynd/A 29121-2026 artfynd.xlsx", "A 29121-2026")</f>
        <v/>
      </c>
      <c r="X43">
        <f>HYPERLINK("https://klasma.github.io/Logging_0686/kartor/A 29121-2026 karta.png", "A 29121-2026")</f>
        <v/>
      </c>
      <c r="Y43">
        <f>HYPERLINK("https://klasma.github.io/Logging_0686/kartor_geotiff/A 29121-2026 georefererad karta.tif", "A 29121-2026")</f>
        <v/>
      </c>
      <c r="AA43">
        <f>HYPERLINK("https://klasma.github.io/Logging_0686/klagomål/A 29121-2026 FSC-klagomål.docx", "A 29121-2026")</f>
        <v/>
      </c>
      <c r="AB43">
        <f>HYPERLINK("https://klasma.github.io/Logging_0686/klagomålsmail/A 29121-2026 FSC-klagomål mail.docx", "A 29121-2026")</f>
        <v/>
      </c>
      <c r="AC43">
        <f>HYPERLINK("https://klasma.github.io/Logging_0686/tillsyn/A 29121-2026 tillsynsbegäran.docx", "A 29121-2026")</f>
        <v/>
      </c>
      <c r="AD43">
        <f>HYPERLINK("https://klasma.github.io/Logging_0686/tillsynsmail/A 29121-2026 tillsynsbegäran mail.docx", "A 29121-2026")</f>
        <v/>
      </c>
    </row>
    <row r="44" ht="15" customHeight="1">
      <c r="A44" t="inlineStr">
        <is>
          <t>A 38596-2026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46283</v>
      </c>
      <c r="E44" s="1" t="n">
        <v>46286</v>
      </c>
      <c r="F44" t="inlineStr">
        <is>
          <t>JÖNKÖPINGS LÄN</t>
        </is>
      </c>
      <c r="G44" t="inlineStr">
        <is>
          <t>EKSJÖ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HYPERLINK("https://klasma.github.io/Logging_0686/artfynd/A 38596-2026 artfynd.xlsx", "A 38596-2026")</f>
        <v/>
      </c>
      <c r="X44">
        <f>HYPERLINK("https://klasma.github.io/Logging_0686/kartor/A 38596-2026 karta.png", "A 38596-2026")</f>
        <v/>
      </c>
      <c r="Y44">
        <f>HYPERLINK("https://klasma.github.io/Logging_0686/kartor_geotiff/A 38596-2026 georefererad karta.tif", "A 38596-2026")</f>
        <v/>
      </c>
      <c r="AA44">
        <f>HYPERLINK("https://klasma.github.io/Logging_0686/klagomål/A 38596-2026 FSC-klagomål.docx", "A 38596-2026")</f>
        <v/>
      </c>
      <c r="AB44">
        <f>HYPERLINK("https://klasma.github.io/Logging_0686/klagomålsmail/A 38596-2026 FSC-klagomål mail.docx", "A 38596-2026")</f>
        <v/>
      </c>
      <c r="AC44">
        <f>HYPERLINK("https://klasma.github.io/Logging_0686/tillsyn/A 38596-2026 tillsynsbegäran.docx", "A 38596-2026")</f>
        <v/>
      </c>
      <c r="AD44">
        <f>HYPERLINK("https://klasma.github.io/Logging_0686/tillsynsmail/A 38596-2026 tillsynsbegäran mail.docx", "A 38596-2026")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46286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46286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46286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46286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46286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46286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46286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46286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46286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46286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46286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46286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46286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46286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46286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46286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46286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46286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46286</v>
      </c>
      <c r="F63" t="inlineStr">
        <is>
          <t>JÖNKÖPINGS LÄN</t>
        </is>
      </c>
      <c r="G63" t="inlineStr">
        <is>
          <t>EKSJÖ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46286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46286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46286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46286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46286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46286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46286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46286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46286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46286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46286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46286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46286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46286</v>
      </c>
      <c r="F77" t="inlineStr">
        <is>
          <t>JÖNKÖPINGS LÄN</t>
        </is>
      </c>
      <c r="G77" t="inlineStr">
        <is>
          <t>EKSJÖ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46286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46286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46286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46286</v>
      </c>
      <c r="F81" t="inlineStr">
        <is>
          <t>JÖNKÖPINGS LÄN</t>
        </is>
      </c>
      <c r="G81" t="inlineStr">
        <is>
          <t>EKSJÖ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51667-2021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46286</v>
      </c>
      <c r="F82" t="inlineStr">
        <is>
          <t>JÖNKÖPINGS LÄN</t>
        </is>
      </c>
      <c r="G82" t="inlineStr">
        <is>
          <t>EKSJÖ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46286</v>
      </c>
      <c r="F83" t="inlineStr">
        <is>
          <t>JÖNKÖPINGS LÄN</t>
        </is>
      </c>
      <c r="G83" t="inlineStr">
        <is>
          <t>EKSJÖ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46286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44861</v>
      </c>
      <c r="E85" s="1" t="n">
        <v>46286</v>
      </c>
      <c r="F85" t="inlineStr">
        <is>
          <t>JÖNKÖPINGS LÄN</t>
        </is>
      </c>
      <c r="G85" t="inlineStr">
        <is>
          <t>EKSJÖ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46286</v>
      </c>
      <c r="F86" t="inlineStr">
        <is>
          <t>JÖNKÖPINGS LÄN</t>
        </is>
      </c>
      <c r="G86" t="inlineStr">
        <is>
          <t>EKSJÖ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46286</v>
      </c>
      <c r="F87" t="inlineStr">
        <is>
          <t>JÖNKÖPINGS LÄN</t>
        </is>
      </c>
      <c r="G87" t="inlineStr">
        <is>
          <t>EKSJÖ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44592</v>
      </c>
      <c r="E88" s="1" t="n">
        <v>46286</v>
      </c>
      <c r="F88" t="inlineStr">
        <is>
          <t>JÖNKÖPINGS LÄN</t>
        </is>
      </c>
      <c r="G88" t="inlineStr">
        <is>
          <t>EKSJÖ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44616</v>
      </c>
      <c r="E89" s="1" t="n">
        <v>46286</v>
      </c>
      <c r="F89" t="inlineStr">
        <is>
          <t>JÖNKÖPINGS LÄN</t>
        </is>
      </c>
      <c r="G89" t="inlineStr">
        <is>
          <t>EKSJÖ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44701</v>
      </c>
      <c r="E90" s="1" t="n">
        <v>46286</v>
      </c>
      <c r="F90" t="inlineStr">
        <is>
          <t>JÖNKÖPINGS LÄN</t>
        </is>
      </c>
      <c r="G90" t="inlineStr">
        <is>
          <t>EKSJÖ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46286</v>
      </c>
      <c r="F91" t="inlineStr">
        <is>
          <t>JÖNKÖPINGS LÄN</t>
        </is>
      </c>
      <c r="G91" t="inlineStr">
        <is>
          <t>EKSJÖ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46286</v>
      </c>
      <c r="F92" t="inlineStr">
        <is>
          <t>JÖNKÖPINGS LÄN</t>
        </is>
      </c>
      <c r="G92" t="inlineStr">
        <is>
          <t>EKSJÖ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46286</v>
      </c>
      <c r="F93" t="inlineStr">
        <is>
          <t>JÖNKÖPINGS LÄN</t>
        </is>
      </c>
      <c r="G93" t="inlineStr">
        <is>
          <t>EKSJÖ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46286</v>
      </c>
      <c r="F94" t="inlineStr">
        <is>
          <t>JÖNKÖPINGS LÄN</t>
        </is>
      </c>
      <c r="G94" t="inlineStr">
        <is>
          <t>EKSJÖ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67308-2021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46286</v>
      </c>
      <c r="F95" t="inlineStr">
        <is>
          <t>JÖNKÖPINGS LÄN</t>
        </is>
      </c>
      <c r="G95" t="inlineStr">
        <is>
          <t>EKSJÖ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44476</v>
      </c>
      <c r="E96" s="1" t="n">
        <v>46286</v>
      </c>
      <c r="F96" t="inlineStr">
        <is>
          <t>JÖNKÖPINGS LÄN</t>
        </is>
      </c>
      <c r="G96" t="inlineStr">
        <is>
          <t>EKSJÖ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44748</v>
      </c>
      <c r="E97" s="1" t="n">
        <v>46286</v>
      </c>
      <c r="F97" t="inlineStr">
        <is>
          <t>JÖNKÖPINGS LÄN</t>
        </is>
      </c>
      <c r="G97" t="inlineStr">
        <is>
          <t>EKSJÖ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46286</v>
      </c>
      <c r="F98" t="inlineStr">
        <is>
          <t>JÖNKÖPINGS LÄN</t>
        </is>
      </c>
      <c r="G98" t="inlineStr">
        <is>
          <t>EKSJÖ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66930-2021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44522</v>
      </c>
      <c r="E99" s="1" t="n">
        <v>46286</v>
      </c>
      <c r="F99" t="inlineStr">
        <is>
          <t>JÖNKÖPINGS LÄN</t>
        </is>
      </c>
      <c r="G99" t="inlineStr">
        <is>
          <t>EKSJÖ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46286</v>
      </c>
      <c r="F100" t="inlineStr">
        <is>
          <t>JÖNKÖPINGS LÄN</t>
        </is>
      </c>
      <c r="G100" t="inlineStr">
        <is>
          <t>EKSJÖ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56471-2021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46286</v>
      </c>
      <c r="F101" t="inlineStr">
        <is>
          <t>JÖNKÖPINGS LÄN</t>
        </is>
      </c>
      <c r="G101" t="inlineStr">
        <is>
          <t>EKSJÖ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46286</v>
      </c>
      <c r="F102" t="inlineStr">
        <is>
          <t>JÖNKÖPINGS LÄN</t>
        </is>
      </c>
      <c r="G102" t="inlineStr">
        <is>
          <t>EKSJÖ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44582</v>
      </c>
      <c r="E103" s="1" t="n">
        <v>46286</v>
      </c>
      <c r="F103" t="inlineStr">
        <is>
          <t>JÖNKÖPINGS LÄN</t>
        </is>
      </c>
      <c r="G103" t="inlineStr">
        <is>
          <t>EKSJÖ</t>
        </is>
      </c>
      <c r="H103" t="inlineStr">
        <is>
          <t>Kommuner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46286</v>
      </c>
      <c r="F104" t="inlineStr">
        <is>
          <t>JÖNKÖPINGS LÄN</t>
        </is>
      </c>
      <c r="G104" t="inlineStr">
        <is>
          <t>EKSJÖ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46286</v>
      </c>
      <c r="F105" t="inlineStr">
        <is>
          <t>JÖNKÖPINGS LÄN</t>
        </is>
      </c>
      <c r="G105" t="inlineStr">
        <is>
          <t>EKSJÖ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11418-2022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44630</v>
      </c>
      <c r="E106" s="1" t="n">
        <v>46286</v>
      </c>
      <c r="F106" t="inlineStr">
        <is>
          <t>JÖNKÖPINGS LÄN</t>
        </is>
      </c>
      <c r="G106" t="inlineStr">
        <is>
          <t>EKSJÖ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46286</v>
      </c>
      <c r="F107" t="inlineStr">
        <is>
          <t>JÖNKÖPINGS LÄN</t>
        </is>
      </c>
      <c r="G107" t="inlineStr">
        <is>
          <t>EKSJÖ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46286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46286</v>
      </c>
      <c r="F109" t="inlineStr">
        <is>
          <t>JÖNKÖPINGS LÄN</t>
        </is>
      </c>
      <c r="G109" t="inlineStr">
        <is>
          <t>EKSJÖ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46286</v>
      </c>
      <c r="F110" t="inlineStr">
        <is>
          <t>JÖNKÖPINGS LÄN</t>
        </is>
      </c>
      <c r="G110" t="inlineStr">
        <is>
          <t>EKSJÖ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46286</v>
      </c>
      <c r="F111" t="inlineStr">
        <is>
          <t>JÖNKÖPINGS LÄN</t>
        </is>
      </c>
      <c r="G111" t="inlineStr">
        <is>
          <t>EKSJÖ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44909</v>
      </c>
      <c r="E112" s="1" t="n">
        <v>46286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46286</v>
      </c>
      <c r="F113" t="inlineStr">
        <is>
          <t>JÖNKÖPINGS LÄN</t>
        </is>
      </c>
      <c r="G113" t="inlineStr">
        <is>
          <t>EKSJÖ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44861</v>
      </c>
      <c r="E114" s="1" t="n">
        <v>46286</v>
      </c>
      <c r="F114" t="inlineStr">
        <is>
          <t>JÖNKÖPINGS LÄN</t>
        </is>
      </c>
      <c r="G114" t="inlineStr">
        <is>
          <t>EKSJÖ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13273-2023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45003</v>
      </c>
      <c r="E115" s="1" t="n">
        <v>46286</v>
      </c>
      <c r="F115" t="inlineStr">
        <is>
          <t>JÖNKÖPINGS LÄN</t>
        </is>
      </c>
      <c r="G115" t="inlineStr">
        <is>
          <t>EKSJÖ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46286</v>
      </c>
      <c r="F116" t="inlineStr">
        <is>
          <t>JÖNKÖPINGS LÄN</t>
        </is>
      </c>
      <c r="G116" t="inlineStr">
        <is>
          <t>EKSJÖ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46286</v>
      </c>
      <c r="F117" t="inlineStr">
        <is>
          <t>JÖNKÖPINGS LÄN</t>
        </is>
      </c>
      <c r="G117" t="inlineStr">
        <is>
          <t>EKSJÖ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44903</v>
      </c>
      <c r="E118" s="1" t="n">
        <v>46286</v>
      </c>
      <c r="F118" t="inlineStr">
        <is>
          <t>JÖNKÖPINGS LÄN</t>
        </is>
      </c>
      <c r="G118" t="inlineStr">
        <is>
          <t>EKSJÖ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44940</v>
      </c>
      <c r="E119" s="1" t="n">
        <v>46286</v>
      </c>
      <c r="F119" t="inlineStr">
        <is>
          <t>JÖNKÖPINGS LÄN</t>
        </is>
      </c>
      <c r="G119" t="inlineStr">
        <is>
          <t>EKSJÖ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44941</v>
      </c>
      <c r="E120" s="1" t="n">
        <v>46286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46286</v>
      </c>
      <c r="F121" t="inlineStr">
        <is>
          <t>JÖNKÖPINGS LÄN</t>
        </is>
      </c>
      <c r="G121" t="inlineStr">
        <is>
          <t>EKSJÖ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45575</v>
      </c>
      <c r="E122" s="1" t="n">
        <v>46286</v>
      </c>
      <c r="F122" t="inlineStr">
        <is>
          <t>JÖNKÖPINGS LÄN</t>
        </is>
      </c>
      <c r="G122" t="inlineStr">
        <is>
          <t>EKSJÖ</t>
        </is>
      </c>
      <c r="H122" t="inlineStr">
        <is>
          <t>Övriga Aktiebolag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46286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46286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46286</v>
      </c>
      <c r="F125" t="inlineStr">
        <is>
          <t>JÖNKÖPINGS LÄN</t>
        </is>
      </c>
      <c r="G125" t="inlineStr">
        <is>
          <t>EKSJÖ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46286</v>
      </c>
      <c r="F126" t="inlineStr">
        <is>
          <t>JÖNKÖPINGS LÄN</t>
        </is>
      </c>
      <c r="G126" t="inlineStr">
        <is>
          <t>EKSJÖ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45345</v>
      </c>
      <c r="E127" s="1" t="n">
        <v>46286</v>
      </c>
      <c r="F127" t="inlineStr">
        <is>
          <t>JÖNKÖPINGS LÄN</t>
        </is>
      </c>
      <c r="G127" t="inlineStr">
        <is>
          <t>EKSJÖ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46286</v>
      </c>
      <c r="F128" t="inlineStr">
        <is>
          <t>JÖNKÖPINGS LÄN</t>
        </is>
      </c>
      <c r="G128" t="inlineStr">
        <is>
          <t>EKSJÖ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45344</v>
      </c>
      <c r="E129" s="1" t="n">
        <v>46286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45523</v>
      </c>
      <c r="E130" s="1" t="n">
        <v>46286</v>
      </c>
      <c r="F130" t="inlineStr">
        <is>
          <t>JÖNKÖPINGS LÄN</t>
        </is>
      </c>
      <c r="G130" t="inlineStr">
        <is>
          <t>EKSJÖ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46286</v>
      </c>
      <c r="F131" t="inlineStr">
        <is>
          <t>JÖNKÖPINGS LÄN</t>
        </is>
      </c>
      <c r="G131" t="inlineStr">
        <is>
          <t>EKSJÖ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45092</v>
      </c>
      <c r="E132" s="1" t="n">
        <v>46286</v>
      </c>
      <c r="F132" t="inlineStr">
        <is>
          <t>JÖNKÖPINGS LÄN</t>
        </is>
      </c>
      <c r="G132" t="inlineStr">
        <is>
          <t>EKSJÖ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64541-2023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46286</v>
      </c>
      <c r="F133" t="inlineStr">
        <is>
          <t>JÖNKÖPINGS LÄN</t>
        </is>
      </c>
      <c r="G133" t="inlineStr">
        <is>
          <t>EKSJÖ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46286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59852-2022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44908</v>
      </c>
      <c r="E135" s="1" t="n">
        <v>46286</v>
      </c>
      <c r="F135" t="inlineStr">
        <is>
          <t>JÖNKÖPINGS LÄN</t>
        </is>
      </c>
      <c r="G135" t="inlineStr">
        <is>
          <t>EKSJÖ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16477-2024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46286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46286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46286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46286</v>
      </c>
      <c r="F139" t="inlineStr">
        <is>
          <t>JÖNKÖPINGS LÄN</t>
        </is>
      </c>
      <c r="G139" t="inlineStr">
        <is>
          <t>EKSJÖ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45097</v>
      </c>
      <c r="E140" s="1" t="n">
        <v>46286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46286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44460</v>
      </c>
      <c r="E142" s="1" t="n">
        <v>46286</v>
      </c>
      <c r="F142" t="inlineStr">
        <is>
          <t>JÖNKÖPINGS LÄN</t>
        </is>
      </c>
      <c r="G142" t="inlineStr">
        <is>
          <t>EKSJÖ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46286</v>
      </c>
      <c r="F143" t="inlineStr">
        <is>
          <t>JÖNKÖPINGS LÄN</t>
        </is>
      </c>
      <c r="G143" t="inlineStr">
        <is>
          <t>EKSJÖ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46286</v>
      </c>
      <c r="F144" t="inlineStr">
        <is>
          <t>JÖNKÖPINGS LÄN</t>
        </is>
      </c>
      <c r="G144" t="inlineStr">
        <is>
          <t>EKSJÖ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46286</v>
      </c>
      <c r="F145" t="inlineStr">
        <is>
          <t>JÖNKÖPINGS LÄN</t>
        </is>
      </c>
      <c r="G145" t="inlineStr">
        <is>
          <t>EKSJÖ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45161</v>
      </c>
      <c r="E146" s="1" t="n">
        <v>46286</v>
      </c>
      <c r="F146" t="inlineStr">
        <is>
          <t>JÖNKÖPINGS LÄN</t>
        </is>
      </c>
      <c r="G146" t="inlineStr">
        <is>
          <t>EKSJÖ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46286</v>
      </c>
      <c r="F147" t="inlineStr">
        <is>
          <t>JÖNKÖPINGS LÄN</t>
        </is>
      </c>
      <c r="G147" t="inlineStr">
        <is>
          <t>EKSJÖ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46286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46286</v>
      </c>
      <c r="F149" t="inlineStr">
        <is>
          <t>JÖNKÖPINGS LÄN</t>
        </is>
      </c>
      <c r="G149" t="inlineStr">
        <is>
          <t>EKSJÖ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46286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46286</v>
      </c>
      <c r="F151" t="inlineStr">
        <is>
          <t>JÖNKÖPINGS LÄN</t>
        </is>
      </c>
      <c r="G151" t="inlineStr">
        <is>
          <t>EKSJÖ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46286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46286</v>
      </c>
      <c r="F153" t="inlineStr">
        <is>
          <t>JÖNKÖPINGS LÄN</t>
        </is>
      </c>
      <c r="G153" t="inlineStr">
        <is>
          <t>EKSJÖ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46286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46286</v>
      </c>
      <c r="F155" t="inlineStr">
        <is>
          <t>JÖNKÖPINGS LÄN</t>
        </is>
      </c>
      <c r="G155" t="inlineStr">
        <is>
          <t>EKSJÖ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45463</v>
      </c>
      <c r="E156" s="1" t="n">
        <v>46286</v>
      </c>
      <c r="F156" t="inlineStr">
        <is>
          <t>JÖNKÖPINGS LÄN</t>
        </is>
      </c>
      <c r="G156" t="inlineStr">
        <is>
          <t>EKSJÖ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46286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46286</v>
      </c>
      <c r="F158" t="inlineStr">
        <is>
          <t>JÖNKÖPINGS LÄN</t>
        </is>
      </c>
      <c r="G158" t="inlineStr">
        <is>
          <t>EKSJÖ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46286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45532</v>
      </c>
      <c r="E160" s="1" t="n">
        <v>46286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45686</v>
      </c>
      <c r="E161" s="1" t="n">
        <v>46286</v>
      </c>
      <c r="F161" t="inlineStr">
        <is>
          <t>JÖNKÖPINGS LÄN</t>
        </is>
      </c>
      <c r="G161" t="inlineStr">
        <is>
          <t>EKSJÖ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46286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46286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44574</v>
      </c>
      <c r="E164" s="1" t="n">
        <v>46286</v>
      </c>
      <c r="F164" t="inlineStr">
        <is>
          <t>JÖNKÖPINGS LÄN</t>
        </is>
      </c>
      <c r="G164" t="inlineStr">
        <is>
          <t>EKSJÖ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43411-2022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44834</v>
      </c>
      <c r="E165" s="1" t="n">
        <v>46286</v>
      </c>
      <c r="F165" t="inlineStr">
        <is>
          <t>JÖNKÖPINGS LÄN</t>
        </is>
      </c>
      <c r="G165" t="inlineStr">
        <is>
          <t>EKSJÖ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46286</v>
      </c>
      <c r="F166" t="inlineStr">
        <is>
          <t>JÖNKÖPINGS LÄN</t>
        </is>
      </c>
      <c r="G166" t="inlineStr">
        <is>
          <t>EKSJÖ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45418</v>
      </c>
      <c r="E167" s="1" t="n">
        <v>46286</v>
      </c>
      <c r="F167" t="inlineStr">
        <is>
          <t>JÖNKÖPINGS LÄN</t>
        </is>
      </c>
      <c r="G167" t="inlineStr">
        <is>
          <t>EKSJÖ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46286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46286</v>
      </c>
      <c r="F169" t="inlineStr">
        <is>
          <t>JÖNKÖPINGS LÄN</t>
        </is>
      </c>
      <c r="G169" t="inlineStr">
        <is>
          <t>EKSJÖ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45078</v>
      </c>
      <c r="E170" s="1" t="n">
        <v>46286</v>
      </c>
      <c r="F170" t="inlineStr">
        <is>
          <t>JÖNKÖPINGS LÄN</t>
        </is>
      </c>
      <c r="G170" t="inlineStr">
        <is>
          <t>EKSJÖ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44803</v>
      </c>
      <c r="E171" s="1" t="n">
        <v>46286</v>
      </c>
      <c r="F171" t="inlineStr">
        <is>
          <t>JÖNKÖPINGS LÄN</t>
        </is>
      </c>
      <c r="G171" t="inlineStr">
        <is>
          <t>EKSJÖ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44953</v>
      </c>
      <c r="E172" s="1" t="n">
        <v>46286</v>
      </c>
      <c r="F172" t="inlineStr">
        <is>
          <t>JÖNKÖPINGS LÄN</t>
        </is>
      </c>
      <c r="G172" t="inlineStr">
        <is>
          <t>EKSJÖ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46286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45245</v>
      </c>
      <c r="E174" s="1" t="n">
        <v>46286</v>
      </c>
      <c r="F174" t="inlineStr">
        <is>
          <t>JÖNKÖPINGS LÄN</t>
        </is>
      </c>
      <c r="G174" t="inlineStr">
        <is>
          <t>EKSJÖ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46286</v>
      </c>
      <c r="F175" t="inlineStr">
        <is>
          <t>JÖNKÖPINGS LÄN</t>
        </is>
      </c>
      <c r="G175" t="inlineStr">
        <is>
          <t>EKSJÖ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46286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45758</v>
      </c>
      <c r="E177" s="1" t="n">
        <v>46286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45358</v>
      </c>
      <c r="E178" s="1" t="n">
        <v>46286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45463</v>
      </c>
      <c r="E179" s="1" t="n">
        <v>46286</v>
      </c>
      <c r="F179" t="inlineStr">
        <is>
          <t>JÖNKÖPINGS LÄN</t>
        </is>
      </c>
      <c r="G179" t="inlineStr">
        <is>
          <t>EKSJÖ</t>
        </is>
      </c>
      <c r="H179" t="inlineStr">
        <is>
          <t>Övriga Aktiebolag</t>
        </is>
      </c>
      <c r="I179" t="n">
        <v>17.5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46286</v>
      </c>
      <c r="F180" t="inlineStr">
        <is>
          <t>JÖNKÖPINGS LÄN</t>
        </is>
      </c>
      <c r="G180" t="inlineStr">
        <is>
          <t>EKSJÖ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45008</v>
      </c>
      <c r="E181" s="1" t="n">
        <v>46286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50299-2023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45216</v>
      </c>
      <c r="E182" s="1" t="n">
        <v>46286</v>
      </c>
      <c r="F182" t="inlineStr">
        <is>
          <t>JÖNKÖPINGS LÄN</t>
        </is>
      </c>
      <c r="G182" t="inlineStr">
        <is>
          <t>EKSJÖ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45741</v>
      </c>
      <c r="E183" s="1" t="n">
        <v>46286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46286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46286</v>
      </c>
      <c r="F185" t="inlineStr">
        <is>
          <t>JÖNKÖPINGS LÄN</t>
        </is>
      </c>
      <c r="G185" t="inlineStr">
        <is>
          <t>EKSJÖ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45328</v>
      </c>
      <c r="E186" s="1" t="n">
        <v>46286</v>
      </c>
      <c r="F186" t="inlineStr">
        <is>
          <t>JÖNKÖPINGS LÄN</t>
        </is>
      </c>
      <c r="G186" t="inlineStr">
        <is>
          <t>EKSJÖ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45036</v>
      </c>
      <c r="E187" s="1" t="n">
        <v>46286</v>
      </c>
      <c r="F187" t="inlineStr">
        <is>
          <t>JÖNKÖPINGS LÄN</t>
        </is>
      </c>
      <c r="G187" t="inlineStr">
        <is>
          <t>EKSJÖ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46286</v>
      </c>
      <c r="F188" t="inlineStr">
        <is>
          <t>JÖNKÖPINGS LÄN</t>
        </is>
      </c>
      <c r="G188" t="inlineStr">
        <is>
          <t>EKSJÖ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45097</v>
      </c>
      <c r="E189" s="1" t="n">
        <v>46286</v>
      </c>
      <c r="F189" t="inlineStr">
        <is>
          <t>JÖNKÖPINGS LÄN</t>
        </is>
      </c>
      <c r="G189" t="inlineStr">
        <is>
          <t>EKSJÖ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64419-2021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44511</v>
      </c>
      <c r="E190" s="1" t="n">
        <v>46286</v>
      </c>
      <c r="F190" t="inlineStr">
        <is>
          <t>JÖNKÖPINGS LÄN</t>
        </is>
      </c>
      <c r="G190" t="inlineStr">
        <is>
          <t>EKSJÖ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45184</v>
      </c>
      <c r="E191" s="1" t="n">
        <v>46286</v>
      </c>
      <c r="F191" t="inlineStr">
        <is>
          <t>JÖNKÖPINGS LÄN</t>
        </is>
      </c>
      <c r="G191" t="inlineStr">
        <is>
          <t>EKSJÖ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44781</v>
      </c>
      <c r="E192" s="1" t="n">
        <v>46286</v>
      </c>
      <c r="F192" t="inlineStr">
        <is>
          <t>JÖNKÖPINGS LÄN</t>
        </is>
      </c>
      <c r="G192" t="inlineStr">
        <is>
          <t>EKSJÖ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44781</v>
      </c>
      <c r="E193" s="1" t="n">
        <v>46286</v>
      </c>
      <c r="F193" t="inlineStr">
        <is>
          <t>JÖNKÖPINGS LÄN</t>
        </is>
      </c>
      <c r="G193" t="inlineStr">
        <is>
          <t>EKSJÖ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19469-2025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45770</v>
      </c>
      <c r="E194" s="1" t="n">
        <v>46286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46286</v>
      </c>
      <c r="F195" t="inlineStr">
        <is>
          <t>JÖNKÖPINGS LÄN</t>
        </is>
      </c>
      <c r="G195" t="inlineStr">
        <is>
          <t>EKSJÖ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33132-2025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45840</v>
      </c>
      <c r="E196" s="1" t="n">
        <v>46286</v>
      </c>
      <c r="F196" t="inlineStr">
        <is>
          <t>JÖNKÖPINGS LÄN</t>
        </is>
      </c>
      <c r="G196" t="inlineStr">
        <is>
          <t>EKSJÖ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46286</v>
      </c>
      <c r="F197" t="inlineStr">
        <is>
          <t>JÖNKÖPINGS LÄN</t>
        </is>
      </c>
      <c r="G197" t="inlineStr">
        <is>
          <t>EKSJÖ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54292-2023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45232</v>
      </c>
      <c r="E198" s="1" t="n">
        <v>46286</v>
      </c>
      <c r="F198" t="inlineStr">
        <is>
          <t>JÖNKÖPINGS LÄN</t>
        </is>
      </c>
      <c r="G198" t="inlineStr">
        <is>
          <t>EKSJÖ</t>
        </is>
      </c>
      <c r="I198" t="n">
        <v>18.3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56322-2021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44477</v>
      </c>
      <c r="E199" s="1" t="n">
        <v>46286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54292-2023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45232</v>
      </c>
      <c r="E200" s="1" t="n">
        <v>46286</v>
      </c>
      <c r="F200" t="inlineStr">
        <is>
          <t>JÖNKÖPINGS LÄN</t>
        </is>
      </c>
      <c r="G200" t="inlineStr">
        <is>
          <t>EKSJÖ</t>
        </is>
      </c>
      <c r="I200" t="n">
        <v>18.3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45223</v>
      </c>
      <c r="E201" s="1" t="n">
        <v>46286</v>
      </c>
      <c r="F201" t="inlineStr">
        <is>
          <t>JÖNKÖPINGS LÄN</t>
        </is>
      </c>
      <c r="G201" t="inlineStr">
        <is>
          <t>EKSJÖ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46918-2023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46286</v>
      </c>
      <c r="F202" t="inlineStr">
        <is>
          <t>JÖNKÖPINGS LÄN</t>
        </is>
      </c>
      <c r="G202" t="inlineStr">
        <is>
          <t>EKSJÖ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46286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45086</v>
      </c>
      <c r="E204" s="1" t="n">
        <v>46286</v>
      </c>
      <c r="F204" t="inlineStr">
        <is>
          <t>JÖNKÖPINGS LÄN</t>
        </is>
      </c>
      <c r="G204" t="inlineStr">
        <is>
          <t>EKSJÖ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46286</v>
      </c>
      <c r="F205" t="inlineStr">
        <is>
          <t>JÖNKÖPINGS LÄN</t>
        </is>
      </c>
      <c r="G205" t="inlineStr">
        <is>
          <t>EKSJÖ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45334</v>
      </c>
      <c r="E206" s="1" t="n">
        <v>46286</v>
      </c>
      <c r="F206" t="inlineStr">
        <is>
          <t>JÖNKÖPINGS LÄN</t>
        </is>
      </c>
      <c r="G206" t="inlineStr">
        <is>
          <t>EKSJÖ</t>
        </is>
      </c>
      <c r="H206" t="inlineStr">
        <is>
          <t>Sveaskog</t>
        </is>
      </c>
      <c r="I206" t="n">
        <v>16.1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45334</v>
      </c>
      <c r="E207" s="1" t="n">
        <v>46286</v>
      </c>
      <c r="F207" t="inlineStr">
        <is>
          <t>JÖNKÖPINGS LÄN</t>
        </is>
      </c>
      <c r="G207" t="inlineStr">
        <is>
          <t>EKSJÖ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44991</v>
      </c>
      <c r="E208" s="1" t="n">
        <v>46286</v>
      </c>
      <c r="F208" t="inlineStr">
        <is>
          <t>JÖNKÖPINGS LÄN</t>
        </is>
      </c>
      <c r="G208" t="inlineStr">
        <is>
          <t>EKSJÖ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45364</v>
      </c>
      <c r="E209" s="1" t="n">
        <v>46286</v>
      </c>
      <c r="F209" t="inlineStr">
        <is>
          <t>JÖNKÖPINGS LÄN</t>
        </is>
      </c>
      <c r="G209" t="inlineStr">
        <is>
          <t>EKSJÖ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46286</v>
      </c>
      <c r="F210" t="inlineStr">
        <is>
          <t>JÖNKÖPINGS LÄN</t>
        </is>
      </c>
      <c r="G210" t="inlineStr">
        <is>
          <t>EKSJÖ</t>
        </is>
      </c>
      <c r="H210" t="inlineStr">
        <is>
          <t>Övriga Aktiebolag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45338</v>
      </c>
      <c r="E211" s="1" t="n">
        <v>46286</v>
      </c>
      <c r="F211" t="inlineStr">
        <is>
          <t>JÖNKÖPINGS LÄN</t>
        </is>
      </c>
      <c r="G211" t="inlineStr">
        <is>
          <t>EKSJÖ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46286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38102-2025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45882</v>
      </c>
      <c r="E213" s="1" t="n">
        <v>46286</v>
      </c>
      <c r="F213" t="inlineStr">
        <is>
          <t>JÖNKÖPINGS LÄN</t>
        </is>
      </c>
      <c r="G213" t="inlineStr">
        <is>
          <t>EKSJÖ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46286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46286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46286</v>
      </c>
      <c r="F216" t="inlineStr">
        <is>
          <t>JÖNKÖPINGS LÄN</t>
        </is>
      </c>
      <c r="G216" t="inlineStr">
        <is>
          <t>EKSJÖ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46286</v>
      </c>
      <c r="F217" t="inlineStr">
        <is>
          <t>JÖNKÖPINGS LÄN</t>
        </is>
      </c>
      <c r="G217" t="inlineStr">
        <is>
          <t>EKSJÖ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45222</v>
      </c>
      <c r="E218" s="1" t="n">
        <v>46286</v>
      </c>
      <c r="F218" t="inlineStr">
        <is>
          <t>JÖNKÖPINGS LÄN</t>
        </is>
      </c>
      <c r="G218" t="inlineStr">
        <is>
          <t>EKSJÖ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46286</v>
      </c>
      <c r="F219" t="inlineStr">
        <is>
          <t>JÖNKÖPINGS LÄN</t>
        </is>
      </c>
      <c r="G219" t="inlineStr">
        <is>
          <t>EKSJÖ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41035-2025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46286</v>
      </c>
      <c r="F220" t="inlineStr">
        <is>
          <t>JÖNKÖPINGS LÄN</t>
        </is>
      </c>
      <c r="G220" t="inlineStr">
        <is>
          <t>EKSJÖ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45195</v>
      </c>
      <c r="E221" s="1" t="n">
        <v>46286</v>
      </c>
      <c r="F221" t="inlineStr">
        <is>
          <t>JÖNKÖPINGS LÄN</t>
        </is>
      </c>
      <c r="G221" t="inlineStr">
        <is>
          <t>EKSJÖ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45391</v>
      </c>
      <c r="E222" s="1" t="n">
        <v>46286</v>
      </c>
      <c r="F222" t="inlineStr">
        <is>
          <t>JÖNKÖPINGS LÄN</t>
        </is>
      </c>
      <c r="G222" t="inlineStr">
        <is>
          <t>EKSJÖ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46286</v>
      </c>
      <c r="F223" t="inlineStr">
        <is>
          <t>JÖNKÖPINGS LÄN</t>
        </is>
      </c>
      <c r="G223" t="inlineStr">
        <is>
          <t>EKSJÖ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46286</v>
      </c>
      <c r="F224" t="inlineStr">
        <is>
          <t>JÖNKÖPINGS LÄN</t>
        </is>
      </c>
      <c r="G224" t="inlineStr">
        <is>
          <t>EKSJÖ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46286</v>
      </c>
      <c r="F225" t="inlineStr">
        <is>
          <t>JÖNKÖPINGS LÄN</t>
        </is>
      </c>
      <c r="G225" t="inlineStr">
        <is>
          <t>EKSJÖ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46286</v>
      </c>
      <c r="F226" t="inlineStr">
        <is>
          <t>JÖNKÖPINGS LÄN</t>
        </is>
      </c>
      <c r="G226" t="inlineStr">
        <is>
          <t>EKSJÖ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46286</v>
      </c>
      <c r="F227" t="inlineStr">
        <is>
          <t>JÖNKÖPINGS LÄN</t>
        </is>
      </c>
      <c r="G227" t="inlineStr">
        <is>
          <t>EKSJÖ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46286</v>
      </c>
      <c r="F228" t="inlineStr">
        <is>
          <t>JÖNKÖPINGS LÄN</t>
        </is>
      </c>
      <c r="G228" t="inlineStr">
        <is>
          <t>EKSJÖ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46286</v>
      </c>
      <c r="F229" t="inlineStr">
        <is>
          <t>JÖNKÖPINGS LÄN</t>
        </is>
      </c>
      <c r="G229" t="inlineStr">
        <is>
          <t>EKSJÖ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46286</v>
      </c>
      <c r="F230" t="inlineStr">
        <is>
          <t>JÖNKÖPINGS LÄN</t>
        </is>
      </c>
      <c r="G230" t="inlineStr">
        <is>
          <t>EKSJÖ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46286</v>
      </c>
      <c r="F231" t="inlineStr">
        <is>
          <t>JÖNKÖPINGS LÄN</t>
        </is>
      </c>
      <c r="G231" t="inlineStr">
        <is>
          <t>EKSJÖ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46286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46286</v>
      </c>
      <c r="F233" t="inlineStr">
        <is>
          <t>JÖNKÖPINGS LÄN</t>
        </is>
      </c>
      <c r="G233" t="inlineStr">
        <is>
          <t>EKSJÖ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46286</v>
      </c>
      <c r="F234" t="inlineStr">
        <is>
          <t>JÖNKÖPINGS LÄN</t>
        </is>
      </c>
      <c r="G234" t="inlineStr">
        <is>
          <t>EKSJÖ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45334</v>
      </c>
      <c r="E235" s="1" t="n">
        <v>46286</v>
      </c>
      <c r="F235" t="inlineStr">
        <is>
          <t>JÖNKÖPINGS LÄN</t>
        </is>
      </c>
      <c r="G235" t="inlineStr">
        <is>
          <t>EKSJÖ</t>
        </is>
      </c>
      <c r="H235" t="inlineStr">
        <is>
          <t>Kommuner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45334</v>
      </c>
      <c r="E236" s="1" t="n">
        <v>46286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44746</v>
      </c>
      <c r="E237" s="1" t="n">
        <v>46286</v>
      </c>
      <c r="F237" t="inlineStr">
        <is>
          <t>JÖNKÖPINGS LÄN</t>
        </is>
      </c>
      <c r="G237" t="inlineStr">
        <is>
          <t>EKSJÖ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46286</v>
      </c>
      <c r="F238" t="inlineStr">
        <is>
          <t>JÖNKÖPINGS LÄN</t>
        </is>
      </c>
      <c r="G238" t="inlineStr">
        <is>
          <t>EKSJÖ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46286</v>
      </c>
      <c r="F239" t="inlineStr">
        <is>
          <t>JÖNKÖPINGS LÄN</t>
        </is>
      </c>
      <c r="G239" t="inlineStr">
        <is>
          <t>EKSJÖ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45195</v>
      </c>
      <c r="E240" s="1" t="n">
        <v>46286</v>
      </c>
      <c r="F240" t="inlineStr">
        <is>
          <t>JÖNKÖPINGS LÄN</t>
        </is>
      </c>
      <c r="G240" t="inlineStr">
        <is>
          <t>EKSJÖ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46286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44526-2025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45916</v>
      </c>
      <c r="E242" s="1" t="n">
        <v>46286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46286</v>
      </c>
      <c r="F243" t="inlineStr">
        <is>
          <t>JÖNKÖPINGS LÄN</t>
        </is>
      </c>
      <c r="G243" t="inlineStr">
        <is>
          <t>EKSJÖ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46286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46286</v>
      </c>
      <c r="F245" t="inlineStr">
        <is>
          <t>JÖNKÖPINGS LÄN</t>
        </is>
      </c>
      <c r="G245" t="inlineStr">
        <is>
          <t>EKSJÖ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46286</v>
      </c>
      <c r="F246" t="inlineStr">
        <is>
          <t>JÖNKÖPINGS LÄN</t>
        </is>
      </c>
      <c r="G246" t="inlineStr">
        <is>
          <t>EKSJÖ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46286</v>
      </c>
      <c r="F247" t="inlineStr">
        <is>
          <t>JÖNKÖPINGS LÄN</t>
        </is>
      </c>
      <c r="G247" t="inlineStr">
        <is>
          <t>EKSJÖ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46286</v>
      </c>
      <c r="F248" t="inlineStr">
        <is>
          <t>JÖNKÖPINGS LÄN</t>
        </is>
      </c>
      <c r="G248" t="inlineStr">
        <is>
          <t>EKSJÖ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46286</v>
      </c>
      <c r="F249" t="inlineStr">
        <is>
          <t>JÖNKÖPINGS LÄN</t>
        </is>
      </c>
      <c r="G249" t="inlineStr">
        <is>
          <t>EKSJÖ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45334</v>
      </c>
      <c r="E250" s="1" t="n">
        <v>46286</v>
      </c>
      <c r="F250" t="inlineStr">
        <is>
          <t>JÖNKÖPINGS LÄN</t>
        </is>
      </c>
      <c r="G250" t="inlineStr">
        <is>
          <t>EKSJÖ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46286</v>
      </c>
      <c r="F251" t="inlineStr">
        <is>
          <t>JÖNKÖPINGS LÄN</t>
        </is>
      </c>
      <c r="G251" t="inlineStr">
        <is>
          <t>EKSJÖ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46286</v>
      </c>
      <c r="F252" t="inlineStr">
        <is>
          <t>JÖNKÖPINGS LÄN</t>
        </is>
      </c>
      <c r="G252" t="inlineStr">
        <is>
          <t>EKSJÖ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46286</v>
      </c>
      <c r="F253" t="inlineStr">
        <is>
          <t>JÖNKÖPINGS LÄN</t>
        </is>
      </c>
      <c r="G253" t="inlineStr">
        <is>
          <t>EKSJÖ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46286</v>
      </c>
      <c r="F254" t="inlineStr">
        <is>
          <t>JÖNKÖPINGS LÄN</t>
        </is>
      </c>
      <c r="G254" t="inlineStr">
        <is>
          <t>EKSJÖ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56469-2021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44480</v>
      </c>
      <c r="E255" s="1" t="n">
        <v>46286</v>
      </c>
      <c r="F255" t="inlineStr">
        <is>
          <t>JÖNKÖPINGS LÄN</t>
        </is>
      </c>
      <c r="G255" t="inlineStr">
        <is>
          <t>EKSJÖ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46286</v>
      </c>
      <c r="F256" t="inlineStr">
        <is>
          <t>JÖNKÖPINGS LÄN</t>
        </is>
      </c>
      <c r="G256" t="inlineStr">
        <is>
          <t>EKSJÖ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45666</v>
      </c>
      <c r="E257" s="1" t="n">
        <v>46286</v>
      </c>
      <c r="F257" t="inlineStr">
        <is>
          <t>JÖNKÖPINGS LÄN</t>
        </is>
      </c>
      <c r="G257" t="inlineStr">
        <is>
          <t>EKSJÖ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46286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44630</v>
      </c>
      <c r="E259" s="1" t="n">
        <v>46286</v>
      </c>
      <c r="F259" t="inlineStr">
        <is>
          <t>JÖNKÖPINGS LÄN</t>
        </is>
      </c>
      <c r="G259" t="inlineStr">
        <is>
          <t>EKSJÖ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64993-2023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45286</v>
      </c>
      <c r="E260" s="1" t="n">
        <v>46286</v>
      </c>
      <c r="F260" t="inlineStr">
        <is>
          <t>JÖNKÖPINGS LÄN</t>
        </is>
      </c>
      <c r="G260" t="inlineStr">
        <is>
          <t>EKSJÖ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46286</v>
      </c>
      <c r="F261" t="inlineStr">
        <is>
          <t>JÖNKÖPINGS LÄN</t>
        </is>
      </c>
      <c r="G261" t="inlineStr">
        <is>
          <t>EKSJÖ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32344-2024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45512</v>
      </c>
      <c r="E262" s="1" t="n">
        <v>46286</v>
      </c>
      <c r="F262" t="inlineStr">
        <is>
          <t>JÖNKÖPINGS LÄN</t>
        </is>
      </c>
      <c r="G262" t="inlineStr">
        <is>
          <t>EKSJÖ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46146</v>
      </c>
      <c r="E263" s="1" t="n">
        <v>46286</v>
      </c>
      <c r="F263" t="inlineStr">
        <is>
          <t>JÖNKÖPINGS LÄN</t>
        </is>
      </c>
      <c r="G263" t="inlineStr">
        <is>
          <t>EKSJÖ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45086</v>
      </c>
      <c r="E264" s="1" t="n">
        <v>46286</v>
      </c>
      <c r="F264" t="inlineStr">
        <is>
          <t>JÖNKÖPINGS LÄN</t>
        </is>
      </c>
      <c r="G264" t="inlineStr">
        <is>
          <t>EKSJÖ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45940</v>
      </c>
      <c r="E265" s="1" t="n">
        <v>46286</v>
      </c>
      <c r="F265" t="inlineStr">
        <is>
          <t>JÖNKÖPINGS LÄN</t>
        </is>
      </c>
      <c r="G265" t="inlineStr">
        <is>
          <t>EKSJÖ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45944</v>
      </c>
      <c r="E266" s="1" t="n">
        <v>46286</v>
      </c>
      <c r="F266" t="inlineStr">
        <is>
          <t>JÖNKÖPINGS LÄN</t>
        </is>
      </c>
      <c r="G266" t="inlineStr">
        <is>
          <t>EKSJÖ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46286</v>
      </c>
      <c r="F267" t="inlineStr">
        <is>
          <t>JÖNKÖPINGS LÄN</t>
        </is>
      </c>
      <c r="G267" t="inlineStr">
        <is>
          <t>EKSJÖ</t>
        </is>
      </c>
      <c r="H267" t="inlineStr">
        <is>
          <t>Övriga Aktiebolag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12821-2024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45384</v>
      </c>
      <c r="E268" s="1" t="n">
        <v>46286</v>
      </c>
      <c r="F268" t="inlineStr">
        <is>
          <t>JÖNKÖPINGS LÄN</t>
        </is>
      </c>
      <c r="G268" t="inlineStr">
        <is>
          <t>EKSJÖ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45315</v>
      </c>
      <c r="E269" s="1" t="n">
        <v>46286</v>
      </c>
      <c r="F269" t="inlineStr">
        <is>
          <t>JÖNKÖPINGS LÄN</t>
        </is>
      </c>
      <c r="G269" t="inlineStr">
        <is>
          <t>EKSJÖ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45944</v>
      </c>
      <c r="E270" s="1" t="n">
        <v>46286</v>
      </c>
      <c r="F270" t="inlineStr">
        <is>
          <t>JÖNKÖPINGS LÄN</t>
        </is>
      </c>
      <c r="G270" t="inlineStr">
        <is>
          <t>EKSJÖ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46286</v>
      </c>
      <c r="F271" t="inlineStr">
        <is>
          <t>JÖNKÖPINGS LÄN</t>
        </is>
      </c>
      <c r="G271" t="inlineStr">
        <is>
          <t>EKSJÖ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46286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46286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46286</v>
      </c>
      <c r="F274" t="inlineStr">
        <is>
          <t>JÖNKÖPINGS LÄN</t>
        </is>
      </c>
      <c r="G274" t="inlineStr">
        <is>
          <t>EKSJÖ</t>
        </is>
      </c>
      <c r="H274" t="inlineStr">
        <is>
          <t>Kyrkan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46286</v>
      </c>
      <c r="F275" t="inlineStr">
        <is>
          <t>JÖNKÖPINGS LÄN</t>
        </is>
      </c>
      <c r="G275" t="inlineStr">
        <is>
          <t>EKSJÖ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46286</v>
      </c>
      <c r="F276" t="inlineStr">
        <is>
          <t>JÖNKÖPINGS LÄN</t>
        </is>
      </c>
      <c r="G276" t="inlineStr">
        <is>
          <t>EKSJÖ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46286</v>
      </c>
      <c r="F277" t="inlineStr">
        <is>
          <t>JÖNKÖPINGS LÄN</t>
        </is>
      </c>
      <c r="G277" t="inlineStr">
        <is>
          <t>EKSJÖ</t>
        </is>
      </c>
      <c r="H277" t="inlineStr">
        <is>
          <t>Kyrkan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46286</v>
      </c>
      <c r="F278" t="inlineStr">
        <is>
          <t>JÖNKÖPINGS LÄN</t>
        </is>
      </c>
      <c r="G278" t="inlineStr">
        <is>
          <t>EKSJÖ</t>
        </is>
      </c>
      <c r="H278" t="inlineStr">
        <is>
          <t>Kyrkan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65554-2021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44516</v>
      </c>
      <c r="E279" s="1" t="n">
        <v>46286</v>
      </c>
      <c r="F279" t="inlineStr">
        <is>
          <t>JÖNKÖPINGS LÄN</t>
        </is>
      </c>
      <c r="G279" t="inlineStr">
        <is>
          <t>EKSJÖ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45370-2024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45576</v>
      </c>
      <c r="E280" s="1" t="n">
        <v>46286</v>
      </c>
      <c r="F280" t="inlineStr">
        <is>
          <t>JÖNKÖPINGS LÄN</t>
        </is>
      </c>
      <c r="G280" t="inlineStr">
        <is>
          <t>EKSJÖ</t>
        </is>
      </c>
      <c r="H280" t="inlineStr">
        <is>
          <t>Övriga Aktiebolag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46286</v>
      </c>
      <c r="F281" t="inlineStr">
        <is>
          <t>JÖNKÖPINGS LÄN</t>
        </is>
      </c>
      <c r="G281" t="inlineStr">
        <is>
          <t>EKSJÖ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46286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44846</v>
      </c>
      <c r="E283" s="1" t="n">
        <v>46286</v>
      </c>
      <c r="F283" t="inlineStr">
        <is>
          <t>JÖNKÖPINGS LÄN</t>
        </is>
      </c>
      <c r="G283" t="inlineStr">
        <is>
          <t>EKSJÖ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44846</v>
      </c>
      <c r="E284" s="1" t="n">
        <v>46286</v>
      </c>
      <c r="F284" t="inlineStr">
        <is>
          <t>JÖNKÖPINGS LÄN</t>
        </is>
      </c>
      <c r="G284" t="inlineStr">
        <is>
          <t>EKSJÖ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46286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46286</v>
      </c>
      <c r="F286" t="inlineStr">
        <is>
          <t>JÖNKÖPINGS LÄN</t>
        </is>
      </c>
      <c r="G286" t="inlineStr">
        <is>
          <t>EKSJÖ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44925</v>
      </c>
      <c r="E287" s="1" t="n">
        <v>46286</v>
      </c>
      <c r="F287" t="inlineStr">
        <is>
          <t>JÖNKÖPINGS LÄN</t>
        </is>
      </c>
      <c r="G287" t="inlineStr">
        <is>
          <t>EKSJÖ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46286</v>
      </c>
      <c r="F288" t="inlineStr">
        <is>
          <t>JÖNKÖPINGS LÄN</t>
        </is>
      </c>
      <c r="G288" t="inlineStr">
        <is>
          <t>EKSJÖ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46286</v>
      </c>
      <c r="F289" t="inlineStr">
        <is>
          <t>JÖNKÖPINGS LÄN</t>
        </is>
      </c>
      <c r="G289" t="inlineStr">
        <is>
          <t>EKSJÖ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45114</v>
      </c>
      <c r="E290" s="1" t="n">
        <v>46286</v>
      </c>
      <c r="F290" t="inlineStr">
        <is>
          <t>JÖNKÖPINGS LÄN</t>
        </is>
      </c>
      <c r="G290" t="inlineStr">
        <is>
          <t>EKSJÖ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45402</v>
      </c>
      <c r="E291" s="1" t="n">
        <v>46286</v>
      </c>
      <c r="F291" t="inlineStr">
        <is>
          <t>JÖNKÖPINGS LÄN</t>
        </is>
      </c>
      <c r="G291" t="inlineStr">
        <is>
          <t>EKSJÖ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46286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46286</v>
      </c>
      <c r="F293" t="inlineStr">
        <is>
          <t>JÖNKÖPINGS LÄN</t>
        </is>
      </c>
      <c r="G293" t="inlineStr">
        <is>
          <t>EKSJÖ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46286</v>
      </c>
      <c r="F294" t="inlineStr">
        <is>
          <t>JÖNKÖPINGS LÄN</t>
        </is>
      </c>
      <c r="G294" t="inlineStr">
        <is>
          <t>EKSJÖ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41739-2023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45176</v>
      </c>
      <c r="E295" s="1" t="n">
        <v>46286</v>
      </c>
      <c r="F295" t="inlineStr">
        <is>
          <t>JÖNKÖPINGS LÄN</t>
        </is>
      </c>
      <c r="G295" t="inlineStr">
        <is>
          <t>EKSJÖ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45314</v>
      </c>
      <c r="E296" s="1" t="n">
        <v>46286</v>
      </c>
      <c r="F296" t="inlineStr">
        <is>
          <t>JÖNKÖPINGS LÄN</t>
        </is>
      </c>
      <c r="G296" t="inlineStr">
        <is>
          <t>EKSJÖ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45314</v>
      </c>
      <c r="E297" s="1" t="n">
        <v>46286</v>
      </c>
      <c r="F297" t="inlineStr">
        <is>
          <t>JÖNKÖPINGS LÄN</t>
        </is>
      </c>
      <c r="G297" t="inlineStr">
        <is>
          <t>EKSJÖ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46286</v>
      </c>
      <c r="F298" t="inlineStr">
        <is>
          <t>JÖNKÖPINGS LÄN</t>
        </is>
      </c>
      <c r="G298" t="inlineStr">
        <is>
          <t>EKSJÖ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46286</v>
      </c>
      <c r="F299" t="inlineStr">
        <is>
          <t>JÖNKÖPINGS LÄN</t>
        </is>
      </c>
      <c r="G299" t="inlineStr">
        <is>
          <t>EKSJÖ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46286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45197</v>
      </c>
      <c r="E301" s="1" t="n">
        <v>46286</v>
      </c>
      <c r="F301" t="inlineStr">
        <is>
          <t>JÖNKÖPINGS LÄN</t>
        </is>
      </c>
      <c r="G301" t="inlineStr">
        <is>
          <t>EKSJÖ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45659</v>
      </c>
      <c r="E302" s="1" t="n">
        <v>46286</v>
      </c>
      <c r="F302" t="inlineStr">
        <is>
          <t>JÖNKÖPINGS LÄN</t>
        </is>
      </c>
      <c r="G302" t="inlineStr">
        <is>
          <t>EKSJÖ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46286</v>
      </c>
      <c r="F303" t="inlineStr">
        <is>
          <t>JÖNKÖPINGS LÄN</t>
        </is>
      </c>
      <c r="G303" t="inlineStr">
        <is>
          <t>EKSJÖ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34772-2023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45141</v>
      </c>
      <c r="E304" s="1" t="n">
        <v>46286</v>
      </c>
      <c r="F304" t="inlineStr">
        <is>
          <t>JÖNKÖPINGS LÄN</t>
        </is>
      </c>
      <c r="G304" t="inlineStr">
        <is>
          <t>EKSJÖ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46286</v>
      </c>
      <c r="F305" t="inlineStr">
        <is>
          <t>JÖNKÖPINGS LÄN</t>
        </is>
      </c>
      <c r="G305" t="inlineStr">
        <is>
          <t>EKSJÖ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46286</v>
      </c>
      <c r="F306" t="inlineStr">
        <is>
          <t>JÖNKÖPINGS LÄN</t>
        </is>
      </c>
      <c r="G306" t="inlineStr">
        <is>
          <t>EKSJÖ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46286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46286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45232</v>
      </c>
      <c r="E309" s="1" t="n">
        <v>46286</v>
      </c>
      <c r="F309" t="inlineStr">
        <is>
          <t>JÖNKÖPINGS LÄN</t>
        </is>
      </c>
      <c r="G309" t="inlineStr">
        <is>
          <t>EKSJÖ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45175</v>
      </c>
      <c r="E310" s="1" t="n">
        <v>46286</v>
      </c>
      <c r="F310" t="inlineStr">
        <is>
          <t>JÖNKÖPINGS LÄN</t>
        </is>
      </c>
      <c r="G310" t="inlineStr">
        <is>
          <t>EKSJÖ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46286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60920-2025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45996</v>
      </c>
      <c r="E312" s="1" t="n">
        <v>46286</v>
      </c>
      <c r="F312" t="inlineStr">
        <is>
          <t>JÖNKÖPINGS LÄN</t>
        </is>
      </c>
      <c r="G312" t="inlineStr">
        <is>
          <t>EKSJÖ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46286</v>
      </c>
      <c r="F313" t="inlineStr">
        <is>
          <t>JÖNKÖPINGS LÄN</t>
        </is>
      </c>
      <c r="G313" t="inlineStr">
        <is>
          <t>EKSJÖ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46286</v>
      </c>
      <c r="F314" t="inlineStr">
        <is>
          <t>JÖNKÖPINGS LÄN</t>
        </is>
      </c>
      <c r="G314" t="inlineStr">
        <is>
          <t>EKSJÖ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46286</v>
      </c>
      <c r="F315" t="inlineStr">
        <is>
          <t>JÖNKÖPINGS LÄN</t>
        </is>
      </c>
      <c r="G315" t="inlineStr">
        <is>
          <t>EKSJÖ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46286</v>
      </c>
      <c r="F316" t="inlineStr">
        <is>
          <t>JÖNKÖPINGS LÄN</t>
        </is>
      </c>
      <c r="G316" t="inlineStr">
        <is>
          <t>EKSJÖ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46286</v>
      </c>
      <c r="F317" t="inlineStr">
        <is>
          <t>JÖNKÖPINGS LÄN</t>
        </is>
      </c>
      <c r="G317" t="inlineStr">
        <is>
          <t>EKSJÖ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23533-2026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46286</v>
      </c>
      <c r="F318" t="inlineStr">
        <is>
          <t>JÖNKÖPINGS LÄN</t>
        </is>
      </c>
      <c r="G318" t="inlineStr">
        <is>
          <t>EKSJÖ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46286</v>
      </c>
      <c r="F319" t="inlineStr">
        <is>
          <t>JÖNKÖPINGS LÄN</t>
        </is>
      </c>
      <c r="G319" t="inlineStr">
        <is>
          <t>EKSJÖ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59564-2025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45991</v>
      </c>
      <c r="E320" s="1" t="n">
        <v>46286</v>
      </c>
      <c r="F320" t="inlineStr">
        <is>
          <t>JÖNKÖPINGS LÄN</t>
        </is>
      </c>
      <c r="G320" t="inlineStr">
        <is>
          <t>EKSJÖ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46286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45238</v>
      </c>
      <c r="E322" s="1" t="n">
        <v>46286</v>
      </c>
      <c r="F322" t="inlineStr">
        <is>
          <t>JÖNKÖPINGS LÄN</t>
        </is>
      </c>
      <c r="G322" t="inlineStr">
        <is>
          <t>EKSJÖ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46286</v>
      </c>
      <c r="F323" t="inlineStr">
        <is>
          <t>JÖNKÖPINGS LÄN</t>
        </is>
      </c>
      <c r="G323" t="inlineStr">
        <is>
          <t>EKSJÖ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36070-2024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45533</v>
      </c>
      <c r="E324" s="1" t="n">
        <v>46286</v>
      </c>
      <c r="F324" t="inlineStr">
        <is>
          <t>JÖNKÖPINGS LÄN</t>
        </is>
      </c>
      <c r="G324" t="inlineStr">
        <is>
          <t>EKSJÖ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44783</v>
      </c>
      <c r="E325" s="1" t="n">
        <v>46286</v>
      </c>
      <c r="F325" t="inlineStr">
        <is>
          <t>JÖNKÖPINGS LÄN</t>
        </is>
      </c>
      <c r="G325" t="inlineStr">
        <is>
          <t>EKSJÖ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45533</v>
      </c>
      <c r="E326" s="1" t="n">
        <v>46286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45054</v>
      </c>
      <c r="E327" s="1" t="n">
        <v>46286</v>
      </c>
      <c r="F327" t="inlineStr">
        <is>
          <t>JÖNKÖPINGS LÄN</t>
        </is>
      </c>
      <c r="G327" t="inlineStr">
        <is>
          <t>EKSJÖ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45916</v>
      </c>
      <c r="E328" s="1" t="n">
        <v>46286</v>
      </c>
      <c r="F328" t="inlineStr">
        <is>
          <t>JÖNKÖPINGS LÄN</t>
        </is>
      </c>
      <c r="G328" t="inlineStr">
        <is>
          <t>EKSJÖ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56805-2024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46286</v>
      </c>
      <c r="F329" t="inlineStr">
        <is>
          <t>JÖNKÖPINGS LÄN</t>
        </is>
      </c>
      <c r="G329" t="inlineStr">
        <is>
          <t>EKSJÖ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46286</v>
      </c>
      <c r="F330" t="inlineStr">
        <is>
          <t>JÖNKÖPINGS LÄN</t>
        </is>
      </c>
      <c r="G330" t="inlineStr">
        <is>
          <t>EKSJÖ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44739</v>
      </c>
      <c r="E331" s="1" t="n">
        <v>46286</v>
      </c>
      <c r="F331" t="inlineStr">
        <is>
          <t>JÖNKÖPINGS LÄN</t>
        </is>
      </c>
      <c r="G331" t="inlineStr">
        <is>
          <t>EKSJÖ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46009</v>
      </c>
      <c r="E332" s="1" t="n">
        <v>46286</v>
      </c>
      <c r="F332" t="inlineStr">
        <is>
          <t>JÖNKÖPINGS LÄN</t>
        </is>
      </c>
      <c r="G332" t="inlineStr">
        <is>
          <t>EKSJÖ</t>
        </is>
      </c>
      <c r="H332" t="inlineStr">
        <is>
          <t>Kommuner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30931-2023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45113</v>
      </c>
      <c r="E333" s="1" t="n">
        <v>46286</v>
      </c>
      <c r="F333" t="inlineStr">
        <is>
          <t>JÖNKÖPINGS LÄN</t>
        </is>
      </c>
      <c r="G333" t="inlineStr">
        <is>
          <t>EKSJÖ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45523</v>
      </c>
      <c r="E334" s="1" t="n">
        <v>46286</v>
      </c>
      <c r="F334" t="inlineStr">
        <is>
          <t>JÖNKÖPINGS LÄN</t>
        </is>
      </c>
      <c r="G334" t="inlineStr">
        <is>
          <t>EKSJÖ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34045-2024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45523</v>
      </c>
      <c r="E335" s="1" t="n">
        <v>46286</v>
      </c>
      <c r="F335" t="inlineStr">
        <is>
          <t>JÖNKÖPINGS LÄN</t>
        </is>
      </c>
      <c r="G335" t="inlineStr">
        <is>
          <t>EKSJÖ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50287-2024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45600</v>
      </c>
      <c r="E336" s="1" t="n">
        <v>46286</v>
      </c>
      <c r="F336" t="inlineStr">
        <is>
          <t>JÖNKÖPINGS LÄN</t>
        </is>
      </c>
      <c r="G336" t="inlineStr">
        <is>
          <t>EKSJÖ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45533</v>
      </c>
      <c r="E337" s="1" t="n">
        <v>46286</v>
      </c>
      <c r="F337" t="inlineStr">
        <is>
          <t>JÖNKÖPINGS LÄN</t>
        </is>
      </c>
      <c r="G337" t="inlineStr">
        <is>
          <t>EKSJÖ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46286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46013</v>
      </c>
      <c r="E339" s="1" t="n">
        <v>46286</v>
      </c>
      <c r="F339" t="inlineStr">
        <is>
          <t>JÖNKÖPINGS LÄN</t>
        </is>
      </c>
      <c r="G339" t="inlineStr">
        <is>
          <t>EKSJÖ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46014</v>
      </c>
      <c r="E340" s="1" t="n">
        <v>46286</v>
      </c>
      <c r="F340" t="inlineStr">
        <is>
          <t>JÖNKÖPINGS LÄN</t>
        </is>
      </c>
      <c r="G340" t="inlineStr">
        <is>
          <t>EKSJÖ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19468-2023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45049</v>
      </c>
      <c r="E341" s="1" t="n">
        <v>46286</v>
      </c>
      <c r="F341" t="inlineStr">
        <is>
          <t>JÖNKÖPINGS LÄN</t>
        </is>
      </c>
      <c r="G341" t="inlineStr">
        <is>
          <t>EKSJÖ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47390-2022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44853</v>
      </c>
      <c r="E342" s="1" t="n">
        <v>46286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46286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46286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44925</v>
      </c>
      <c r="E345" s="1" t="n">
        <v>46286</v>
      </c>
      <c r="F345" t="inlineStr">
        <is>
          <t>JÖNKÖPINGS LÄN</t>
        </is>
      </c>
      <c r="G345" t="inlineStr">
        <is>
          <t>EKSJÖ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45212</v>
      </c>
      <c r="E346" s="1" t="n">
        <v>46286</v>
      </c>
      <c r="F346" t="inlineStr">
        <is>
          <t>JÖNKÖPINGS LÄN</t>
        </is>
      </c>
      <c r="G346" t="inlineStr">
        <is>
          <t>EKSJÖ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45072</v>
      </c>
      <c r="E347" s="1" t="n">
        <v>46286</v>
      </c>
      <c r="F347" t="inlineStr">
        <is>
          <t>JÖNKÖPINGS LÄN</t>
        </is>
      </c>
      <c r="G347" t="inlineStr">
        <is>
          <t>EKSJÖ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44974</v>
      </c>
      <c r="E348" s="1" t="n">
        <v>46286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44685</v>
      </c>
      <c r="E349" s="1" t="n">
        <v>46286</v>
      </c>
      <c r="F349" t="inlineStr">
        <is>
          <t>JÖNKÖPINGS LÄN</t>
        </is>
      </c>
      <c r="G349" t="inlineStr">
        <is>
          <t>EKSJÖ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46019-2022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44846</v>
      </c>
      <c r="E350" s="1" t="n">
        <v>46286</v>
      </c>
      <c r="F350" t="inlineStr">
        <is>
          <t>JÖNKÖPINGS LÄN</t>
        </is>
      </c>
      <c r="G350" t="inlineStr">
        <is>
          <t>EKSJÖ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44813</v>
      </c>
      <c r="E351" s="1" t="n">
        <v>46286</v>
      </c>
      <c r="F351" t="inlineStr">
        <is>
          <t>JÖNKÖPINGS LÄN</t>
        </is>
      </c>
      <c r="G351" t="inlineStr">
        <is>
          <t>EKSJÖ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18062-2024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45420</v>
      </c>
      <c r="E352" s="1" t="n">
        <v>46286</v>
      </c>
      <c r="F352" t="inlineStr">
        <is>
          <t>JÖNKÖPINGS LÄN</t>
        </is>
      </c>
      <c r="G352" t="inlineStr">
        <is>
          <t>EKSJÖ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46286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18695-2024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45426</v>
      </c>
      <c r="E354" s="1" t="n">
        <v>46286</v>
      </c>
      <c r="F354" t="inlineStr">
        <is>
          <t>JÖNKÖPINGS LÄN</t>
        </is>
      </c>
      <c r="G354" t="inlineStr">
        <is>
          <t>EKSJÖ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36355-2022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44803</v>
      </c>
      <c r="E355" s="1" t="n">
        <v>46286</v>
      </c>
      <c r="F355" t="inlineStr">
        <is>
          <t>JÖNKÖPINGS LÄN</t>
        </is>
      </c>
      <c r="G355" t="inlineStr">
        <is>
          <t>EKSJÖ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46286</v>
      </c>
      <c r="F356" t="inlineStr">
        <is>
          <t>JÖNKÖPINGS LÄN</t>
        </is>
      </c>
      <c r="G356" t="inlineStr">
        <is>
          <t>EKSJÖ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46034</v>
      </c>
      <c r="E357" s="1" t="n">
        <v>46286</v>
      </c>
      <c r="F357" t="inlineStr">
        <is>
          <t>JÖNKÖPINGS LÄN</t>
        </is>
      </c>
      <c r="G357" t="inlineStr">
        <is>
          <t>EKSJÖ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46286</v>
      </c>
      <c r="F358" t="inlineStr">
        <is>
          <t>JÖNKÖPINGS LÄN</t>
        </is>
      </c>
      <c r="G358" t="inlineStr">
        <is>
          <t>EKSJÖ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46286</v>
      </c>
      <c r="F359" t="inlineStr">
        <is>
          <t>JÖNKÖPINGS LÄN</t>
        </is>
      </c>
      <c r="G359" t="inlineStr">
        <is>
          <t>EKSJÖ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46286</v>
      </c>
      <c r="F360" t="inlineStr">
        <is>
          <t>JÖNKÖPINGS LÄN</t>
        </is>
      </c>
      <c r="G360" t="inlineStr">
        <is>
          <t>EKSJÖ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46286</v>
      </c>
      <c r="F361" t="inlineStr">
        <is>
          <t>JÖNKÖPINGS LÄN</t>
        </is>
      </c>
      <c r="G361" t="inlineStr">
        <is>
          <t>EKSJÖ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45677</v>
      </c>
      <c r="E362" s="1" t="n">
        <v>46286</v>
      </c>
      <c r="F362" t="inlineStr">
        <is>
          <t>JÖNKÖPINGS LÄN</t>
        </is>
      </c>
      <c r="G362" t="inlineStr">
        <is>
          <t>EKSJÖ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46286</v>
      </c>
      <c r="F363" t="inlineStr">
        <is>
          <t>JÖNKÖPINGS LÄN</t>
        </is>
      </c>
      <c r="G363" t="inlineStr">
        <is>
          <t>EKSJÖ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46286</v>
      </c>
      <c r="F364" t="inlineStr">
        <is>
          <t>JÖNKÖPINGS LÄN</t>
        </is>
      </c>
      <c r="G364" t="inlineStr">
        <is>
          <t>EKSJÖ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45075</v>
      </c>
      <c r="E365" s="1" t="n">
        <v>46286</v>
      </c>
      <c r="F365" t="inlineStr">
        <is>
          <t>JÖNKÖPINGS LÄN</t>
        </is>
      </c>
      <c r="G365" t="inlineStr">
        <is>
          <t>EKSJÖ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46286</v>
      </c>
      <c r="F366" t="inlineStr">
        <is>
          <t>JÖNKÖPINGS LÄN</t>
        </is>
      </c>
      <c r="G366" t="inlineStr">
        <is>
          <t>EKSJÖ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46286</v>
      </c>
      <c r="F367" t="inlineStr">
        <is>
          <t>JÖNKÖPINGS LÄN</t>
        </is>
      </c>
      <c r="G367" t="inlineStr">
        <is>
          <t>EKSJÖ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8172-2023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44974</v>
      </c>
      <c r="E368" s="1" t="n">
        <v>46286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46286</v>
      </c>
      <c r="F369" t="inlineStr">
        <is>
          <t>JÖNKÖPINGS LÄN</t>
        </is>
      </c>
      <c r="G369" t="inlineStr">
        <is>
          <t>EKSJÖ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46286</v>
      </c>
      <c r="F370" t="inlineStr">
        <is>
          <t>JÖNKÖPINGS LÄN</t>
        </is>
      </c>
      <c r="G370" t="inlineStr">
        <is>
          <t>EKSJÖ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46286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46286</v>
      </c>
      <c r="F372" t="inlineStr">
        <is>
          <t>JÖNKÖPINGS LÄN</t>
        </is>
      </c>
      <c r="G372" t="inlineStr">
        <is>
          <t>EKSJÖ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25066-2026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46286</v>
      </c>
      <c r="F373" t="inlineStr">
        <is>
          <t>JÖNKÖPINGS LÄN</t>
        </is>
      </c>
      <c r="G373" t="inlineStr">
        <is>
          <t>EKSJÖ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46286</v>
      </c>
      <c r="F374" t="inlineStr">
        <is>
          <t>JÖNKÖPINGS LÄN</t>
        </is>
      </c>
      <c r="G374" t="inlineStr">
        <is>
          <t>EKSJÖ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46286</v>
      </c>
      <c r="F375" t="inlineStr">
        <is>
          <t>JÖNKÖPINGS LÄN</t>
        </is>
      </c>
      <c r="G375" t="inlineStr">
        <is>
          <t>EKSJÖ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46013-2022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44846</v>
      </c>
      <c r="E376" s="1" t="n">
        <v>46286</v>
      </c>
      <c r="F376" t="inlineStr">
        <is>
          <t>JÖNKÖPINGS LÄN</t>
        </is>
      </c>
      <c r="G376" t="inlineStr">
        <is>
          <t>EKSJÖ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46014-2022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44846</v>
      </c>
      <c r="E377" s="1" t="n">
        <v>46286</v>
      </c>
      <c r="F377" t="inlineStr">
        <is>
          <t>JÖNKÖPINGS LÄN</t>
        </is>
      </c>
      <c r="G377" t="inlineStr">
        <is>
          <t>EKSJÖ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46286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46286</v>
      </c>
      <c r="F379" t="inlineStr">
        <is>
          <t>JÖNKÖPINGS LÄN</t>
        </is>
      </c>
      <c r="G379" t="inlineStr">
        <is>
          <t>EKSJÖ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26222-2024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45468</v>
      </c>
      <c r="E380" s="1" t="n">
        <v>46286</v>
      </c>
      <c r="F380" t="inlineStr">
        <is>
          <t>JÖNKÖPINGS LÄN</t>
        </is>
      </c>
      <c r="G380" t="inlineStr">
        <is>
          <t>EKSJÖ</t>
        </is>
      </c>
      <c r="I380" t="n">
        <v>7.5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46286</v>
      </c>
      <c r="F381" t="inlineStr">
        <is>
          <t>JÖNKÖPINGS LÄN</t>
        </is>
      </c>
      <c r="G381" t="inlineStr">
        <is>
          <t>EKSJÖ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46286</v>
      </c>
      <c r="F382" t="inlineStr">
        <is>
          <t>JÖNKÖPINGS LÄN</t>
        </is>
      </c>
      <c r="G382" t="inlineStr">
        <is>
          <t>EKSJÖ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46286</v>
      </c>
      <c r="F383" t="inlineStr">
        <is>
          <t>JÖNKÖPINGS LÄN</t>
        </is>
      </c>
      <c r="G383" t="inlineStr">
        <is>
          <t>EKSJÖ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22456-2022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44713</v>
      </c>
      <c r="E384" s="1" t="n">
        <v>46286</v>
      </c>
      <c r="F384" t="inlineStr">
        <is>
          <t>JÖNKÖPINGS LÄN</t>
        </is>
      </c>
      <c r="G384" t="inlineStr">
        <is>
          <t>EKSJÖ</t>
        </is>
      </c>
      <c r="H384" t="inlineStr">
        <is>
          <t>Kyrkan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45308</v>
      </c>
      <c r="E385" s="1" t="n">
        <v>46286</v>
      </c>
      <c r="F385" t="inlineStr">
        <is>
          <t>JÖNKÖPINGS LÄN</t>
        </is>
      </c>
      <c r="G385" t="inlineStr">
        <is>
          <t>EKSJÖ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46286</v>
      </c>
      <c r="F386" t="inlineStr">
        <is>
          <t>JÖNKÖPINGS LÄN</t>
        </is>
      </c>
      <c r="G386" t="inlineStr">
        <is>
          <t>EKSJÖ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45723</v>
      </c>
      <c r="E387" s="1" t="n">
        <v>46286</v>
      </c>
      <c r="F387" t="inlineStr">
        <is>
          <t>JÖNKÖPINGS LÄN</t>
        </is>
      </c>
      <c r="G387" t="inlineStr">
        <is>
          <t>EKSJÖ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46286</v>
      </c>
      <c r="F388" t="inlineStr">
        <is>
          <t>JÖNKÖPINGS LÄN</t>
        </is>
      </c>
      <c r="G388" t="inlineStr">
        <is>
          <t>EKSJÖ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37144-2023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46286</v>
      </c>
      <c r="F389" t="inlineStr">
        <is>
          <t>JÖNKÖPINGS LÄN</t>
        </is>
      </c>
      <c r="G389" t="inlineStr">
        <is>
          <t>EKSJÖ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45328</v>
      </c>
      <c r="E390" s="1" t="n">
        <v>46286</v>
      </c>
      <c r="F390" t="inlineStr">
        <is>
          <t>JÖNKÖPINGS LÄN</t>
        </is>
      </c>
      <c r="G390" t="inlineStr">
        <is>
          <t>EKSJÖ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46286</v>
      </c>
      <c r="F391" t="inlineStr">
        <is>
          <t>JÖNKÖPINGS LÄN</t>
        </is>
      </c>
      <c r="G391" t="inlineStr">
        <is>
          <t>EKSJÖ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59734-2022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44908</v>
      </c>
      <c r="E392" s="1" t="n">
        <v>46286</v>
      </c>
      <c r="F392" t="inlineStr">
        <is>
          <t>JÖNKÖPINGS LÄN</t>
        </is>
      </c>
      <c r="G392" t="inlineStr">
        <is>
          <t>EKSJÖ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8984-2026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46286</v>
      </c>
      <c r="F393" t="inlineStr">
        <is>
          <t>JÖNKÖPINGS LÄN</t>
        </is>
      </c>
      <c r="G393" t="inlineStr">
        <is>
          <t>EKSJÖ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9058-2022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44615</v>
      </c>
      <c r="E394" s="1" t="n">
        <v>46286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46286</v>
      </c>
      <c r="F395" t="inlineStr">
        <is>
          <t>JÖNKÖPINGS LÄN</t>
        </is>
      </c>
      <c r="G395" t="inlineStr">
        <is>
          <t>EKSJÖ</t>
        </is>
      </c>
      <c r="H395" t="inlineStr">
        <is>
          <t>Kyrkan</t>
        </is>
      </c>
      <c r="I395" t="n">
        <v>15.2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46286</v>
      </c>
      <c r="F396" t="inlineStr">
        <is>
          <t>JÖNKÖPINGS LÄN</t>
        </is>
      </c>
      <c r="G396" t="inlineStr">
        <is>
          <t>EKSJÖ</t>
        </is>
      </c>
      <c r="H396" t="inlineStr">
        <is>
          <t>Kommuner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59955-2022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44909</v>
      </c>
      <c r="E397" s="1" t="n">
        <v>46286</v>
      </c>
      <c r="F397" t="inlineStr">
        <is>
          <t>JÖNKÖPINGS LÄN</t>
        </is>
      </c>
      <c r="G397" t="inlineStr">
        <is>
          <t>EKSJÖ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53053-2021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44467</v>
      </c>
      <c r="E398" s="1" t="n">
        <v>46286</v>
      </c>
      <c r="F398" t="inlineStr">
        <is>
          <t>JÖNKÖPINGS LÄN</t>
        </is>
      </c>
      <c r="G398" t="inlineStr">
        <is>
          <t>EKSJÖ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38337-2023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45161</v>
      </c>
      <c r="E399" s="1" t="n">
        <v>46286</v>
      </c>
      <c r="F399" t="inlineStr">
        <is>
          <t>JÖNKÖPINGS LÄN</t>
        </is>
      </c>
      <c r="G399" t="inlineStr">
        <is>
          <t>EKSJÖ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46286</v>
      </c>
      <c r="F400" t="inlineStr">
        <is>
          <t>JÖNKÖPINGS LÄN</t>
        </is>
      </c>
      <c r="G400" t="inlineStr">
        <is>
          <t>EKSJÖ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46184</v>
      </c>
      <c r="E401" s="1" t="n">
        <v>46286</v>
      </c>
      <c r="F401" t="inlineStr">
        <is>
          <t>JÖNKÖPINGS LÄN</t>
        </is>
      </c>
      <c r="G401" t="inlineStr">
        <is>
          <t>EKSJÖ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46184</v>
      </c>
      <c r="E402" s="1" t="n">
        <v>46286</v>
      </c>
      <c r="F402" t="inlineStr">
        <is>
          <t>JÖNKÖPINGS LÄN</t>
        </is>
      </c>
      <c r="G402" t="inlineStr">
        <is>
          <t>EKSJÖ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46184</v>
      </c>
      <c r="E403" s="1" t="n">
        <v>46286</v>
      </c>
      <c r="F403" t="inlineStr">
        <is>
          <t>JÖNKÖPINGS LÄN</t>
        </is>
      </c>
      <c r="G403" t="inlineStr">
        <is>
          <t>EKSJÖ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46184</v>
      </c>
      <c r="E404" s="1" t="n">
        <v>46286</v>
      </c>
      <c r="F404" t="inlineStr">
        <is>
          <t>JÖNKÖPINGS LÄN</t>
        </is>
      </c>
      <c r="G404" t="inlineStr">
        <is>
          <t>EKSJÖ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46286</v>
      </c>
      <c r="F405" t="inlineStr">
        <is>
          <t>JÖNKÖPINGS LÄN</t>
        </is>
      </c>
      <c r="G405" t="inlineStr">
        <is>
          <t>EKSJÖ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56689-2021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44481</v>
      </c>
      <c r="E406" s="1" t="n">
        <v>46286</v>
      </c>
      <c r="F406" t="inlineStr">
        <is>
          <t>JÖNKÖPINGS LÄN</t>
        </is>
      </c>
      <c r="G406" t="inlineStr">
        <is>
          <t>EKSJÖ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36873-2023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45154</v>
      </c>
      <c r="E407" s="1" t="n">
        <v>46286</v>
      </c>
      <c r="F407" t="inlineStr">
        <is>
          <t>JÖNKÖPINGS LÄN</t>
        </is>
      </c>
      <c r="G407" t="inlineStr">
        <is>
          <t>EKSJÖ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46286</v>
      </c>
      <c r="F408" t="inlineStr">
        <is>
          <t>JÖNKÖPINGS LÄN</t>
        </is>
      </c>
      <c r="G408" t="inlineStr">
        <is>
          <t>EKSJÖ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46286</v>
      </c>
      <c r="F409" t="inlineStr">
        <is>
          <t>JÖNKÖPINGS LÄN</t>
        </is>
      </c>
      <c r="G409" t="inlineStr">
        <is>
          <t>EKSJÖ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10169-2025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46286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20897-2022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44701</v>
      </c>
      <c r="E411" s="1" t="n">
        <v>46286</v>
      </c>
      <c r="F411" t="inlineStr">
        <is>
          <t>JÖNKÖPINGS LÄN</t>
        </is>
      </c>
      <c r="G411" t="inlineStr">
        <is>
          <t>EKSJÖ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46286</v>
      </c>
      <c r="F412" t="inlineStr">
        <is>
          <t>JÖNKÖPINGS LÄN</t>
        </is>
      </c>
      <c r="G412" t="inlineStr">
        <is>
          <t>EKSJÖ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46286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45649</v>
      </c>
      <c r="E414" s="1" t="n">
        <v>46286</v>
      </c>
      <c r="F414" t="inlineStr">
        <is>
          <t>JÖNKÖPINGS LÄN</t>
        </is>
      </c>
      <c r="G414" t="inlineStr">
        <is>
          <t>EKSJÖ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46286</v>
      </c>
      <c r="F415" t="inlineStr">
        <is>
          <t>JÖNKÖPINGS LÄN</t>
        </is>
      </c>
      <c r="G415" t="inlineStr">
        <is>
          <t>EKSJÖ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14344-2026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46286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46286</v>
      </c>
      <c r="F417" t="inlineStr">
        <is>
          <t>JÖNKÖPINGS LÄN</t>
        </is>
      </c>
      <c r="G417" t="inlineStr">
        <is>
          <t>EKSJÖ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28371-2026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46286</v>
      </c>
      <c r="F418" t="inlineStr">
        <is>
          <t>JÖNKÖPINGS LÄN</t>
        </is>
      </c>
      <c r="G418" t="inlineStr">
        <is>
          <t>EKSJÖ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28624-2026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46286</v>
      </c>
      <c r="F419" t="inlineStr">
        <is>
          <t>JÖNKÖPINGS LÄN</t>
        </is>
      </c>
      <c r="G419" t="inlineStr">
        <is>
          <t>EKSJÖ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46286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46286</v>
      </c>
      <c r="F421" t="inlineStr">
        <is>
          <t>JÖNKÖPINGS LÄN</t>
        </is>
      </c>
      <c r="G421" t="inlineStr">
        <is>
          <t>EKSJÖ</t>
        </is>
      </c>
      <c r="H421" t="inlineStr">
        <is>
          <t>Kommuner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46286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46286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46286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45236</v>
      </c>
      <c r="E425" s="1" t="n">
        <v>46286</v>
      </c>
      <c r="F425" t="inlineStr">
        <is>
          <t>JÖNKÖPINGS LÄN</t>
        </is>
      </c>
      <c r="G425" t="inlineStr">
        <is>
          <t>EKSJÖ</t>
        </is>
      </c>
      <c r="H425" t="inlineStr">
        <is>
          <t>Övriga Aktiebolag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46286</v>
      </c>
      <c r="F426" t="inlineStr">
        <is>
          <t>JÖNKÖPINGS LÄN</t>
        </is>
      </c>
      <c r="G426" t="inlineStr">
        <is>
          <t>EKSJÖ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45537</v>
      </c>
      <c r="E427" s="1" t="n">
        <v>46286</v>
      </c>
      <c r="F427" t="inlineStr">
        <is>
          <t>JÖNKÖPINGS LÄN</t>
        </is>
      </c>
      <c r="G427" t="inlineStr">
        <is>
          <t>EKSJÖ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15754-2026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46286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15750-2026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46286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63959-2023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45278</v>
      </c>
      <c r="E430" s="1" t="n">
        <v>46286</v>
      </c>
      <c r="F430" t="inlineStr">
        <is>
          <t>JÖNKÖPINGS LÄN</t>
        </is>
      </c>
      <c r="G430" t="inlineStr">
        <is>
          <t>EKSJÖ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46286</v>
      </c>
      <c r="F431" t="inlineStr">
        <is>
          <t>JÖNKÖPINGS LÄN</t>
        </is>
      </c>
      <c r="G431" t="inlineStr">
        <is>
          <t>EKSJÖ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46286</v>
      </c>
      <c r="F432" t="inlineStr">
        <is>
          <t>JÖNKÖPINGS LÄN</t>
        </is>
      </c>
      <c r="G432" t="inlineStr">
        <is>
          <t>EKSJÖ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46079</v>
      </c>
      <c r="E433" s="1" t="n">
        <v>46286</v>
      </c>
      <c r="F433" t="inlineStr">
        <is>
          <t>JÖNKÖPINGS LÄN</t>
        </is>
      </c>
      <c r="G433" t="inlineStr">
        <is>
          <t>EKSJÖ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46286</v>
      </c>
      <c r="F434" t="inlineStr">
        <is>
          <t>JÖNKÖPINGS LÄN</t>
        </is>
      </c>
      <c r="G434" t="inlineStr">
        <is>
          <t>EKSJÖ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46286</v>
      </c>
      <c r="F435" t="inlineStr">
        <is>
          <t>JÖNKÖPINGS LÄN</t>
        </is>
      </c>
      <c r="G435" t="inlineStr">
        <is>
          <t>EKSJÖ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46286</v>
      </c>
      <c r="F436" t="inlineStr">
        <is>
          <t>JÖNKÖPINGS LÄN</t>
        </is>
      </c>
      <c r="G436" t="inlineStr">
        <is>
          <t>EKSJÖ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46286</v>
      </c>
      <c r="F437" t="inlineStr">
        <is>
          <t>JÖNKÖPINGS LÄN</t>
        </is>
      </c>
      <c r="G437" t="inlineStr">
        <is>
          <t>EKSJÖ</t>
        </is>
      </c>
      <c r="H437" t="inlineStr">
        <is>
          <t>Övriga Aktiebolag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16894-2026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46113</v>
      </c>
      <c r="E438" s="1" t="n">
        <v>46286</v>
      </c>
      <c r="F438" t="inlineStr">
        <is>
          <t>JÖNKÖPINGS LÄN</t>
        </is>
      </c>
      <c r="G438" t="inlineStr">
        <is>
          <t>EKSJÖ</t>
        </is>
      </c>
      <c r="H438" t="inlineStr">
        <is>
          <t>Övriga Aktiebolag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44966</v>
      </c>
      <c r="E439" s="1" t="n">
        <v>46286</v>
      </c>
      <c r="F439" t="inlineStr">
        <is>
          <t>JÖNKÖPINGS LÄN</t>
        </is>
      </c>
      <c r="G439" t="inlineStr">
        <is>
          <t>EKSJÖ</t>
        </is>
      </c>
      <c r="H439" t="inlineStr">
        <is>
          <t>Kyrkan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45160</v>
      </c>
      <c r="E440" s="1" t="n">
        <v>46286</v>
      </c>
      <c r="F440" t="inlineStr">
        <is>
          <t>JÖNKÖPINGS LÄN</t>
        </is>
      </c>
      <c r="G440" t="inlineStr">
        <is>
          <t>EKSJÖ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11007-2024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46286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29043-2026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46286</v>
      </c>
      <c r="F442" t="inlineStr">
        <is>
          <t>JÖNKÖPINGS LÄN</t>
        </is>
      </c>
      <c r="G442" t="inlineStr">
        <is>
          <t>EKSJÖ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21883-2023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45068</v>
      </c>
      <c r="E443" s="1" t="n">
        <v>46286</v>
      </c>
      <c r="F443" t="inlineStr">
        <is>
          <t>JÖNKÖPINGS LÄN</t>
        </is>
      </c>
      <c r="G443" t="inlineStr">
        <is>
          <t>EKSJÖ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71313-2021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46286</v>
      </c>
      <c r="F444" t="inlineStr">
        <is>
          <t>JÖNKÖPINGS LÄN</t>
        </is>
      </c>
      <c r="G444" t="inlineStr">
        <is>
          <t>EKSJÖ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46127</v>
      </c>
      <c r="E445" s="1" t="n">
        <v>46286</v>
      </c>
      <c r="F445" t="inlineStr">
        <is>
          <t>JÖNKÖPINGS LÄN</t>
        </is>
      </c>
      <c r="G445" t="inlineStr">
        <is>
          <t>EKSJÖ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59254-2023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46286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19095-2026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46286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45493-2022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44845</v>
      </c>
      <c r="E448" s="1" t="n">
        <v>46286</v>
      </c>
      <c r="F448" t="inlineStr">
        <is>
          <t>JÖNKÖPINGS LÄN</t>
        </is>
      </c>
      <c r="G448" t="inlineStr">
        <is>
          <t>EKSJÖ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33644-2022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44789</v>
      </c>
      <c r="E449" s="1" t="n">
        <v>46286</v>
      </c>
      <c r="F449" t="inlineStr">
        <is>
          <t>JÖNKÖPINGS LÄN</t>
        </is>
      </c>
      <c r="G449" t="inlineStr">
        <is>
          <t>EKSJÖ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55817-2023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45239</v>
      </c>
      <c r="E450" s="1" t="n">
        <v>46286</v>
      </c>
      <c r="F450" t="inlineStr">
        <is>
          <t>JÖNKÖPINGS LÄN</t>
        </is>
      </c>
      <c r="G450" t="inlineStr">
        <is>
          <t>EKSJÖ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11022-2024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46286</v>
      </c>
      <c r="F451" t="inlineStr">
        <is>
          <t>JÖNKÖPINGS LÄN</t>
        </is>
      </c>
      <c r="G451" t="inlineStr">
        <is>
          <t>EKSJÖ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45334</v>
      </c>
      <c r="E452" s="1" t="n">
        <v>46286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5587-2024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45334</v>
      </c>
      <c r="E453" s="1" t="n">
        <v>46286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50165-2022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46286</v>
      </c>
      <c r="F454" t="inlineStr">
        <is>
          <t>JÖNKÖPINGS LÄN</t>
        </is>
      </c>
      <c r="G454" t="inlineStr">
        <is>
          <t>EKSJÖ</t>
        </is>
      </c>
      <c r="H454" t="inlineStr">
        <is>
          <t>Övriga Aktiebolag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45107</v>
      </c>
      <c r="E455" s="1" t="n">
        <v>46286</v>
      </c>
      <c r="F455" t="inlineStr">
        <is>
          <t>JÖNKÖPINGS LÄN</t>
        </is>
      </c>
      <c r="G455" t="inlineStr">
        <is>
          <t>EKSJÖ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40094-2025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45894</v>
      </c>
      <c r="E456" s="1" t="n">
        <v>46286</v>
      </c>
      <c r="F456" t="inlineStr">
        <is>
          <t>JÖNKÖPINGS LÄN</t>
        </is>
      </c>
      <c r="G456" t="inlineStr">
        <is>
          <t>EKSJÖ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47806-2023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46286</v>
      </c>
      <c r="F457" t="inlineStr">
        <is>
          <t>JÖNKÖPINGS LÄN</t>
        </is>
      </c>
      <c r="G457" t="inlineStr">
        <is>
          <t>EKSJÖ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9294-2025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45714</v>
      </c>
      <c r="E458" s="1" t="n">
        <v>46286</v>
      </c>
      <c r="F458" t="inlineStr">
        <is>
          <t>JÖNKÖPINGS LÄN</t>
        </is>
      </c>
      <c r="G458" t="inlineStr">
        <is>
          <t>EKSJÖ</t>
        </is>
      </c>
      <c r="H458" t="inlineStr">
        <is>
          <t>Sveaskog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45818</v>
      </c>
      <c r="E459" s="1" t="n">
        <v>46286</v>
      </c>
      <c r="F459" t="inlineStr">
        <is>
          <t>JÖNKÖPINGS LÄN</t>
        </is>
      </c>
      <c r="G459" t="inlineStr">
        <is>
          <t>EKSJÖ</t>
        </is>
      </c>
      <c r="H459" t="inlineStr">
        <is>
          <t>Övriga Aktiebolag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46286</v>
      </c>
      <c r="F460" t="inlineStr">
        <is>
          <t>JÖNKÖPINGS LÄN</t>
        </is>
      </c>
      <c r="G460" t="inlineStr">
        <is>
          <t>EKSJÖ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8183-2023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44974</v>
      </c>
      <c r="E461" s="1" t="n">
        <v>46286</v>
      </c>
      <c r="F461" t="inlineStr">
        <is>
          <t>JÖNKÖPINGS LÄN</t>
        </is>
      </c>
      <c r="G461" t="inlineStr">
        <is>
          <t>EKSJÖ</t>
        </is>
      </c>
      <c r="H461" t="inlineStr">
        <is>
          <t>Sveaskog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41397-2024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45560</v>
      </c>
      <c r="E462" s="1" t="n">
        <v>46286</v>
      </c>
      <c r="F462" t="inlineStr">
        <is>
          <t>JÖNKÖPINGS LÄN</t>
        </is>
      </c>
      <c r="G462" t="inlineStr">
        <is>
          <t>EKSJÖ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45367-2024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45576</v>
      </c>
      <c r="E463" s="1" t="n">
        <v>46286</v>
      </c>
      <c r="F463" t="inlineStr">
        <is>
          <t>JÖNKÖPINGS LÄN</t>
        </is>
      </c>
      <c r="G463" t="inlineStr">
        <is>
          <t>EKSJÖ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59050-2021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44490</v>
      </c>
      <c r="E464" s="1" t="n">
        <v>46286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33453-2026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46247</v>
      </c>
      <c r="E465" s="1" t="n">
        <v>46286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23535-2023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45076</v>
      </c>
      <c r="E466" s="1" t="n">
        <v>46286</v>
      </c>
      <c r="F466" t="inlineStr">
        <is>
          <t>JÖNKÖPINGS LÄN</t>
        </is>
      </c>
      <c r="G466" t="inlineStr">
        <is>
          <t>EKSJÖ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45096</v>
      </c>
      <c r="E467" s="1" t="n">
        <v>46286</v>
      </c>
      <c r="F467" t="inlineStr">
        <is>
          <t>JÖNKÖPINGS LÄN</t>
        </is>
      </c>
      <c r="G467" t="inlineStr">
        <is>
          <t>EKSJÖ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45372</v>
      </c>
      <c r="E468" s="1" t="n">
        <v>46286</v>
      </c>
      <c r="F468" t="inlineStr">
        <is>
          <t>JÖNKÖPINGS LÄN</t>
        </is>
      </c>
      <c r="G468" t="inlineStr">
        <is>
          <t>EKSJÖ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10345-2022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44623</v>
      </c>
      <c r="E469" s="1" t="n">
        <v>46286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45156</v>
      </c>
      <c r="E470" s="1" t="n">
        <v>46286</v>
      </c>
      <c r="F470" t="inlineStr">
        <is>
          <t>JÖNKÖPINGS LÄN</t>
        </is>
      </c>
      <c r="G470" t="inlineStr">
        <is>
          <t>EKSJÖ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22670-2023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46286</v>
      </c>
      <c r="F471" t="inlineStr">
        <is>
          <t>JÖNKÖPINGS LÄN</t>
        </is>
      </c>
      <c r="G471" t="inlineStr">
        <is>
          <t>EKSJÖ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59905-2022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44908</v>
      </c>
      <c r="E472" s="1" t="n">
        <v>46286</v>
      </c>
      <c r="F472" t="inlineStr">
        <is>
          <t>JÖNKÖPINGS LÄN</t>
        </is>
      </c>
      <c r="G472" t="inlineStr">
        <is>
          <t>EKSJÖ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45391</v>
      </c>
      <c r="E473" s="1" t="n">
        <v>46286</v>
      </c>
      <c r="F473" t="inlineStr">
        <is>
          <t>JÖNKÖPINGS LÄN</t>
        </is>
      </c>
      <c r="G473" t="inlineStr">
        <is>
          <t>EKSJÖ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44581</v>
      </c>
      <c r="E474" s="1" t="n">
        <v>46286</v>
      </c>
      <c r="F474" t="inlineStr">
        <is>
          <t>JÖNKÖPINGS LÄN</t>
        </is>
      </c>
      <c r="G474" t="inlineStr">
        <is>
          <t>EKSJÖ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30527-2023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46286</v>
      </c>
      <c r="F475" t="inlineStr">
        <is>
          <t>JÖNKÖPINGS LÄN</t>
        </is>
      </c>
      <c r="G475" t="inlineStr">
        <is>
          <t>EKSJÖ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44600</v>
      </c>
      <c r="E476" s="1" t="n">
        <v>46286</v>
      </c>
      <c r="F476" t="inlineStr">
        <is>
          <t>JÖNKÖPINGS LÄN</t>
        </is>
      </c>
      <c r="G476" t="inlineStr">
        <is>
          <t>EKSJÖ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45715</v>
      </c>
      <c r="E477" s="1" t="n">
        <v>46286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30362-2026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46209</v>
      </c>
      <c r="E478" s="1" t="n">
        <v>46286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46209</v>
      </c>
      <c r="E479" s="1" t="n">
        <v>46286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17030-2024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45411</v>
      </c>
      <c r="E480" s="1" t="n">
        <v>46286</v>
      </c>
      <c r="F480" t="inlineStr">
        <is>
          <t>JÖNKÖPINGS LÄN</t>
        </is>
      </c>
      <c r="G480" t="inlineStr">
        <is>
          <t>EKSJÖ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30394-2026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46209</v>
      </c>
      <c r="E481" s="1" t="n">
        <v>46286</v>
      </c>
      <c r="F481" t="inlineStr">
        <is>
          <t>JÖNKÖPINGS LÄN</t>
        </is>
      </c>
      <c r="G481" t="inlineStr">
        <is>
          <t>EKSJÖ</t>
        </is>
      </c>
      <c r="H481" t="inlineStr">
        <is>
          <t>Sveaskog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45214</v>
      </c>
      <c r="E482" s="1" t="n">
        <v>46286</v>
      </c>
      <c r="F482" t="inlineStr">
        <is>
          <t>JÖNKÖPINGS LÄN</t>
        </is>
      </c>
      <c r="G482" t="inlineStr">
        <is>
          <t>EKSJÖ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46252</v>
      </c>
      <c r="E483" s="1" t="n">
        <v>46286</v>
      </c>
      <c r="F483" t="inlineStr">
        <is>
          <t>JÖNKÖPINGS LÄN</t>
        </is>
      </c>
      <c r="G483" t="inlineStr">
        <is>
          <t>EKSJÖ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800-2024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45300</v>
      </c>
      <c r="E484" s="1" t="n">
        <v>46286</v>
      </c>
      <c r="F484" t="inlineStr">
        <is>
          <t>JÖNKÖPINGS LÄN</t>
        </is>
      </c>
      <c r="G484" t="inlineStr">
        <is>
          <t>EKSJÖ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44746</v>
      </c>
      <c r="E485" s="1" t="n">
        <v>46286</v>
      </c>
      <c r="F485" t="inlineStr">
        <is>
          <t>JÖNKÖPINGS LÄN</t>
        </is>
      </c>
      <c r="G485" t="inlineStr">
        <is>
          <t>EKSJÖ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45300</v>
      </c>
      <c r="E486" s="1" t="n">
        <v>46286</v>
      </c>
      <c r="F486" t="inlineStr">
        <is>
          <t>JÖNKÖPINGS LÄN</t>
        </is>
      </c>
      <c r="G486" t="inlineStr">
        <is>
          <t>EKSJÖ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46209</v>
      </c>
      <c r="E487" s="1" t="n">
        <v>46286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46212</v>
      </c>
      <c r="E488" s="1" t="n">
        <v>46286</v>
      </c>
      <c r="F488" t="inlineStr">
        <is>
          <t>JÖNKÖPINGS LÄN</t>
        </is>
      </c>
      <c r="G488" t="inlineStr">
        <is>
          <t>EKSJÖ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46286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46286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46286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34535-2026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46286</v>
      </c>
      <c r="F492" t="inlineStr">
        <is>
          <t>JÖNKÖPINGS LÄN</t>
        </is>
      </c>
      <c r="G492" t="inlineStr">
        <is>
          <t>EKSJÖ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58095-2024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46286</v>
      </c>
      <c r="F493" t="inlineStr">
        <is>
          <t>JÖNKÖPINGS LÄN</t>
        </is>
      </c>
      <c r="G493" t="inlineStr">
        <is>
          <t>EKSJÖ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48740-2023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45208</v>
      </c>
      <c r="E494" s="1" t="n">
        <v>46286</v>
      </c>
      <c r="F494" t="inlineStr">
        <is>
          <t>JÖNKÖPINGS LÄN</t>
        </is>
      </c>
      <c r="G494" t="inlineStr">
        <is>
          <t>EKSJÖ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45218</v>
      </c>
      <c r="E495" s="1" t="n">
        <v>46286</v>
      </c>
      <c r="F495" t="inlineStr">
        <is>
          <t>JÖNKÖPINGS LÄN</t>
        </is>
      </c>
      <c r="G495" t="inlineStr">
        <is>
          <t>EKSJÖ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5638-2024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45334</v>
      </c>
      <c r="E496" s="1" t="n">
        <v>46286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46286</v>
      </c>
      <c r="F497" t="inlineStr">
        <is>
          <t>JÖNKÖPINGS LÄN</t>
        </is>
      </c>
      <c r="G497" t="inlineStr">
        <is>
          <t>EKSJÖ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34352-2026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46254</v>
      </c>
      <c r="E498" s="1" t="n">
        <v>46286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46286</v>
      </c>
      <c r="F499" t="inlineStr">
        <is>
          <t>JÖNKÖPINGS LÄN</t>
        </is>
      </c>
      <c r="G499" t="inlineStr">
        <is>
          <t>EKSJÖ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46286</v>
      </c>
      <c r="F500" t="inlineStr">
        <is>
          <t>JÖNKÖPINGS LÄN</t>
        </is>
      </c>
      <c r="G500" t="inlineStr">
        <is>
          <t>EKSJÖ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46577-2022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44848</v>
      </c>
      <c r="E501" s="1" t="n">
        <v>46286</v>
      </c>
      <c r="F501" t="inlineStr">
        <is>
          <t>JÖNKÖPINGS LÄN</t>
        </is>
      </c>
      <c r="G501" t="inlineStr">
        <is>
          <t>EKSJÖ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19497-2025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45770</v>
      </c>
      <c r="E502" s="1" t="n">
        <v>46286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36503-2024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45537</v>
      </c>
      <c r="E503" s="1" t="n">
        <v>46286</v>
      </c>
      <c r="F503" t="inlineStr">
        <is>
          <t>JÖNKÖPINGS LÄN</t>
        </is>
      </c>
      <c r="G503" t="inlineStr">
        <is>
          <t>EKSJÖ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45714</v>
      </c>
      <c r="E504" s="1" t="n">
        <v>46286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45714</v>
      </c>
      <c r="E505" s="1" t="n">
        <v>46286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46286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9400-2025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45715</v>
      </c>
      <c r="E507" s="1" t="n">
        <v>46286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9404-2025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46286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47204-2022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44851</v>
      </c>
      <c r="E509" s="1" t="n">
        <v>46286</v>
      </c>
      <c r="F509" t="inlineStr">
        <is>
          <t>JÖNKÖPINGS LÄN</t>
        </is>
      </c>
      <c r="G509" t="inlineStr">
        <is>
          <t>EKSJÖ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8056-2025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45707</v>
      </c>
      <c r="E510" s="1" t="n">
        <v>46286</v>
      </c>
      <c r="F510" t="inlineStr">
        <is>
          <t>JÖNKÖPINGS LÄN</t>
        </is>
      </c>
      <c r="G510" t="inlineStr">
        <is>
          <t>EKSJÖ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46286</v>
      </c>
      <c r="F511" t="inlineStr">
        <is>
          <t>JÖNKÖPINGS LÄN</t>
        </is>
      </c>
      <c r="G511" t="inlineStr">
        <is>
          <t>EKSJÖ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46286</v>
      </c>
      <c r="F512" t="inlineStr">
        <is>
          <t>JÖNKÖPINGS LÄN</t>
        </is>
      </c>
      <c r="G512" t="inlineStr">
        <is>
          <t>EKSJÖ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45329</v>
      </c>
      <c r="E513" s="1" t="n">
        <v>46286</v>
      </c>
      <c r="F513" t="inlineStr">
        <is>
          <t>JÖNKÖPINGS LÄN</t>
        </is>
      </c>
      <c r="G513" t="inlineStr">
        <is>
          <t>EKSJÖ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45635</v>
      </c>
      <c r="E514" s="1" t="n">
        <v>46286</v>
      </c>
      <c r="F514" t="inlineStr">
        <is>
          <t>JÖNKÖPINGS LÄN</t>
        </is>
      </c>
      <c r="G514" t="inlineStr">
        <is>
          <t>EKSJÖ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46286</v>
      </c>
      <c r="F515" t="inlineStr">
        <is>
          <t>JÖNKÖPINGS LÄN</t>
        </is>
      </c>
      <c r="G515" t="inlineStr">
        <is>
          <t>EKSJÖ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46286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45334</v>
      </c>
      <c r="E517" s="1" t="n">
        <v>46286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46286</v>
      </c>
      <c r="F518" t="inlineStr">
        <is>
          <t>JÖNKÖPINGS LÄN</t>
        </is>
      </c>
      <c r="G518" t="inlineStr">
        <is>
          <t>EKSJÖ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44939</v>
      </c>
      <c r="E519" s="1" t="n">
        <v>46286</v>
      </c>
      <c r="F519" t="inlineStr">
        <is>
          <t>JÖNKÖPINGS LÄN</t>
        </is>
      </c>
      <c r="G519" t="inlineStr">
        <is>
          <t>EKSJÖ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41816-2024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45561</v>
      </c>
      <c r="E520" s="1" t="n">
        <v>46286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33490-2026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46247</v>
      </c>
      <c r="E521" s="1" t="n">
        <v>46286</v>
      </c>
      <c r="F521" t="inlineStr">
        <is>
          <t>JÖNKÖPINGS LÄN</t>
        </is>
      </c>
      <c r="G521" t="inlineStr">
        <is>
          <t>EKSJÖ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46286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23183-2022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44719</v>
      </c>
      <c r="E523" s="1" t="n">
        <v>46286</v>
      </c>
      <c r="F523" t="inlineStr">
        <is>
          <t>JÖNKÖPINGS LÄN</t>
        </is>
      </c>
      <c r="G523" t="inlineStr">
        <is>
          <t>EKSJÖ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45762</v>
      </c>
      <c r="E524" s="1" t="n">
        <v>46286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45671</v>
      </c>
      <c r="E525" s="1" t="n">
        <v>46286</v>
      </c>
      <c r="F525" t="inlineStr">
        <is>
          <t>JÖNKÖPINGS LÄN</t>
        </is>
      </c>
      <c r="G525" t="inlineStr">
        <is>
          <t>EKSJÖ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8165-2022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44609</v>
      </c>
      <c r="E526" s="1" t="n">
        <v>46286</v>
      </c>
      <c r="F526" t="inlineStr">
        <is>
          <t>JÖNKÖPINGS LÄN</t>
        </is>
      </c>
      <c r="G526" t="inlineStr">
        <is>
          <t>EKSJÖ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44999</v>
      </c>
      <c r="E527" s="1" t="n">
        <v>46286</v>
      </c>
      <c r="F527" t="inlineStr">
        <is>
          <t>JÖNKÖPINGS LÄN</t>
        </is>
      </c>
      <c r="G527" t="inlineStr">
        <is>
          <t>EKSJÖ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12409-2023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44999</v>
      </c>
      <c r="E528" s="1" t="n">
        <v>46286</v>
      </c>
      <c r="F528" t="inlineStr">
        <is>
          <t>JÖNKÖPINGS LÄN</t>
        </is>
      </c>
      <c r="G528" t="inlineStr">
        <is>
          <t>EKSJÖ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50275-2023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45209</v>
      </c>
      <c r="E529" s="1" t="n">
        <v>46286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45777</v>
      </c>
      <c r="E530" s="1" t="n">
        <v>46286</v>
      </c>
      <c r="F530" t="inlineStr">
        <is>
          <t>JÖNKÖPINGS LÄN</t>
        </is>
      </c>
      <c r="G530" t="inlineStr">
        <is>
          <t>EKSJÖ</t>
        </is>
      </c>
      <c r="H530" t="inlineStr">
        <is>
          <t>Kommuner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37074-2026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46273</v>
      </c>
      <c r="E531" s="1" t="n">
        <v>46286</v>
      </c>
      <c r="F531" t="inlineStr">
        <is>
          <t>JÖNKÖPINGS LÄN</t>
        </is>
      </c>
      <c r="G531" t="inlineStr">
        <is>
          <t>EKSJÖ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20986-2025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45777</v>
      </c>
      <c r="E532" s="1" t="n">
        <v>46286</v>
      </c>
      <c r="F532" t="inlineStr">
        <is>
          <t>JÖNKÖPINGS LÄN</t>
        </is>
      </c>
      <c r="G532" t="inlineStr">
        <is>
          <t>EKSJÖ</t>
        </is>
      </c>
      <c r="H532" t="inlineStr">
        <is>
          <t>Kommuner</t>
        </is>
      </c>
      <c r="I532" t="n">
        <v>9.6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45779</v>
      </c>
      <c r="E533" s="1" t="n">
        <v>46286</v>
      </c>
      <c r="F533" t="inlineStr">
        <is>
          <t>JÖNKÖPINGS LÄN</t>
        </is>
      </c>
      <c r="G533" t="inlineStr">
        <is>
          <t>EKSJÖ</t>
        </is>
      </c>
      <c r="H533" t="inlineStr">
        <is>
          <t>Kommuner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59234-2024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45637</v>
      </c>
      <c r="E534" s="1" t="n">
        <v>46286</v>
      </c>
      <c r="F534" t="inlineStr">
        <is>
          <t>JÖNKÖPINGS LÄN</t>
        </is>
      </c>
      <c r="G534" t="inlineStr">
        <is>
          <t>EKSJÖ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36700-2026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46272</v>
      </c>
      <c r="E535" s="1" t="n">
        <v>46286</v>
      </c>
      <c r="F535" t="inlineStr">
        <is>
          <t>JÖNKÖPINGS LÄN</t>
        </is>
      </c>
      <c r="G535" t="inlineStr">
        <is>
          <t>EKSJÖ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46286</v>
      </c>
      <c r="F536" t="inlineStr">
        <is>
          <t>JÖNKÖPINGS LÄN</t>
        </is>
      </c>
      <c r="G536" t="inlineStr">
        <is>
          <t>EKSJÖ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37270-2026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46286</v>
      </c>
      <c r="F537" t="inlineStr">
        <is>
          <t>JÖNKÖPINGS LÄN</t>
        </is>
      </c>
      <c r="G537" t="inlineStr">
        <is>
          <t>EKSJÖ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7723-2025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45706</v>
      </c>
      <c r="E538" s="1" t="n">
        <v>46286</v>
      </c>
      <c r="F538" t="inlineStr">
        <is>
          <t>JÖNKÖPINGS LÄN</t>
        </is>
      </c>
      <c r="G538" t="inlineStr">
        <is>
          <t>EKSJÖ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22574-2025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45786</v>
      </c>
      <c r="E539" s="1" t="n">
        <v>46286</v>
      </c>
      <c r="F539" t="inlineStr">
        <is>
          <t>JÖNKÖPINGS LÄN</t>
        </is>
      </c>
      <c r="G539" t="inlineStr">
        <is>
          <t>EKSJÖ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46286</v>
      </c>
      <c r="F540" t="inlineStr">
        <is>
          <t>JÖNKÖPINGS LÄN</t>
        </is>
      </c>
      <c r="G540" t="inlineStr">
        <is>
          <t>EKSJÖ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42469-2023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45175</v>
      </c>
      <c r="E541" s="1" t="n">
        <v>46286</v>
      </c>
      <c r="F541" t="inlineStr">
        <is>
          <t>JÖNKÖPINGS LÄN</t>
        </is>
      </c>
      <c r="G541" t="inlineStr">
        <is>
          <t>EKSJÖ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45530</v>
      </c>
      <c r="E542" s="1" t="n">
        <v>46286</v>
      </c>
      <c r="F542" t="inlineStr">
        <is>
          <t>JÖNKÖPINGS LÄN</t>
        </is>
      </c>
      <c r="G542" t="inlineStr">
        <is>
          <t>EKSJÖ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38207-2026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46281</v>
      </c>
      <c r="E543" s="1" t="n">
        <v>46286</v>
      </c>
      <c r="F543" t="inlineStr">
        <is>
          <t>JÖNKÖPINGS LÄN</t>
        </is>
      </c>
      <c r="G543" t="inlineStr">
        <is>
          <t>EKSJÖ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22987-2025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45790</v>
      </c>
      <c r="E544" s="1" t="n">
        <v>46286</v>
      </c>
      <c r="F544" t="inlineStr">
        <is>
          <t>JÖNKÖPINGS LÄN</t>
        </is>
      </c>
      <c r="G544" t="inlineStr">
        <is>
          <t>EKSJÖ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45579</v>
      </c>
      <c r="E545" s="1" t="n">
        <v>46286</v>
      </c>
      <c r="F545" t="inlineStr">
        <is>
          <t>JÖNKÖPINGS LÄN</t>
        </is>
      </c>
      <c r="G545" t="inlineStr">
        <is>
          <t>EKSJÖ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46286</v>
      </c>
      <c r="F546" t="inlineStr">
        <is>
          <t>JÖNKÖPINGS LÄN</t>
        </is>
      </c>
      <c r="G546" t="inlineStr">
        <is>
          <t>EKSJÖ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23386-2025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45791</v>
      </c>
      <c r="E547" s="1" t="n">
        <v>46286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38707-2026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46281</v>
      </c>
      <c r="E548" s="1" t="n">
        <v>46286</v>
      </c>
      <c r="F548" t="inlineStr">
        <is>
          <t>JÖNKÖPINGS LÄN</t>
        </is>
      </c>
      <c r="G548" t="inlineStr">
        <is>
          <t>EKSJÖ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46286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45624</v>
      </c>
      <c r="E550" s="1" t="n">
        <v>46286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45743</v>
      </c>
      <c r="E551" s="1" t="n">
        <v>46286</v>
      </c>
      <c r="F551" t="inlineStr">
        <is>
          <t>JÖNKÖPINGS LÄN</t>
        </is>
      </c>
      <c r="G551" t="inlineStr">
        <is>
          <t>EKSJÖ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14382-2025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45741</v>
      </c>
      <c r="E552" s="1" t="n">
        <v>46286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45726</v>
      </c>
      <c r="E553" s="1" t="n">
        <v>46286</v>
      </c>
      <c r="F553" t="inlineStr">
        <is>
          <t>JÖNKÖPINGS LÄN</t>
        </is>
      </c>
      <c r="G553" t="inlineStr">
        <is>
          <t>EKSJÖ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46286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14376-2025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46286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11957-2025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45728</v>
      </c>
      <c r="E556" s="1" t="n">
        <v>46286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14366-2025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45741</v>
      </c>
      <c r="E557" s="1" t="n">
        <v>46286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11669-2025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45727</v>
      </c>
      <c r="E558" s="1" t="n">
        <v>46286</v>
      </c>
      <c r="F558" t="inlineStr">
        <is>
          <t>JÖNKÖPINGS LÄN</t>
        </is>
      </c>
      <c r="G558" t="inlineStr">
        <is>
          <t>EKSJÖ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46283</v>
      </c>
      <c r="E559" s="1" t="n">
        <v>46286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13735-2025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45737</v>
      </c>
      <c r="E560" s="1" t="n">
        <v>46286</v>
      </c>
      <c r="F560" t="inlineStr">
        <is>
          <t>JÖNKÖPINGS LÄN</t>
        </is>
      </c>
      <c r="G560" t="inlineStr">
        <is>
          <t>EKSJÖ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34173-2024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45524</v>
      </c>
      <c r="E561" s="1" t="n">
        <v>46286</v>
      </c>
      <c r="F561" t="inlineStr">
        <is>
          <t>JÖNKÖPINGS LÄN</t>
        </is>
      </c>
      <c r="G561" t="inlineStr">
        <is>
          <t>EKSJÖ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45811</v>
      </c>
      <c r="E562" s="1" t="n">
        <v>46286</v>
      </c>
      <c r="F562" t="inlineStr">
        <is>
          <t>JÖNKÖPINGS LÄN</t>
        </is>
      </c>
      <c r="G562" t="inlineStr">
        <is>
          <t>EKSJÖ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26306-2023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45091</v>
      </c>
      <c r="E563" s="1" t="n">
        <v>46286</v>
      </c>
      <c r="F563" t="inlineStr">
        <is>
          <t>JÖNKÖPINGS LÄN</t>
        </is>
      </c>
      <c r="G563" t="inlineStr">
        <is>
          <t>EKSJÖ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19856-2025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45771</v>
      </c>
      <c r="E564" s="1" t="n">
        <v>46286</v>
      </c>
      <c r="F564" t="inlineStr">
        <is>
          <t>JÖNKÖPINGS LÄN</t>
        </is>
      </c>
      <c r="G564" t="inlineStr">
        <is>
          <t>EKSJÖ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45819</v>
      </c>
      <c r="E565" s="1" t="n">
        <v>46286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45819</v>
      </c>
      <c r="E566" s="1" t="n">
        <v>46286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45826</v>
      </c>
      <c r="E567" s="1" t="n">
        <v>46286</v>
      </c>
      <c r="F567" t="inlineStr">
        <is>
          <t>JÖNKÖPINGS LÄN</t>
        </is>
      </c>
      <c r="G567" t="inlineStr">
        <is>
          <t>EKSJÖ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41440-2024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45560</v>
      </c>
      <c r="E568" s="1" t="n">
        <v>46286</v>
      </c>
      <c r="F568" t="inlineStr">
        <is>
          <t>JÖNKÖPINGS LÄN</t>
        </is>
      </c>
      <c r="G568" t="inlineStr">
        <is>
          <t>EKSJÖ</t>
        </is>
      </c>
      <c r="H568" t="inlineStr">
        <is>
          <t>Kyrkan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32873-2025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45839</v>
      </c>
      <c r="E569" s="1" t="n">
        <v>46286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33609-2025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45841</v>
      </c>
      <c r="E570" s="1" t="n">
        <v>46286</v>
      </c>
      <c r="F570" t="inlineStr">
        <is>
          <t>JÖNKÖPINGS LÄN</t>
        </is>
      </c>
      <c r="G570" t="inlineStr">
        <is>
          <t>EKSJÖ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45841</v>
      </c>
      <c r="E571" s="1" t="n">
        <v>46286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33775-2025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45842</v>
      </c>
      <c r="E572" s="1" t="n">
        <v>46286</v>
      </c>
      <c r="F572" t="inlineStr">
        <is>
          <t>JÖNKÖPINGS LÄN</t>
        </is>
      </c>
      <c r="G572" t="inlineStr">
        <is>
          <t>EKSJÖ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45845</v>
      </c>
      <c r="E573" s="1" t="n">
        <v>46286</v>
      </c>
      <c r="F573" t="inlineStr">
        <is>
          <t>JÖNKÖPINGS LÄN</t>
        </is>
      </c>
      <c r="G573" t="inlineStr">
        <is>
          <t>EKSJÖ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33970-2025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45842</v>
      </c>
      <c r="E574" s="1" t="n">
        <v>46286</v>
      </c>
      <c r="F574" t="inlineStr">
        <is>
          <t>JÖNKÖPINGS LÄN</t>
        </is>
      </c>
      <c r="G574" t="inlineStr">
        <is>
          <t>EKSJÖ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45785</v>
      </c>
      <c r="E575" s="1" t="n">
        <v>46286</v>
      </c>
      <c r="F575" t="inlineStr">
        <is>
          <t>JÖNKÖPINGS LÄN</t>
        </is>
      </c>
      <c r="G575" t="inlineStr">
        <is>
          <t>EKSJÖ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8057-2023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44974</v>
      </c>
      <c r="E576" s="1" t="n">
        <v>46286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45695</v>
      </c>
      <c r="E577" s="1" t="n">
        <v>46286</v>
      </c>
      <c r="F577" t="inlineStr">
        <is>
          <t>JÖNKÖPINGS LÄN</t>
        </is>
      </c>
      <c r="G577" t="inlineStr">
        <is>
          <t>EKSJÖ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24928-2024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45461</v>
      </c>
      <c r="E578" s="1" t="n">
        <v>46286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46286</v>
      </c>
      <c r="F579" t="inlineStr">
        <is>
          <t>JÖNKÖPINGS LÄN</t>
        </is>
      </c>
      <c r="G579" t="inlineStr">
        <is>
          <t>EKSJÖ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35784-2025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45860</v>
      </c>
      <c r="E580" s="1" t="n">
        <v>46286</v>
      </c>
      <c r="F580" t="inlineStr">
        <is>
          <t>JÖNKÖPINGS LÄN</t>
        </is>
      </c>
      <c r="G580" t="inlineStr">
        <is>
          <t>EKSJÖ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36148-2025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45866</v>
      </c>
      <c r="E581" s="1" t="n">
        <v>46286</v>
      </c>
      <c r="F581" t="inlineStr">
        <is>
          <t>JÖNKÖPINGS LÄN</t>
        </is>
      </c>
      <c r="G581" t="inlineStr">
        <is>
          <t>EKSJÖ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36853-2025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45874</v>
      </c>
      <c r="E582" s="1" t="n">
        <v>46286</v>
      </c>
      <c r="F582" t="inlineStr">
        <is>
          <t>JÖNKÖPINGS LÄN</t>
        </is>
      </c>
      <c r="G582" t="inlineStr">
        <is>
          <t>EKSJÖ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45875</v>
      </c>
      <c r="E583" s="1" t="n">
        <v>46286</v>
      </c>
      <c r="F583" t="inlineStr">
        <is>
          <t>JÖNKÖPINGS LÄN</t>
        </is>
      </c>
      <c r="G583" t="inlineStr">
        <is>
          <t>EKSJÖ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46286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37519-2025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45877</v>
      </c>
      <c r="E585" s="1" t="n">
        <v>46286</v>
      </c>
      <c r="F585" t="inlineStr">
        <is>
          <t>JÖNKÖPINGS LÄN</t>
        </is>
      </c>
      <c r="G585" t="inlineStr">
        <is>
          <t>EKSJÖ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45819</v>
      </c>
      <c r="E586" s="1" t="n">
        <v>46286</v>
      </c>
      <c r="F586" t="inlineStr">
        <is>
          <t>JÖNKÖPINGS LÄN</t>
        </is>
      </c>
      <c r="G586" t="inlineStr">
        <is>
          <t>EKSJÖ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33971-2025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46286</v>
      </c>
      <c r="F587" t="inlineStr">
        <is>
          <t>JÖNKÖPINGS LÄN</t>
        </is>
      </c>
      <c r="G587" t="inlineStr">
        <is>
          <t>EKSJÖ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18413-2025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45762</v>
      </c>
      <c r="E588" s="1" t="n">
        <v>46286</v>
      </c>
      <c r="F588" t="inlineStr">
        <is>
          <t>JÖNKÖPINGS LÄN</t>
        </is>
      </c>
      <c r="G588" t="inlineStr">
        <is>
          <t>EKSJÖ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545-2024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46286</v>
      </c>
      <c r="F589" t="inlineStr">
        <is>
          <t>JÖNKÖPINGS LÄN</t>
        </is>
      </c>
      <c r="G589" t="inlineStr">
        <is>
          <t>EKSJÖ</t>
        </is>
      </c>
      <c r="I589" t="n">
        <v>40.5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538-2024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46286</v>
      </c>
      <c r="F590" t="inlineStr">
        <is>
          <t>JÖNKÖPINGS LÄN</t>
        </is>
      </c>
      <c r="G590" t="inlineStr">
        <is>
          <t>EKSJÖ</t>
        </is>
      </c>
      <c r="I590" t="n">
        <v>25.6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544-2024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46286</v>
      </c>
      <c r="F591" t="inlineStr">
        <is>
          <t>JÖNKÖPINGS LÄN</t>
        </is>
      </c>
      <c r="G591" t="inlineStr">
        <is>
          <t>EKSJÖ</t>
        </is>
      </c>
      <c r="I591" t="n">
        <v>37.3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46286</v>
      </c>
      <c r="F592" t="inlineStr">
        <is>
          <t>JÖNKÖPINGS LÄN</t>
        </is>
      </c>
      <c r="G592" t="inlineStr">
        <is>
          <t>EKSJÖ</t>
        </is>
      </c>
      <c r="I592" t="n">
        <v>30.9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2245-2023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46286</v>
      </c>
      <c r="F593" t="inlineStr">
        <is>
          <t>JÖNKÖPINGS LÄN</t>
        </is>
      </c>
      <c r="G593" t="inlineStr">
        <is>
          <t>EKSJÖ</t>
        </is>
      </c>
      <c r="I593" t="n">
        <v>33.4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2246-2023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46286</v>
      </c>
      <c r="F594" t="inlineStr">
        <is>
          <t>JÖNKÖPINGS LÄN</t>
        </is>
      </c>
      <c r="G594" t="inlineStr">
        <is>
          <t>EKSJÖ</t>
        </is>
      </c>
      <c r="I594" t="n">
        <v>22.7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541-2024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46286</v>
      </c>
      <c r="F595" t="inlineStr">
        <is>
          <t>JÖNKÖPINGS LÄN</t>
        </is>
      </c>
      <c r="G595" t="inlineStr">
        <is>
          <t>EKSJÖ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2270-2023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45103</v>
      </c>
      <c r="E596" s="1" t="n">
        <v>46286</v>
      </c>
      <c r="F596" t="inlineStr">
        <is>
          <t>JÖNKÖPINGS LÄN</t>
        </is>
      </c>
      <c r="G596" t="inlineStr">
        <is>
          <t>EKSJÖ</t>
        </is>
      </c>
      <c r="I596" t="n">
        <v>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4938-2024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45628</v>
      </c>
      <c r="E597" s="1" t="n">
        <v>46286</v>
      </c>
      <c r="F597" t="inlineStr">
        <is>
          <t>JÖNKÖPINGS LÄN</t>
        </is>
      </c>
      <c r="G597" t="inlineStr">
        <is>
          <t>EKSJÖ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546-2024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46286</v>
      </c>
      <c r="F598" t="inlineStr">
        <is>
          <t>JÖNKÖPINGS LÄN</t>
        </is>
      </c>
      <c r="G598" t="inlineStr">
        <is>
          <t>EKSJÖ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540-2024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46286</v>
      </c>
      <c r="F599" t="inlineStr">
        <is>
          <t>JÖNKÖPINGS LÄN</t>
        </is>
      </c>
      <c r="G599" t="inlineStr">
        <is>
          <t>EKSJÖ</t>
        </is>
      </c>
      <c r="I599" t="n">
        <v>25.9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543-2024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46286</v>
      </c>
      <c r="F600" t="inlineStr">
        <is>
          <t>JÖNKÖPINGS LÄN</t>
        </is>
      </c>
      <c r="G600" t="inlineStr">
        <is>
          <t>EKSJÖ</t>
        </is>
      </c>
      <c r="I600" t="n">
        <v>21.4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1407-2023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45042</v>
      </c>
      <c r="E601" s="1" t="n">
        <v>46286</v>
      </c>
      <c r="F601" t="inlineStr">
        <is>
          <t>JÖNKÖPINGS LÄN</t>
        </is>
      </c>
      <c r="G601" t="inlineStr">
        <is>
          <t>EKSJÖ</t>
        </is>
      </c>
      <c r="I601" t="n">
        <v>60.7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539-2024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46286</v>
      </c>
      <c r="F602" t="inlineStr">
        <is>
          <t>JÖNKÖPINGS LÄN</t>
        </is>
      </c>
      <c r="G602" t="inlineStr">
        <is>
          <t>EKSJÖ</t>
        </is>
      </c>
      <c r="I602" t="n">
        <v>41.7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2244-2023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45100</v>
      </c>
      <c r="E603" s="1" t="n">
        <v>46286</v>
      </c>
      <c r="F603" t="inlineStr">
        <is>
          <t>JÖNKÖPINGS LÄN</t>
        </is>
      </c>
      <c r="G603" t="inlineStr">
        <is>
          <t>EKSJÖ</t>
        </is>
      </c>
      <c r="I603" t="n">
        <v>26.1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2704-2023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45155</v>
      </c>
      <c r="E604" s="1" t="n">
        <v>46286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1298-2025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45770</v>
      </c>
      <c r="E605" s="1" t="n">
        <v>46286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949-2025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45741</v>
      </c>
      <c r="E606" s="1" t="n">
        <v>46286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583-2025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45712</v>
      </c>
      <c r="E607" s="1" t="n">
        <v>46286</v>
      </c>
      <c r="F607" t="inlineStr">
        <is>
          <t>JÖNKÖPINGS LÄN</t>
        </is>
      </c>
      <c r="G607" t="inlineStr">
        <is>
          <t>EKSJÖ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524-2025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45707</v>
      </c>
      <c r="E608" s="1" t="n">
        <v>46286</v>
      </c>
      <c r="F608" t="inlineStr">
        <is>
          <t>JÖNKÖPINGS LÄN</t>
        </is>
      </c>
      <c r="G608" t="inlineStr">
        <is>
          <t>EKSJÖ</t>
        </is>
      </c>
      <c r="I608" t="n">
        <v>114.6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1670-2025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45804</v>
      </c>
      <c r="E609" s="1" t="n">
        <v>46286</v>
      </c>
      <c r="F609" t="inlineStr">
        <is>
          <t>JÖNKÖPINGS LÄN</t>
        </is>
      </c>
      <c r="G609" t="inlineStr">
        <is>
          <t>EKSJÖ</t>
        </is>
      </c>
      <c r="I609" t="n">
        <v>21.5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2606-2025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45916</v>
      </c>
      <c r="E610" s="1" t="n">
        <v>46286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2834-2025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45940</v>
      </c>
      <c r="E611" s="1" t="n">
        <v>46286</v>
      </c>
      <c r="F611" t="inlineStr">
        <is>
          <t>JÖNKÖPINGS LÄN</t>
        </is>
      </c>
      <c r="G611" t="inlineStr">
        <is>
          <t>EKSJÖ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1004-2026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46121</v>
      </c>
      <c r="E612" s="1" t="n">
        <v>46286</v>
      </c>
      <c r="F612" t="inlineStr">
        <is>
          <t>JÖNKÖPINGS LÄN</t>
        </is>
      </c>
      <c r="G612" t="inlineStr">
        <is>
          <t>EKSJÖ</t>
        </is>
      </c>
      <c r="I612" t="n">
        <v>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1412-2026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46154</v>
      </c>
      <c r="E613" s="1" t="n">
        <v>46286</v>
      </c>
      <c r="F613" t="inlineStr">
        <is>
          <t>JÖNKÖPINGS LÄN</t>
        </is>
      </c>
      <c r="G613" t="inlineStr">
        <is>
          <t>EKSJÖ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1521-2026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46166</v>
      </c>
      <c r="E614" s="1" t="n">
        <v>46286</v>
      </c>
      <c r="F614" t="inlineStr">
        <is>
          <t>JÖNKÖPINGS LÄN</t>
        </is>
      </c>
      <c r="G614" t="inlineStr">
        <is>
          <t>EKSJÖ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1826-2026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46286</v>
      </c>
      <c r="F615" t="inlineStr">
        <is>
          <t>JÖNKÖPINGS LÄN</t>
        </is>
      </c>
      <c r="G615" t="inlineStr">
        <is>
          <t>EKSJÖ</t>
        </is>
      </c>
      <c r="I615" t="n">
        <v>117.5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1825-2026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46190</v>
      </c>
      <c r="E616" s="1" t="n">
        <v>46286</v>
      </c>
      <c r="F616" t="inlineStr">
        <is>
          <t>JÖNKÖPINGS LÄN</t>
        </is>
      </c>
      <c r="G616" t="inlineStr">
        <is>
          <t>EKSJÖ</t>
        </is>
      </c>
      <c r="I616" t="n">
        <v>14.8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1973-2026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46210</v>
      </c>
      <c r="E617" s="1" t="n">
        <v>46286</v>
      </c>
      <c r="F617" t="inlineStr">
        <is>
          <t>JÖNKÖPINGS LÄN</t>
        </is>
      </c>
      <c r="G617" t="inlineStr">
        <is>
          <t>EKSJÖ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1842-2026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46153</v>
      </c>
      <c r="E618" s="1" t="n">
        <v>46286</v>
      </c>
      <c r="F618" t="inlineStr">
        <is>
          <t>JÖNKÖPINGS LÄN</t>
        </is>
      </c>
      <c r="G618" t="inlineStr">
        <is>
          <t>EKSJÖ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2026-09-21T02:01:50Z</dcterms:created>
  <dcterms:modified xmlns:dcterms="http://purl.org/dc/terms/" xmlns:xsi="http://www.w3.org/2001/XMLSchema-instance" xsi:type="dcterms:W3CDTF">2026-09-21T02:01:50Z</dcterms:modified>
</cp:coreProperties>
</file>