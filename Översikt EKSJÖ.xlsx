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46266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46266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46266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46266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46266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46266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46266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46266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41029-2025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46266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4.4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Gränsticka</t>
        </is>
      </c>
      <c r="W26">
        <f>HYPERLINK("https://klasma.github.io/Logging_0686/artfynd/A 41029-2025 artfynd.xlsx", "A 41029-2025")</f>
        <v/>
      </c>
      <c r="X26">
        <f>HYPERLINK("https://klasma.github.io/Logging_0686/kartor/A 41029-2025 karta.png", "A 41029-2025")</f>
        <v/>
      </c>
      <c r="Y26">
        <f>HYPERLINK("https://klasma.github.io/Logging_0686/kartor_geotiff/A 41029-2025 georefererad karta.tif", "A 41029-2025")</f>
        <v/>
      </c>
      <c r="AA26">
        <f>HYPERLINK("https://klasma.github.io/Logging_0686/klagomål/A 41029-2025 FSC-klagomål.docx", "A 41029-2025")</f>
        <v/>
      </c>
      <c r="AB26">
        <f>HYPERLINK("https://klasma.github.io/Logging_0686/klagomålsmail/A 41029-2025 FSC-klagomål mail.docx", "A 41029-2025")</f>
        <v/>
      </c>
      <c r="AC26">
        <f>HYPERLINK("https://klasma.github.io/Logging_0686/tillsyn/A 41029-2025 tillsynsbegäran.docx", "A 41029-2025")</f>
        <v/>
      </c>
      <c r="AD26">
        <f>HYPERLINK("https://klasma.github.io/Logging_0686/tillsynsmail/A 41029-2025 tillsynsbegäran mail.docx", "A 41029-2025")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46266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46266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46266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46266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46266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46266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46266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47729-2022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46266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Tibast</t>
        </is>
      </c>
      <c r="W34">
        <f>HYPERLINK("https://klasma.github.io/Logging_0686/artfynd/A 47729-2022 artfynd.xlsx", "A 47729-2022")</f>
        <v/>
      </c>
      <c r="X34">
        <f>HYPERLINK("https://klasma.github.io/Logging_0686/kartor/A 47729-2022 karta.png", "A 47729-2022")</f>
        <v/>
      </c>
      <c r="Y34">
        <f>HYPERLINK("https://klasma.github.io/Logging_0686/kartor_geotiff/A 47729-2022 georefererad karta.tif", "A 47729-2022")</f>
        <v/>
      </c>
      <c r="AA34">
        <f>HYPERLINK("https://klasma.github.io/Logging_0686/klagomål/A 47729-2022 FSC-klagomål.docx", "A 47729-2022")</f>
        <v/>
      </c>
      <c r="AB34">
        <f>HYPERLINK("https://klasma.github.io/Logging_0686/klagomålsmail/A 47729-2022 FSC-klagomål mail.docx", "A 47729-2022")</f>
        <v/>
      </c>
      <c r="AC34">
        <f>HYPERLINK("https://klasma.github.io/Logging_0686/tillsyn/A 47729-2022 tillsynsbegäran.docx", "A 47729-2022")</f>
        <v/>
      </c>
      <c r="AD34">
        <f>HYPERLINK("https://klasma.github.io/Logging_0686/tillsynsmail/A 47729-2022 tillsynsbegäran mail.docx", "A 47729-2022")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46266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Sotvaxskivling</t>
        </is>
      </c>
      <c r="W35">
        <f>HYPERLINK("https://klasma.github.io/Logging_0686/artfynd/A 10726-2024 artfynd.xlsx", "A 10726-2024")</f>
        <v/>
      </c>
      <c r="X35">
        <f>HYPERLINK("https://klasma.github.io/Logging_0686/kartor/A 10726-2024 karta.png", "A 10726-2024")</f>
        <v/>
      </c>
      <c r="Y35">
        <f>HYPERLINK("https://klasma.github.io/Logging_0686/kartor_geotiff/A 10726-2024 georefererad karta.tif", "A 10726-2024")</f>
        <v/>
      </c>
      <c r="AA35">
        <f>HYPERLINK("https://klasma.github.io/Logging_0686/klagomål/A 10726-2024 FSC-klagomål.docx", "A 10726-2024")</f>
        <v/>
      </c>
      <c r="AB35">
        <f>HYPERLINK("https://klasma.github.io/Logging_0686/klagomålsmail/A 10726-2024 FSC-klagomål mail.docx", "A 10726-2024")</f>
        <v/>
      </c>
      <c r="AC35">
        <f>HYPERLINK("https://klasma.github.io/Logging_0686/tillsyn/A 10726-2024 tillsynsbegäran.docx", "A 10726-2024")</f>
        <v/>
      </c>
      <c r="AD35">
        <f>HYPERLINK("https://klasma.github.io/Logging_0686/tillsynsmail/A 10726-2024 tillsynsbegäran mail.docx", "A 10726-2024")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46266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46266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46266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HYPERLINK("https://klasma.github.io/Logging_0686/artfynd/A 32830-2025 artfynd.xlsx", "A 32830-2025")</f>
        <v/>
      </c>
      <c r="X38">
        <f>HYPERLINK("https://klasma.github.io/Logging_0686/kartor/A 32830-2025 karta.png", "A 32830-2025")</f>
        <v/>
      </c>
      <c r="Y38">
        <f>HYPERLINK("https://klasma.github.io/Logging_0686/kartor_geotiff/A 32830-2025 georefererad karta.tif", "A 32830-2025")</f>
        <v/>
      </c>
      <c r="AA38">
        <f>HYPERLINK("https://klasma.github.io/Logging_0686/klagomål/A 32830-2025 FSC-klagomål.docx", "A 32830-2025")</f>
        <v/>
      </c>
      <c r="AB38">
        <f>HYPERLINK("https://klasma.github.io/Logging_0686/klagomålsmail/A 32830-2025 FSC-klagomål mail.docx", "A 32830-2025")</f>
        <v/>
      </c>
      <c r="AC38">
        <f>HYPERLINK("https://klasma.github.io/Logging_0686/tillsyn/A 32830-2025 tillsynsbegäran.docx", "A 32830-2025")</f>
        <v/>
      </c>
      <c r="AD38">
        <f>HYPERLINK("https://klasma.github.io/Logging_0686/tillsynsmail/A 32830-2025 tillsynsbegäran mail.docx", "A 32830-2025")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46266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46266</v>
      </c>
      <c r="F40" t="inlineStr">
        <is>
          <t>JÖNKÖPINGS LÄN</t>
        </is>
      </c>
      <c r="G40" t="inlineStr">
        <is>
          <t>EKSJÖ</t>
        </is>
      </c>
      <c r="I40" t="n">
        <v>3.4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HYPERLINK("https://klasma.github.io/Logging_0686/artfynd/A 58-2023 artfynd.xlsx", "A 58-2023")</f>
        <v/>
      </c>
      <c r="X40">
        <f>HYPERLINK("https://klasma.github.io/Logging_0686/kartor/A 58-2023 karta.png", "A 58-2023")</f>
        <v/>
      </c>
      <c r="Y40">
        <f>HYPERLINK("https://klasma.github.io/Logging_0686/kartor_geotiff/A 58-2023 georefererad karta.tif", "A 58-2023")</f>
        <v/>
      </c>
      <c r="AA40">
        <f>HYPERLINK("https://klasma.github.io/Logging_0686/klagomål/A 58-2023 FSC-klagomål.docx", "A 58-2023")</f>
        <v/>
      </c>
      <c r="AB40">
        <f>HYPERLINK("https://klasma.github.io/Logging_0686/klagomålsmail/A 58-2023 FSC-klagomål mail.docx", "A 58-2023")</f>
        <v/>
      </c>
      <c r="AC40">
        <f>HYPERLINK("https://klasma.github.io/Logging_0686/tillsyn/A 58-2023 tillsynsbegäran.docx", "A 58-2023")</f>
        <v/>
      </c>
      <c r="AD40">
        <f>HYPERLINK("https://klasma.github.io/Logging_0686/tillsynsmail/A 58-2023 tillsynsbegäran mail.docx", "A 58-2023")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46266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23536-2026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46266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Spindelört</t>
        </is>
      </c>
      <c r="W42">
        <f>HYPERLINK("https://klasma.github.io/Logging_0686/artfynd/A 23536-2026 artfynd.xlsx", "A 23536-2026")</f>
        <v/>
      </c>
      <c r="X42">
        <f>HYPERLINK("https://klasma.github.io/Logging_0686/kartor/A 23536-2026 karta.png", "A 23536-2026")</f>
        <v/>
      </c>
      <c r="Y42">
        <f>HYPERLINK("https://klasma.github.io/Logging_0686/kartor_geotiff/A 23536-2026 georefererad karta.tif", "A 23536-2026")</f>
        <v/>
      </c>
      <c r="AA42">
        <f>HYPERLINK("https://klasma.github.io/Logging_0686/klagomål/A 23536-2026 FSC-klagomål.docx", "A 23536-2026")</f>
        <v/>
      </c>
      <c r="AB42">
        <f>HYPERLINK("https://klasma.github.io/Logging_0686/klagomålsmail/A 23536-2026 FSC-klagomål mail.docx", "A 23536-2026")</f>
        <v/>
      </c>
      <c r="AC42">
        <f>HYPERLINK("https://klasma.github.io/Logging_0686/tillsyn/A 23536-2026 tillsynsbegäran.docx", "A 23536-2026")</f>
        <v/>
      </c>
      <c r="AD42">
        <f>HYPERLINK("https://klasma.github.io/Logging_0686/tillsynsmail/A 23536-2026 tillsynsbegäran mail.docx", "A 23536-2026")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46266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46266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46266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46266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46266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46266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46266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46266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46266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46266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46266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46266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46266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46266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46266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46266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46266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46266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46266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46266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46266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46266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46266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46266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46266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46266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46266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46266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46266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46266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46266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46266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46266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46266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46266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46266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46266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46266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46266</v>
      </c>
      <c r="F81" t="inlineStr">
        <is>
          <t>JÖNKÖPINGS LÄN</t>
        </is>
      </c>
      <c r="G81" t="inlineStr">
        <is>
          <t>EKSJÖ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46266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73675-2021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44552</v>
      </c>
      <c r="E83" s="1" t="n">
        <v>46266</v>
      </c>
      <c r="F83" t="inlineStr">
        <is>
          <t>JÖNKÖPINGS LÄN</t>
        </is>
      </c>
      <c r="G83" t="inlineStr">
        <is>
          <t>EKSJÖ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46266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46266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46266</v>
      </c>
      <c r="F86" t="inlineStr">
        <is>
          <t>JÖNKÖPINGS LÄN</t>
        </is>
      </c>
      <c r="G86" t="inlineStr">
        <is>
          <t>EKSJÖ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46266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46266</v>
      </c>
      <c r="F88" t="inlineStr">
        <is>
          <t>JÖNKÖPINGS LÄN</t>
        </is>
      </c>
      <c r="G88" t="inlineStr">
        <is>
          <t>EKSJÖ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46266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46266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46266</v>
      </c>
      <c r="F91" t="inlineStr">
        <is>
          <t>JÖNKÖPINGS LÄN</t>
        </is>
      </c>
      <c r="G91" t="inlineStr">
        <is>
          <t>EKSJÖ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46266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44701</v>
      </c>
      <c r="E93" s="1" t="n">
        <v>46266</v>
      </c>
      <c r="F93" t="inlineStr">
        <is>
          <t>JÖNKÖPINGS LÄN</t>
        </is>
      </c>
      <c r="G93" t="inlineStr">
        <is>
          <t>EKSJÖ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46266</v>
      </c>
      <c r="F94" t="inlineStr">
        <is>
          <t>JÖNKÖPINGS LÄN</t>
        </is>
      </c>
      <c r="G94" t="inlineStr">
        <is>
          <t>EKSJÖ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46266</v>
      </c>
      <c r="F95" t="inlineStr">
        <is>
          <t>JÖNKÖPINGS LÄN</t>
        </is>
      </c>
      <c r="G95" t="inlineStr">
        <is>
          <t>EKSJÖ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46266</v>
      </c>
      <c r="F96" t="inlineStr">
        <is>
          <t>JÖNKÖPINGS LÄN</t>
        </is>
      </c>
      <c r="G96" t="inlineStr">
        <is>
          <t>EKSJÖ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46266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46266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44476</v>
      </c>
      <c r="E99" s="1" t="n">
        <v>46266</v>
      </c>
      <c r="F99" t="inlineStr">
        <is>
          <t>JÖNKÖPINGS LÄN</t>
        </is>
      </c>
      <c r="G99" t="inlineStr">
        <is>
          <t>EKSJÖ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46266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46266</v>
      </c>
      <c r="F101" t="inlineStr">
        <is>
          <t>JÖNKÖPINGS LÄN</t>
        </is>
      </c>
      <c r="G101" t="inlineStr">
        <is>
          <t>EKSJÖ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46266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46266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46266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46266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46266</v>
      </c>
      <c r="F106" t="inlineStr">
        <is>
          <t>JÖNKÖPINGS LÄN</t>
        </is>
      </c>
      <c r="G106" t="inlineStr">
        <is>
          <t>EKSJÖ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46266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46266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46266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44748</v>
      </c>
      <c r="E110" s="1" t="n">
        <v>46266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46266</v>
      </c>
      <c r="F111" t="inlineStr">
        <is>
          <t>JÖNKÖPINGS LÄN</t>
        </is>
      </c>
      <c r="G111" t="inlineStr">
        <is>
          <t>EKSJÖ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46266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46266</v>
      </c>
      <c r="F113" t="inlineStr">
        <is>
          <t>JÖNKÖPINGS LÄN</t>
        </is>
      </c>
      <c r="G113" t="inlineStr">
        <is>
          <t>EKSJÖ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45575</v>
      </c>
      <c r="E114" s="1" t="n">
        <v>46266</v>
      </c>
      <c r="F114" t="inlineStr">
        <is>
          <t>JÖNKÖPINGS LÄN</t>
        </is>
      </c>
      <c r="G114" t="inlineStr">
        <is>
          <t>EKSJÖ</t>
        </is>
      </c>
      <c r="H114" t="inlineStr">
        <is>
          <t>Övriga Aktiebolag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46266</v>
      </c>
      <c r="F115" t="inlineStr">
        <is>
          <t>JÖNKÖPINGS LÄN</t>
        </is>
      </c>
      <c r="G115" t="inlineStr">
        <is>
          <t>EKSJÖ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45078</v>
      </c>
      <c r="E116" s="1" t="n">
        <v>46266</v>
      </c>
      <c r="F116" t="inlineStr">
        <is>
          <t>JÖNKÖPINGS LÄN</t>
        </is>
      </c>
      <c r="G116" t="inlineStr">
        <is>
          <t>EKSJÖ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46266</v>
      </c>
      <c r="F117" t="inlineStr">
        <is>
          <t>JÖNKÖPINGS LÄN</t>
        </is>
      </c>
      <c r="G117" t="inlineStr">
        <is>
          <t>EKSJÖ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13273-2023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45003</v>
      </c>
      <c r="E118" s="1" t="n">
        <v>46266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46266</v>
      </c>
      <c r="F119" t="inlineStr">
        <is>
          <t>JÖNKÖPINGS LÄN</t>
        </is>
      </c>
      <c r="G119" t="inlineStr">
        <is>
          <t>EKSJÖ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46266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44940</v>
      </c>
      <c r="E121" s="1" t="n">
        <v>46266</v>
      </c>
      <c r="F121" t="inlineStr">
        <is>
          <t>JÖNKÖPINGS LÄN</t>
        </is>
      </c>
      <c r="G121" t="inlineStr">
        <is>
          <t>EKSJÖ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44941</v>
      </c>
      <c r="E122" s="1" t="n">
        <v>46266</v>
      </c>
      <c r="F122" t="inlineStr">
        <is>
          <t>JÖNKÖPINGS LÄN</t>
        </is>
      </c>
      <c r="G122" t="inlineStr">
        <is>
          <t>EKSJÖ</t>
        </is>
      </c>
      <c r="H122" t="inlineStr">
        <is>
          <t>Övriga Aktiebolag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45057</v>
      </c>
      <c r="E123" s="1" t="n">
        <v>46266</v>
      </c>
      <c r="F123" t="inlineStr">
        <is>
          <t>JÖNKÖPINGS LÄN</t>
        </is>
      </c>
      <c r="G123" t="inlineStr">
        <is>
          <t>EKSJÖ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46266</v>
      </c>
      <c r="F124" t="inlineStr">
        <is>
          <t>JÖNKÖPINGS LÄN</t>
        </is>
      </c>
      <c r="G124" t="inlineStr">
        <is>
          <t>EKSJÖ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44942</v>
      </c>
      <c r="E125" s="1" t="n">
        <v>46266</v>
      </c>
      <c r="F125" t="inlineStr">
        <is>
          <t>JÖNKÖPINGS LÄN</t>
        </is>
      </c>
      <c r="G125" t="inlineStr">
        <is>
          <t>EKSJÖ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46266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45264</v>
      </c>
      <c r="E127" s="1" t="n">
        <v>46266</v>
      </c>
      <c r="F127" t="inlineStr">
        <is>
          <t>JÖNKÖPINGS LÄN</t>
        </is>
      </c>
      <c r="G127" t="inlineStr">
        <is>
          <t>EKSJÖ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46266</v>
      </c>
      <c r="F128" t="inlineStr">
        <is>
          <t>JÖNKÖPINGS LÄN</t>
        </is>
      </c>
      <c r="G128" t="inlineStr">
        <is>
          <t>EKSJÖ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46266</v>
      </c>
      <c r="F129" t="inlineStr">
        <is>
          <t>JÖNKÖPINGS LÄN</t>
        </is>
      </c>
      <c r="G129" t="inlineStr">
        <is>
          <t>EKSJÖ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45209</v>
      </c>
      <c r="E130" s="1" t="n">
        <v>46266</v>
      </c>
      <c r="F130" t="inlineStr">
        <is>
          <t>JÖNKÖPINGS LÄN</t>
        </is>
      </c>
      <c r="G130" t="inlineStr">
        <is>
          <t>EKSJÖ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46266</v>
      </c>
      <c r="F131" t="inlineStr">
        <is>
          <t>JÖNKÖPINGS LÄN</t>
        </is>
      </c>
      <c r="G131" t="inlineStr">
        <is>
          <t>EKSJÖ</t>
        </is>
      </c>
      <c r="H131" t="inlineStr">
        <is>
          <t>Kommuner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45777</v>
      </c>
      <c r="E132" s="1" t="n">
        <v>46266</v>
      </c>
      <c r="F132" t="inlineStr">
        <is>
          <t>JÖNKÖPINGS LÄN</t>
        </is>
      </c>
      <c r="G132" t="inlineStr">
        <is>
          <t>EKSJÖ</t>
        </is>
      </c>
      <c r="H132" t="inlineStr">
        <is>
          <t>Kommuner</t>
        </is>
      </c>
      <c r="I132" t="n">
        <v>9.6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45779</v>
      </c>
      <c r="E133" s="1" t="n">
        <v>46266</v>
      </c>
      <c r="F133" t="inlineStr">
        <is>
          <t>JÖNKÖPINGS LÄN</t>
        </is>
      </c>
      <c r="G133" t="inlineStr">
        <is>
          <t>EKSJÖ</t>
        </is>
      </c>
      <c r="H133" t="inlineStr">
        <is>
          <t>Kommuner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46266</v>
      </c>
      <c r="F134" t="inlineStr">
        <is>
          <t>JÖNKÖPINGS LÄN</t>
        </is>
      </c>
      <c r="G134" t="inlineStr">
        <is>
          <t>EKSJÖ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59234-2024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46266</v>
      </c>
      <c r="F135" t="inlineStr">
        <is>
          <t>JÖNKÖPINGS LÄN</t>
        </is>
      </c>
      <c r="G135" t="inlineStr">
        <is>
          <t>EKSJÖ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46266</v>
      </c>
      <c r="F136" t="inlineStr">
        <is>
          <t>JÖNKÖPINGS LÄN</t>
        </is>
      </c>
      <c r="G136" t="inlineStr">
        <is>
          <t>EKSJÖ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46266</v>
      </c>
      <c r="F137" t="inlineStr">
        <is>
          <t>JÖNKÖPINGS LÄN</t>
        </is>
      </c>
      <c r="G137" t="inlineStr">
        <is>
          <t>EKSJÖ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46266</v>
      </c>
      <c r="F138" t="inlineStr">
        <is>
          <t>JÖNKÖPINGS LÄN</t>
        </is>
      </c>
      <c r="G138" t="inlineStr">
        <is>
          <t>EKSJÖ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45345</v>
      </c>
      <c r="E139" s="1" t="n">
        <v>46266</v>
      </c>
      <c r="F139" t="inlineStr">
        <is>
          <t>JÖNKÖPINGS LÄN</t>
        </is>
      </c>
      <c r="G139" t="inlineStr">
        <is>
          <t>EKSJÖ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45786</v>
      </c>
      <c r="E140" s="1" t="n">
        <v>46266</v>
      </c>
      <c r="F140" t="inlineStr">
        <is>
          <t>JÖNKÖPINGS LÄN</t>
        </is>
      </c>
      <c r="G140" t="inlineStr">
        <is>
          <t>EKSJÖ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45344</v>
      </c>
      <c r="E141" s="1" t="n">
        <v>46266</v>
      </c>
      <c r="F141" t="inlineStr">
        <is>
          <t>JÖNKÖPINGS LÄN</t>
        </is>
      </c>
      <c r="G141" t="inlineStr">
        <is>
          <t>EKSJÖ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46266</v>
      </c>
      <c r="F142" t="inlineStr">
        <is>
          <t>JÖNKÖPINGS LÄN</t>
        </is>
      </c>
      <c r="G142" t="inlineStr">
        <is>
          <t>EKSJÖ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46266</v>
      </c>
      <c r="F143" t="inlineStr">
        <is>
          <t>JÖNKÖPINGS LÄN</t>
        </is>
      </c>
      <c r="G143" t="inlineStr">
        <is>
          <t>EKSJÖ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45544</v>
      </c>
      <c r="E144" s="1" t="n">
        <v>46266</v>
      </c>
      <c r="F144" t="inlineStr">
        <is>
          <t>JÖNKÖPINGS LÄN</t>
        </is>
      </c>
      <c r="G144" t="inlineStr">
        <is>
          <t>EKSJÖ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46266</v>
      </c>
      <c r="F145" t="inlineStr">
        <is>
          <t>JÖNKÖPINGS LÄN</t>
        </is>
      </c>
      <c r="G145" t="inlineStr">
        <is>
          <t>EKSJÖ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46266</v>
      </c>
      <c r="F146" t="inlineStr">
        <is>
          <t>JÖNKÖPINGS LÄN</t>
        </is>
      </c>
      <c r="G146" t="inlineStr">
        <is>
          <t>EKSJÖ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64541-2023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46266</v>
      </c>
      <c r="F147" t="inlineStr">
        <is>
          <t>JÖNKÖPINGS LÄN</t>
        </is>
      </c>
      <c r="G147" t="inlineStr">
        <is>
          <t>EKSJÖ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22987-2025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45790</v>
      </c>
      <c r="E148" s="1" t="n">
        <v>46266</v>
      </c>
      <c r="F148" t="inlineStr">
        <is>
          <t>JÖNKÖPINGS LÄN</t>
        </is>
      </c>
      <c r="G148" t="inlineStr">
        <is>
          <t>EKSJÖ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46266</v>
      </c>
      <c r="F149" t="inlineStr">
        <is>
          <t>JÖNKÖPINGS LÄN</t>
        </is>
      </c>
      <c r="G149" t="inlineStr">
        <is>
          <t>EKSJÖ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46266</v>
      </c>
      <c r="F150" t="inlineStr">
        <is>
          <t>JÖNKÖPINGS LÄN</t>
        </is>
      </c>
      <c r="G150" t="inlineStr">
        <is>
          <t>EKSJÖ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45837</v>
      </c>
      <c r="E151" s="1" t="n">
        <v>46266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46266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45845</v>
      </c>
      <c r="E153" s="1" t="n">
        <v>46266</v>
      </c>
      <c r="F153" t="inlineStr">
        <is>
          <t>JÖNKÖPINGS LÄN</t>
        </is>
      </c>
      <c r="G153" t="inlineStr">
        <is>
          <t>EKSJÖ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46266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45743-2024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45579</v>
      </c>
      <c r="E155" s="1" t="n">
        <v>46266</v>
      </c>
      <c r="F155" t="inlineStr">
        <is>
          <t>JÖNKÖPINGS LÄN</t>
        </is>
      </c>
      <c r="G155" t="inlineStr">
        <is>
          <t>EKSJÖ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46266</v>
      </c>
      <c r="F156" t="inlineStr">
        <is>
          <t>JÖNKÖPINGS LÄN</t>
        </is>
      </c>
      <c r="G156" t="inlineStr">
        <is>
          <t>EKSJÖ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44908</v>
      </c>
      <c r="E157" s="1" t="n">
        <v>46266</v>
      </c>
      <c r="F157" t="inlineStr">
        <is>
          <t>JÖNKÖPINGS LÄN</t>
        </is>
      </c>
      <c r="G157" t="inlineStr">
        <is>
          <t>EKSJÖ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45408</v>
      </c>
      <c r="E158" s="1" t="n">
        <v>46266</v>
      </c>
      <c r="F158" t="inlineStr">
        <is>
          <t>JÖNKÖPINGS LÄN</t>
        </is>
      </c>
      <c r="G158" t="inlineStr">
        <is>
          <t>EKSJÖ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45791</v>
      </c>
      <c r="E159" s="1" t="n">
        <v>46266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45791</v>
      </c>
      <c r="E160" s="1" t="n">
        <v>46266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46266</v>
      </c>
      <c r="F161" t="inlineStr">
        <is>
          <t>JÖNKÖPINGS LÄN</t>
        </is>
      </c>
      <c r="G161" t="inlineStr">
        <is>
          <t>EKSJÖ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45715</v>
      </c>
      <c r="E162" s="1" t="n">
        <v>46266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46266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46266</v>
      </c>
      <c r="F164" t="inlineStr">
        <is>
          <t>JÖNKÖPINGS LÄN</t>
        </is>
      </c>
      <c r="G164" t="inlineStr">
        <is>
          <t>EKSJÖ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46266</v>
      </c>
      <c r="F165" t="inlineStr">
        <is>
          <t>JÖNKÖPINGS LÄN</t>
        </is>
      </c>
      <c r="G165" t="inlineStr">
        <is>
          <t>EKSJÖ</t>
        </is>
      </c>
      <c r="H165" t="inlineStr">
        <is>
          <t>Sveaskog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46266</v>
      </c>
      <c r="F166" t="inlineStr">
        <is>
          <t>JÖNKÖPINGS LÄN</t>
        </is>
      </c>
      <c r="G166" t="inlineStr">
        <is>
          <t>EKSJÖ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50967-2021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44460</v>
      </c>
      <c r="E167" s="1" t="n">
        <v>46266</v>
      </c>
      <c r="F167" t="inlineStr">
        <is>
          <t>JÖNKÖPINGS LÄN</t>
        </is>
      </c>
      <c r="G167" t="inlineStr">
        <is>
          <t>EKSJÖ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46266</v>
      </c>
      <c r="F168" t="inlineStr">
        <is>
          <t>JÖNKÖPINGS LÄN</t>
        </is>
      </c>
      <c r="G168" t="inlineStr">
        <is>
          <t>EKSJÖ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46266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46266</v>
      </c>
      <c r="F170" t="inlineStr">
        <is>
          <t>JÖNKÖPINGS LÄN</t>
        </is>
      </c>
      <c r="G170" t="inlineStr">
        <is>
          <t>EKSJÖ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46266</v>
      </c>
      <c r="F171" t="inlineStr">
        <is>
          <t>JÖNKÖPINGS LÄN</t>
        </is>
      </c>
      <c r="G171" t="inlineStr">
        <is>
          <t>EKSJÖ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46266</v>
      </c>
      <c r="F172" t="inlineStr">
        <is>
          <t>JÖNKÖPINGS LÄN</t>
        </is>
      </c>
      <c r="G172" t="inlineStr">
        <is>
          <t>EKSJÖ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14382-2025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45741</v>
      </c>
      <c r="E173" s="1" t="n">
        <v>46266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46266</v>
      </c>
      <c r="F174" t="inlineStr">
        <is>
          <t>JÖNKÖPINGS LÄN</t>
        </is>
      </c>
      <c r="G174" t="inlineStr">
        <is>
          <t>EKSJÖ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45195</v>
      </c>
      <c r="E175" s="1" t="n">
        <v>46266</v>
      </c>
      <c r="F175" t="inlineStr">
        <is>
          <t>JÖNKÖPINGS LÄN</t>
        </is>
      </c>
      <c r="G175" t="inlineStr">
        <is>
          <t>EKSJÖ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46266</v>
      </c>
      <c r="F176" t="inlineStr">
        <is>
          <t>JÖNKÖPINGS LÄN</t>
        </is>
      </c>
      <c r="G176" t="inlineStr">
        <is>
          <t>EKSJÖ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45741</v>
      </c>
      <c r="E177" s="1" t="n">
        <v>46266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46266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46266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46266</v>
      </c>
      <c r="F180" t="inlineStr">
        <is>
          <t>JÖNKÖPINGS LÄN</t>
        </is>
      </c>
      <c r="G180" t="inlineStr">
        <is>
          <t>EKSJÖ</t>
        </is>
      </c>
      <c r="H180" t="inlineStr">
        <is>
          <t>Sveaskog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46266</v>
      </c>
      <c r="F181" t="inlineStr">
        <is>
          <t>JÖNKÖPINGS LÄN</t>
        </is>
      </c>
      <c r="G181" t="inlineStr">
        <is>
          <t>EKSJÖ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46266</v>
      </c>
      <c r="F182" t="inlineStr">
        <is>
          <t>JÖNKÖPINGS LÄN</t>
        </is>
      </c>
      <c r="G182" t="inlineStr">
        <is>
          <t>EKSJÖ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46266</v>
      </c>
      <c r="F183" t="inlineStr">
        <is>
          <t>JÖNKÖPINGS LÄN</t>
        </is>
      </c>
      <c r="G183" t="inlineStr">
        <is>
          <t>EKSJÖ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46266</v>
      </c>
      <c r="F184" t="inlineStr">
        <is>
          <t>JÖNKÖPINGS LÄN</t>
        </is>
      </c>
      <c r="G184" t="inlineStr">
        <is>
          <t>EKSJÖ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46266</v>
      </c>
      <c r="F185" t="inlineStr">
        <is>
          <t>JÖNKÖPINGS LÄN</t>
        </is>
      </c>
      <c r="G185" t="inlineStr">
        <is>
          <t>EKSJÖ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46266</v>
      </c>
      <c r="F186" t="inlineStr">
        <is>
          <t>JÖNKÖPINGS LÄN</t>
        </is>
      </c>
      <c r="G186" t="inlineStr">
        <is>
          <t>EKSJÖ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46266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46266</v>
      </c>
      <c r="F188" t="inlineStr">
        <is>
          <t>JÖNKÖPINGS LÄN</t>
        </is>
      </c>
      <c r="G188" t="inlineStr">
        <is>
          <t>EKSJÖ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46266</v>
      </c>
      <c r="F189" t="inlineStr">
        <is>
          <t>JÖNKÖPINGS LÄN</t>
        </is>
      </c>
      <c r="G189" t="inlineStr">
        <is>
          <t>EKSJÖ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13735-2025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46266</v>
      </c>
      <c r="F190" t="inlineStr">
        <is>
          <t>JÖNKÖPINGS LÄN</t>
        </is>
      </c>
      <c r="G190" t="inlineStr">
        <is>
          <t>EKSJÖ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45558</v>
      </c>
      <c r="E191" s="1" t="n">
        <v>46266</v>
      </c>
      <c r="F191" t="inlineStr">
        <is>
          <t>JÖNKÖPINGS LÄN</t>
        </is>
      </c>
      <c r="G191" t="inlineStr">
        <is>
          <t>EKSJÖ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46266</v>
      </c>
      <c r="F192" t="inlineStr">
        <is>
          <t>JÖNKÖPINGS LÄN</t>
        </is>
      </c>
      <c r="G192" t="inlineStr">
        <is>
          <t>EKSJÖ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46266</v>
      </c>
      <c r="F193" t="inlineStr">
        <is>
          <t>JÖNKÖPINGS LÄN</t>
        </is>
      </c>
      <c r="G193" t="inlineStr">
        <is>
          <t>EKSJÖ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46266</v>
      </c>
      <c r="F194" t="inlineStr">
        <is>
          <t>JÖNKÖPINGS LÄN</t>
        </is>
      </c>
      <c r="G194" t="inlineStr">
        <is>
          <t>EKSJÖ</t>
        </is>
      </c>
      <c r="I194" t="n">
        <v>8.300000000000001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38199-2023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46266</v>
      </c>
      <c r="F195" t="inlineStr">
        <is>
          <t>JÖNKÖPINGS LÄN</t>
        </is>
      </c>
      <c r="G195" t="inlineStr">
        <is>
          <t>EKSJÖ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46266</v>
      </c>
      <c r="F196" t="inlineStr">
        <is>
          <t>JÖNKÖPINGS LÄN</t>
        </is>
      </c>
      <c r="G196" t="inlineStr">
        <is>
          <t>EKSJÖ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44526-2025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45916</v>
      </c>
      <c r="E197" s="1" t="n">
        <v>46266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46266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45680</v>
      </c>
      <c r="E199" s="1" t="n">
        <v>46266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46266</v>
      </c>
      <c r="F200" t="inlineStr">
        <is>
          <t>JÖNKÖPINGS LÄN</t>
        </is>
      </c>
      <c r="G200" t="inlineStr">
        <is>
          <t>EKSJÖ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46266</v>
      </c>
      <c r="F201" t="inlineStr">
        <is>
          <t>JÖNKÖPINGS LÄN</t>
        </is>
      </c>
      <c r="G201" t="inlineStr">
        <is>
          <t>EKSJÖ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45485</v>
      </c>
      <c r="E202" s="1" t="n">
        <v>46266</v>
      </c>
      <c r="F202" t="inlineStr">
        <is>
          <t>JÖNKÖPINGS LÄN</t>
        </is>
      </c>
      <c r="G202" t="inlineStr">
        <is>
          <t>EKSJÖ</t>
        </is>
      </c>
      <c r="H202" t="inlineStr">
        <is>
          <t>Övriga Aktiebolag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46266</v>
      </c>
      <c r="F203" t="inlineStr">
        <is>
          <t>JÖNKÖPINGS LÄN</t>
        </is>
      </c>
      <c r="G203" t="inlineStr">
        <is>
          <t>EKSJÖ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46266</v>
      </c>
      <c r="F204" t="inlineStr">
        <is>
          <t>JÖNKÖPINGS LÄN</t>
        </is>
      </c>
      <c r="G204" t="inlineStr">
        <is>
          <t>EKSJÖ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46266</v>
      </c>
      <c r="F205" t="inlineStr">
        <is>
          <t>JÖNKÖPINGS LÄN</t>
        </is>
      </c>
      <c r="G205" t="inlineStr">
        <is>
          <t>EKSJÖ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46266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44888</v>
      </c>
      <c r="E207" s="1" t="n">
        <v>46266</v>
      </c>
      <c r="F207" t="inlineStr">
        <is>
          <t>JÖNKÖPINGS LÄN</t>
        </is>
      </c>
      <c r="G207" t="inlineStr">
        <is>
          <t>EKSJÖ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46266</v>
      </c>
      <c r="F208" t="inlineStr">
        <is>
          <t>JÖNKÖPINGS LÄN</t>
        </is>
      </c>
      <c r="G208" t="inlineStr">
        <is>
          <t>EKSJÖ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45231</v>
      </c>
      <c r="E209" s="1" t="n">
        <v>46266</v>
      </c>
      <c r="F209" t="inlineStr">
        <is>
          <t>JÖNKÖPINGS LÄN</t>
        </is>
      </c>
      <c r="G209" t="inlineStr">
        <is>
          <t>EKSJÖ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45944</v>
      </c>
      <c r="E210" s="1" t="n">
        <v>46266</v>
      </c>
      <c r="F210" t="inlineStr">
        <is>
          <t>JÖNKÖPINGS LÄN</t>
        </is>
      </c>
      <c r="G210" t="inlineStr">
        <is>
          <t>EKSJÖ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46266</v>
      </c>
      <c r="F211" t="inlineStr">
        <is>
          <t>JÖNKÖPINGS LÄN</t>
        </is>
      </c>
      <c r="G211" t="inlineStr">
        <is>
          <t>EKSJÖ</t>
        </is>
      </c>
      <c r="H211" t="inlineStr">
        <is>
          <t>Övriga Aktiebolag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46266</v>
      </c>
      <c r="F212" t="inlineStr">
        <is>
          <t>JÖNKÖPINGS LÄN</t>
        </is>
      </c>
      <c r="G212" t="inlineStr">
        <is>
          <t>EKSJÖ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45463</v>
      </c>
      <c r="E213" s="1" t="n">
        <v>46266</v>
      </c>
      <c r="F213" t="inlineStr">
        <is>
          <t>JÖNKÖPINGS LÄN</t>
        </is>
      </c>
      <c r="G213" t="inlineStr">
        <is>
          <t>EKSJÖ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46266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46266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45096</v>
      </c>
      <c r="E216" s="1" t="n">
        <v>46266</v>
      </c>
      <c r="F216" t="inlineStr">
        <is>
          <t>JÖNKÖPINGS LÄN</t>
        </is>
      </c>
      <c r="G216" t="inlineStr">
        <is>
          <t>EKSJÖ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45944</v>
      </c>
      <c r="E217" s="1" t="n">
        <v>46266</v>
      </c>
      <c r="F217" t="inlineStr">
        <is>
          <t>JÖNKÖPINGS LÄN</t>
        </is>
      </c>
      <c r="G217" t="inlineStr">
        <is>
          <t>EKSJÖ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41440-2024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45560</v>
      </c>
      <c r="E218" s="1" t="n">
        <v>46266</v>
      </c>
      <c r="F218" t="inlineStr">
        <is>
          <t>JÖNKÖPINGS LÄN</t>
        </is>
      </c>
      <c r="G218" t="inlineStr">
        <is>
          <t>EKSJÖ</t>
        </is>
      </c>
      <c r="H218" t="inlineStr">
        <is>
          <t>Kyrkan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46266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46266</v>
      </c>
      <c r="F220" t="inlineStr">
        <is>
          <t>JÖNKÖPINGS LÄN</t>
        </is>
      </c>
      <c r="G220" t="inlineStr">
        <is>
          <t>EKSJÖ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46266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45147</v>
      </c>
      <c r="E222" s="1" t="n">
        <v>46266</v>
      </c>
      <c r="F222" t="inlineStr">
        <is>
          <t>JÖNKÖPINGS LÄN</t>
        </is>
      </c>
      <c r="G222" t="inlineStr">
        <is>
          <t>EKSJÖ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46266</v>
      </c>
      <c r="F223" t="inlineStr">
        <is>
          <t>JÖNKÖPINGS LÄN</t>
        </is>
      </c>
      <c r="G223" t="inlineStr">
        <is>
          <t>EKSJÖ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46266</v>
      </c>
      <c r="F224" t="inlineStr">
        <is>
          <t>JÖNKÖPINGS LÄN</t>
        </is>
      </c>
      <c r="G224" t="inlineStr">
        <is>
          <t>EKSJÖ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46266</v>
      </c>
      <c r="F225" t="inlineStr">
        <is>
          <t>JÖNKÖPINGS LÄN</t>
        </is>
      </c>
      <c r="G225" t="inlineStr">
        <is>
          <t>EKSJÖ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46266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45686</v>
      </c>
      <c r="E227" s="1" t="n">
        <v>46266</v>
      </c>
      <c r="F227" t="inlineStr">
        <is>
          <t>JÖNKÖPINGS LÄN</t>
        </is>
      </c>
      <c r="G227" t="inlineStr">
        <is>
          <t>EKSJÖ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46266</v>
      </c>
      <c r="F228" t="inlineStr">
        <is>
          <t>JÖNKÖPINGS LÄN</t>
        </is>
      </c>
      <c r="G228" t="inlineStr">
        <is>
          <t>EKSJÖ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46266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45842</v>
      </c>
      <c r="E230" s="1" t="n">
        <v>46266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44574</v>
      </c>
      <c r="E231" s="1" t="n">
        <v>46266</v>
      </c>
      <c r="F231" t="inlineStr">
        <is>
          <t>JÖNKÖPINGS LÄN</t>
        </is>
      </c>
      <c r="G231" t="inlineStr">
        <is>
          <t>EKSJÖ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45785</v>
      </c>
      <c r="E232" s="1" t="n">
        <v>46266</v>
      </c>
      <c r="F232" t="inlineStr">
        <is>
          <t>JÖNKÖPINGS LÄN</t>
        </is>
      </c>
      <c r="G232" t="inlineStr">
        <is>
          <t>EKSJÖ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45714</v>
      </c>
      <c r="E233" s="1" t="n">
        <v>46266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46266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45251</v>
      </c>
      <c r="E235" s="1" t="n">
        <v>46266</v>
      </c>
      <c r="F235" t="inlineStr">
        <is>
          <t>JÖNKÖPINGS LÄN</t>
        </is>
      </c>
      <c r="G235" t="inlineStr">
        <is>
          <t>EKSJÖ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45695</v>
      </c>
      <c r="E236" s="1" t="n">
        <v>46266</v>
      </c>
      <c r="F236" t="inlineStr">
        <is>
          <t>JÖNKÖPINGS LÄN</t>
        </is>
      </c>
      <c r="G236" t="inlineStr">
        <is>
          <t>EKSJÖ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43411-2022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44834</v>
      </c>
      <c r="E237" s="1" t="n">
        <v>46266</v>
      </c>
      <c r="F237" t="inlineStr">
        <is>
          <t>JÖNKÖPINGS LÄN</t>
        </is>
      </c>
      <c r="G237" t="inlineStr">
        <is>
          <t>EKSJÖ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45664</v>
      </c>
      <c r="E238" s="1" t="n">
        <v>46266</v>
      </c>
      <c r="F238" t="inlineStr">
        <is>
          <t>JÖNKÖPINGS LÄN</t>
        </is>
      </c>
      <c r="G238" t="inlineStr">
        <is>
          <t>EKSJÖ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45461</v>
      </c>
      <c r="E239" s="1" t="n">
        <v>46266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45860</v>
      </c>
      <c r="E240" s="1" t="n">
        <v>46266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45860</v>
      </c>
      <c r="E241" s="1" t="n">
        <v>46266</v>
      </c>
      <c r="F241" t="inlineStr">
        <is>
          <t>JÖNKÖPINGS LÄN</t>
        </is>
      </c>
      <c r="G241" t="inlineStr">
        <is>
          <t>EKSJÖ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46266</v>
      </c>
      <c r="F242" t="inlineStr">
        <is>
          <t>JÖNKÖPINGS LÄN</t>
        </is>
      </c>
      <c r="G242" t="inlineStr">
        <is>
          <t>EKSJÖ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46266</v>
      </c>
      <c r="F243" t="inlineStr">
        <is>
          <t>JÖNKÖPINGS LÄN</t>
        </is>
      </c>
      <c r="G243" t="inlineStr">
        <is>
          <t>EKSJÖ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45954</v>
      </c>
      <c r="E244" s="1" t="n">
        <v>46266</v>
      </c>
      <c r="F244" t="inlineStr">
        <is>
          <t>JÖNKÖPINGS LÄN</t>
        </is>
      </c>
      <c r="G244" t="inlineStr">
        <is>
          <t>EKSJÖ</t>
        </is>
      </c>
      <c r="H244" t="inlineStr">
        <is>
          <t>Kyrkan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45866</v>
      </c>
      <c r="E245" s="1" t="n">
        <v>46266</v>
      </c>
      <c r="F245" t="inlineStr">
        <is>
          <t>JÖNKÖPINGS LÄN</t>
        </is>
      </c>
      <c r="G245" t="inlineStr">
        <is>
          <t>EKSJÖ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55656-2022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44888</v>
      </c>
      <c r="E246" s="1" t="n">
        <v>46266</v>
      </c>
      <c r="F246" t="inlineStr">
        <is>
          <t>JÖNKÖPINGS LÄN</t>
        </is>
      </c>
      <c r="G246" t="inlineStr">
        <is>
          <t>EKSJÖ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46266</v>
      </c>
      <c r="F247" t="inlineStr">
        <is>
          <t>JÖNKÖPINGS LÄN</t>
        </is>
      </c>
      <c r="G247" t="inlineStr">
        <is>
          <t>EKSJÖ</t>
        </is>
      </c>
      <c r="H247" t="inlineStr">
        <is>
          <t>Kyrkan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46266</v>
      </c>
      <c r="F248" t="inlineStr">
        <is>
          <t>JÖNKÖPINGS LÄN</t>
        </is>
      </c>
      <c r="G248" t="inlineStr">
        <is>
          <t>EKSJÖ</t>
        </is>
      </c>
      <c r="H248" t="inlineStr">
        <is>
          <t>Kyrkan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45078</v>
      </c>
      <c r="E249" s="1" t="n">
        <v>46266</v>
      </c>
      <c r="F249" t="inlineStr">
        <is>
          <t>JÖNKÖPINGS LÄN</t>
        </is>
      </c>
      <c r="G249" t="inlineStr">
        <is>
          <t>EKSJÖ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46266</v>
      </c>
      <c r="F250" t="inlineStr">
        <is>
          <t>JÖNKÖPINGS LÄN</t>
        </is>
      </c>
      <c r="G250" t="inlineStr">
        <is>
          <t>EKSJÖ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44953</v>
      </c>
      <c r="E251" s="1" t="n">
        <v>46266</v>
      </c>
      <c r="F251" t="inlineStr">
        <is>
          <t>JÖNKÖPINGS LÄN</t>
        </is>
      </c>
      <c r="G251" t="inlineStr">
        <is>
          <t>EKSJÖ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45875</v>
      </c>
      <c r="E252" s="1" t="n">
        <v>46266</v>
      </c>
      <c r="F252" t="inlineStr">
        <is>
          <t>JÖNKÖPINGS LÄN</t>
        </is>
      </c>
      <c r="G252" t="inlineStr">
        <is>
          <t>EKSJÖ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46266</v>
      </c>
      <c r="F253" t="inlineStr">
        <is>
          <t>JÖNKÖPINGS LÄN</t>
        </is>
      </c>
      <c r="G253" t="inlineStr">
        <is>
          <t>EKSJÖ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45877</v>
      </c>
      <c r="E254" s="1" t="n">
        <v>46266</v>
      </c>
      <c r="F254" t="inlineStr">
        <is>
          <t>JÖNKÖPINGS LÄN</t>
        </is>
      </c>
      <c r="G254" t="inlineStr">
        <is>
          <t>EKSJÖ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46266</v>
      </c>
      <c r="F255" t="inlineStr">
        <is>
          <t>JÖNKÖPINGS LÄN</t>
        </is>
      </c>
      <c r="G255" t="inlineStr">
        <is>
          <t>EKSJÖ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45204</v>
      </c>
      <c r="E256" s="1" t="n">
        <v>46266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36354-2022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44803</v>
      </c>
      <c r="E257" s="1" t="n">
        <v>46266</v>
      </c>
      <c r="F257" t="inlineStr">
        <is>
          <t>JÖNKÖPINGS LÄN</t>
        </is>
      </c>
      <c r="G257" t="inlineStr">
        <is>
          <t>EKSJÖ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33971-2025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45842</v>
      </c>
      <c r="E258" s="1" t="n">
        <v>46266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46266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45358</v>
      </c>
      <c r="E260" s="1" t="n">
        <v>46266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45176</v>
      </c>
      <c r="E261" s="1" t="n">
        <v>46266</v>
      </c>
      <c r="F261" t="inlineStr">
        <is>
          <t>JÖNKÖPINGS LÄN</t>
        </is>
      </c>
      <c r="G261" t="inlineStr">
        <is>
          <t>EKSJÖ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45762</v>
      </c>
      <c r="E262" s="1" t="n">
        <v>46266</v>
      </c>
      <c r="F262" t="inlineStr">
        <is>
          <t>JÖNKÖPINGS LÄN</t>
        </is>
      </c>
      <c r="G262" t="inlineStr">
        <is>
          <t>EKSJÖ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46266</v>
      </c>
      <c r="F263" t="inlineStr">
        <is>
          <t>JÖNKÖPINGS LÄN</t>
        </is>
      </c>
      <c r="G263" t="inlineStr">
        <is>
          <t>EKSJÖ</t>
        </is>
      </c>
      <c r="H263" t="inlineStr">
        <is>
          <t>Övriga Aktiebolag</t>
        </is>
      </c>
      <c r="I263" t="n">
        <v>17.5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45245</v>
      </c>
      <c r="E264" s="1" t="n">
        <v>46266</v>
      </c>
      <c r="F264" t="inlineStr">
        <is>
          <t>JÖNKÖPINGS LÄN</t>
        </is>
      </c>
      <c r="G264" t="inlineStr">
        <is>
          <t>EKSJÖ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46266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46266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46266</v>
      </c>
      <c r="F267" t="inlineStr">
        <is>
          <t>JÖNKÖPINGS LÄN</t>
        </is>
      </c>
      <c r="G267" t="inlineStr">
        <is>
          <t>EKSJÖ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44580</v>
      </c>
      <c r="E268" s="1" t="n">
        <v>46266</v>
      </c>
      <c r="F268" t="inlineStr">
        <is>
          <t>JÖNKÖPINGS LÄN</t>
        </is>
      </c>
      <c r="G268" t="inlineStr">
        <is>
          <t>EKSJÖ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54292-2023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45232</v>
      </c>
      <c r="E269" s="1" t="n">
        <v>46266</v>
      </c>
      <c r="F269" t="inlineStr">
        <is>
          <t>JÖNKÖPINGS LÄN</t>
        </is>
      </c>
      <c r="G269" t="inlineStr">
        <is>
          <t>EKSJÖ</t>
        </is>
      </c>
      <c r="I269" t="n">
        <v>18.3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46266</v>
      </c>
      <c r="F270" t="inlineStr">
        <is>
          <t>JÖNKÖPINGS LÄN</t>
        </is>
      </c>
      <c r="G270" t="inlineStr">
        <is>
          <t>EKSJÖ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46266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46266</v>
      </c>
      <c r="F272" t="inlineStr">
        <is>
          <t>JÖNKÖPINGS LÄN</t>
        </is>
      </c>
      <c r="G272" t="inlineStr">
        <is>
          <t>EKSJÖ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46266</v>
      </c>
      <c r="F273" t="inlineStr">
        <is>
          <t>JÖNKÖPINGS LÄN</t>
        </is>
      </c>
      <c r="G273" t="inlineStr">
        <is>
          <t>EKSJÖ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46266</v>
      </c>
      <c r="F274" t="inlineStr">
        <is>
          <t>JÖNKÖPINGS LÄN</t>
        </is>
      </c>
      <c r="G274" t="inlineStr">
        <is>
          <t>EKSJÖ</t>
        </is>
      </c>
      <c r="H274" t="inlineStr">
        <is>
          <t>Kyrkan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56322-2021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44477</v>
      </c>
      <c r="E275" s="1" t="n">
        <v>46266</v>
      </c>
      <c r="F275" t="inlineStr">
        <is>
          <t>JÖNKÖPINGS LÄN</t>
        </is>
      </c>
      <c r="G275" t="inlineStr">
        <is>
          <t>EKSJÖ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46266</v>
      </c>
      <c r="F276" t="inlineStr">
        <is>
          <t>JÖNKÖPINGS LÄN</t>
        </is>
      </c>
      <c r="G276" t="inlineStr">
        <is>
          <t>EKSJÖ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45008</v>
      </c>
      <c r="E277" s="1" t="n">
        <v>46266</v>
      </c>
      <c r="F277" t="inlineStr">
        <is>
          <t>JÖNKÖPINGS LÄN</t>
        </is>
      </c>
      <c r="G277" t="inlineStr">
        <is>
          <t>EKSJÖ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45741</v>
      </c>
      <c r="E278" s="1" t="n">
        <v>46266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45741</v>
      </c>
      <c r="E279" s="1" t="n">
        <v>46266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46266</v>
      </c>
      <c r="F280" t="inlineStr">
        <is>
          <t>JÖNKÖPINGS LÄN</t>
        </is>
      </c>
      <c r="G280" t="inlineStr">
        <is>
          <t>EKSJÖ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45036</v>
      </c>
      <c r="E281" s="1" t="n">
        <v>46266</v>
      </c>
      <c r="F281" t="inlineStr">
        <is>
          <t>JÖNKÖPINGS LÄN</t>
        </is>
      </c>
      <c r="G281" t="inlineStr">
        <is>
          <t>EKSJÖ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46266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46266</v>
      </c>
      <c r="F283" t="inlineStr">
        <is>
          <t>JÖNKÖPINGS LÄN</t>
        </is>
      </c>
      <c r="G283" t="inlineStr">
        <is>
          <t>EKSJÖ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45328</v>
      </c>
      <c r="E284" s="1" t="n">
        <v>46266</v>
      </c>
      <c r="F284" t="inlineStr">
        <is>
          <t>JÖNKÖPINGS LÄN</t>
        </is>
      </c>
      <c r="G284" t="inlineStr">
        <is>
          <t>EKSJÖ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46266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44511</v>
      </c>
      <c r="E286" s="1" t="n">
        <v>46266</v>
      </c>
      <c r="F286" t="inlineStr">
        <is>
          <t>JÖNKÖPINGS LÄN</t>
        </is>
      </c>
      <c r="G286" t="inlineStr">
        <is>
          <t>EKSJÖ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45184</v>
      </c>
      <c r="E287" s="1" t="n">
        <v>46266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32333-2022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44781</v>
      </c>
      <c r="E288" s="1" t="n">
        <v>46266</v>
      </c>
      <c r="F288" t="inlineStr">
        <is>
          <t>JÖNKÖPINGS LÄN</t>
        </is>
      </c>
      <c r="G288" t="inlineStr">
        <is>
          <t>EKSJÖ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44781</v>
      </c>
      <c r="E289" s="1" t="n">
        <v>46266</v>
      </c>
      <c r="F289" t="inlineStr">
        <is>
          <t>JÖNKÖPINGS LÄN</t>
        </is>
      </c>
      <c r="G289" t="inlineStr">
        <is>
          <t>EKSJÖ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46266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19469-2025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45770</v>
      </c>
      <c r="E291" s="1" t="n">
        <v>46266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46266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45991</v>
      </c>
      <c r="E293" s="1" t="n">
        <v>46266</v>
      </c>
      <c r="F293" t="inlineStr">
        <is>
          <t>JÖNKÖPINGS LÄN</t>
        </is>
      </c>
      <c r="G293" t="inlineStr">
        <is>
          <t>EKSJÖ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46266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54292-2023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45232</v>
      </c>
      <c r="E295" s="1" t="n">
        <v>46266</v>
      </c>
      <c r="F295" t="inlineStr">
        <is>
          <t>JÖNKÖPINGS LÄN</t>
        </is>
      </c>
      <c r="G295" t="inlineStr">
        <is>
          <t>EKSJÖ</t>
        </is>
      </c>
      <c r="I295" t="n">
        <v>18.3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46266</v>
      </c>
      <c r="F296" t="inlineStr">
        <is>
          <t>JÖNKÖPINGS LÄN</t>
        </is>
      </c>
      <c r="G296" t="inlineStr">
        <is>
          <t>EKSJÖ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46266</v>
      </c>
      <c r="F297" t="inlineStr">
        <is>
          <t>JÖNKÖPINGS LÄN</t>
        </is>
      </c>
      <c r="G297" t="inlineStr">
        <is>
          <t>EKSJÖ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45086</v>
      </c>
      <c r="E298" s="1" t="n">
        <v>46266</v>
      </c>
      <c r="F298" t="inlineStr">
        <is>
          <t>JÖNKÖPINGS LÄN</t>
        </is>
      </c>
      <c r="G298" t="inlineStr">
        <is>
          <t>EKSJÖ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45334</v>
      </c>
      <c r="E299" s="1" t="n">
        <v>46266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45334</v>
      </c>
      <c r="E300" s="1" t="n">
        <v>46266</v>
      </c>
      <c r="F300" t="inlineStr">
        <is>
          <t>JÖNKÖPINGS LÄN</t>
        </is>
      </c>
      <c r="G300" t="inlineStr">
        <is>
          <t>EKSJÖ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10926-2023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44991</v>
      </c>
      <c r="E301" s="1" t="n">
        <v>46266</v>
      </c>
      <c r="F301" t="inlineStr">
        <is>
          <t>JÖNKÖPINGS LÄN</t>
        </is>
      </c>
      <c r="G301" t="inlineStr">
        <is>
          <t>EKSJÖ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45364</v>
      </c>
      <c r="E302" s="1" t="n">
        <v>46266</v>
      </c>
      <c r="F302" t="inlineStr">
        <is>
          <t>JÖNKÖPINGS LÄN</t>
        </is>
      </c>
      <c r="G302" t="inlineStr">
        <is>
          <t>EKSJÖ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44945</v>
      </c>
      <c r="E303" s="1" t="n">
        <v>46266</v>
      </c>
      <c r="F303" t="inlineStr">
        <is>
          <t>JÖNKÖPINGS LÄN</t>
        </is>
      </c>
      <c r="G303" t="inlineStr">
        <is>
          <t>EKSJÖ</t>
        </is>
      </c>
      <c r="H303" t="inlineStr">
        <is>
          <t>Övriga Aktiebolag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45338</v>
      </c>
      <c r="E304" s="1" t="n">
        <v>46266</v>
      </c>
      <c r="F304" t="inlineStr">
        <is>
          <t>JÖNKÖPINGS LÄN</t>
        </is>
      </c>
      <c r="G304" t="inlineStr">
        <is>
          <t>EKSJÖ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45757</v>
      </c>
      <c r="E305" s="1" t="n">
        <v>46266</v>
      </c>
      <c r="F305" t="inlineStr">
        <is>
          <t>JÖNKÖPINGS LÄN</t>
        </is>
      </c>
      <c r="G305" t="inlineStr">
        <is>
          <t>EKSJÖ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46266</v>
      </c>
      <c r="F306" t="inlineStr">
        <is>
          <t>JÖNKÖPINGS LÄN</t>
        </is>
      </c>
      <c r="G306" t="inlineStr">
        <is>
          <t>EKSJÖ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46266</v>
      </c>
      <c r="F307" t="inlineStr">
        <is>
          <t>JÖNKÖPINGS LÄN</t>
        </is>
      </c>
      <c r="G307" t="inlineStr">
        <is>
          <t>EKSJÖ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45391</v>
      </c>
      <c r="E308" s="1" t="n">
        <v>46266</v>
      </c>
      <c r="F308" t="inlineStr">
        <is>
          <t>JÖNKÖPINGS LÄN</t>
        </is>
      </c>
      <c r="G308" t="inlineStr">
        <is>
          <t>EKSJÖ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46266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45334</v>
      </c>
      <c r="E310" s="1" t="n">
        <v>46266</v>
      </c>
      <c r="F310" t="inlineStr">
        <is>
          <t>JÖNKÖPINGS LÄN</t>
        </is>
      </c>
      <c r="G310" t="inlineStr">
        <is>
          <t>EKSJÖ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62892-2025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46266</v>
      </c>
      <c r="F311" t="inlineStr">
        <is>
          <t>JÖNKÖPINGS LÄN</t>
        </is>
      </c>
      <c r="G311" t="inlineStr">
        <is>
          <t>EKSJÖ</t>
        </is>
      </c>
      <c r="H311" t="inlineStr">
        <is>
          <t>Kommuner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46266</v>
      </c>
      <c r="F312" t="inlineStr">
        <is>
          <t>JÖNKÖPINGS LÄN</t>
        </is>
      </c>
      <c r="G312" t="inlineStr">
        <is>
          <t>EKSJÖ</t>
        </is>
      </c>
      <c r="H312" t="inlineStr">
        <is>
          <t>Kommuner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45334</v>
      </c>
      <c r="E313" s="1" t="n">
        <v>46266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28261-2022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44746</v>
      </c>
      <c r="E314" s="1" t="n">
        <v>46266</v>
      </c>
      <c r="F314" t="inlineStr">
        <is>
          <t>JÖNKÖPINGS LÄN</t>
        </is>
      </c>
      <c r="G314" t="inlineStr">
        <is>
          <t>EKSJÖ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46266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46266</v>
      </c>
      <c r="F316" t="inlineStr">
        <is>
          <t>JÖNKÖPINGS LÄN</t>
        </is>
      </c>
      <c r="G316" t="inlineStr">
        <is>
          <t>EKSJÖ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46266</v>
      </c>
      <c r="F317" t="inlineStr">
        <is>
          <t>JÖNKÖPINGS LÄN</t>
        </is>
      </c>
      <c r="G317" t="inlineStr">
        <is>
          <t>EKSJÖ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46266</v>
      </c>
      <c r="F318" t="inlineStr">
        <is>
          <t>JÖNKÖPINGS LÄN</t>
        </is>
      </c>
      <c r="G318" t="inlineStr">
        <is>
          <t>EKSJÖ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63643-2025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46014</v>
      </c>
      <c r="E319" s="1" t="n">
        <v>46266</v>
      </c>
      <c r="F319" t="inlineStr">
        <is>
          <t>JÖNKÖPINGS LÄN</t>
        </is>
      </c>
      <c r="G319" t="inlineStr">
        <is>
          <t>EKSJÖ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44928</v>
      </c>
      <c r="E320" s="1" t="n">
        <v>46266</v>
      </c>
      <c r="F320" t="inlineStr">
        <is>
          <t>JÖNKÖPINGS LÄN</t>
        </is>
      </c>
      <c r="G320" t="inlineStr">
        <is>
          <t>EKSJÖ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45071</v>
      </c>
      <c r="E321" s="1" t="n">
        <v>46266</v>
      </c>
      <c r="F321" t="inlineStr">
        <is>
          <t>JÖNKÖPINGS LÄN</t>
        </is>
      </c>
      <c r="G321" t="inlineStr">
        <is>
          <t>EKSJÖ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41030-2023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46266</v>
      </c>
      <c r="F322" t="inlineStr">
        <is>
          <t>JÖNKÖPINGS LÄN</t>
        </is>
      </c>
      <c r="G322" t="inlineStr">
        <is>
          <t>EKSJÖ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45161</v>
      </c>
      <c r="E323" s="1" t="n">
        <v>46266</v>
      </c>
      <c r="F323" t="inlineStr">
        <is>
          <t>JÖNKÖPINGS LÄN</t>
        </is>
      </c>
      <c r="G323" t="inlineStr">
        <is>
          <t>EKSJÖ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46266</v>
      </c>
      <c r="F324" t="inlineStr">
        <is>
          <t>JÖNKÖPINGS LÄN</t>
        </is>
      </c>
      <c r="G324" t="inlineStr">
        <is>
          <t>EKSJÖ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46266</v>
      </c>
      <c r="F325" t="inlineStr">
        <is>
          <t>JÖNKÖPINGS LÄN</t>
        </is>
      </c>
      <c r="G325" t="inlineStr">
        <is>
          <t>EKSJÖ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46266</v>
      </c>
      <c r="F326" t="inlineStr">
        <is>
          <t>JÖNKÖPINGS LÄN</t>
        </is>
      </c>
      <c r="G326" t="inlineStr">
        <is>
          <t>EKSJÖ</t>
        </is>
      </c>
      <c r="H326" t="inlineStr">
        <is>
          <t>Kommuner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46266</v>
      </c>
      <c r="F327" t="inlineStr">
        <is>
          <t>JÖNKÖPINGS LÄN</t>
        </is>
      </c>
      <c r="G327" t="inlineStr">
        <is>
          <t>EKSJÖ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46266</v>
      </c>
      <c r="F328" t="inlineStr">
        <is>
          <t>JÖNKÖPINGS LÄN</t>
        </is>
      </c>
      <c r="G328" t="inlineStr">
        <is>
          <t>EKSJÖ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46266</v>
      </c>
      <c r="F329" t="inlineStr">
        <is>
          <t>JÖNKÖPINGS LÄN</t>
        </is>
      </c>
      <c r="G329" t="inlineStr">
        <is>
          <t>EKSJÖ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46266</v>
      </c>
      <c r="F330" t="inlineStr">
        <is>
          <t>JÖNKÖPINGS LÄN</t>
        </is>
      </c>
      <c r="G330" t="inlineStr">
        <is>
          <t>EKSJÖ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46266</v>
      </c>
      <c r="F331" t="inlineStr">
        <is>
          <t>JÖNKÖPINGS LÄN</t>
        </is>
      </c>
      <c r="G331" t="inlineStr">
        <is>
          <t>EKSJÖ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46266</v>
      </c>
      <c r="F332" t="inlineStr">
        <is>
          <t>JÖNKÖPINGS LÄN</t>
        </is>
      </c>
      <c r="G332" t="inlineStr">
        <is>
          <t>EKSJÖ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46266</v>
      </c>
      <c r="F333" t="inlineStr">
        <is>
          <t>JÖNKÖPINGS LÄN</t>
        </is>
      </c>
      <c r="G333" t="inlineStr">
        <is>
          <t>EKSJÖ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46266</v>
      </c>
      <c r="F334" t="inlineStr">
        <is>
          <t>JÖNKÖPINGS LÄN</t>
        </is>
      </c>
      <c r="G334" t="inlineStr">
        <is>
          <t>EKSJÖ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10464-2023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46266</v>
      </c>
      <c r="F335" t="inlineStr">
        <is>
          <t>JÖNKÖPINGS LÄN</t>
        </is>
      </c>
      <c r="G335" t="inlineStr">
        <is>
          <t>EKSJÖ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46266</v>
      </c>
      <c r="F336" t="inlineStr">
        <is>
          <t>JÖNKÖPINGS LÄN</t>
        </is>
      </c>
      <c r="G336" t="inlineStr">
        <is>
          <t>EKSJÖ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46266</v>
      </c>
      <c r="F337" t="inlineStr">
        <is>
          <t>JÖNKÖPINGS LÄN</t>
        </is>
      </c>
      <c r="G337" t="inlineStr">
        <is>
          <t>EKSJÖ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56469-2021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44480</v>
      </c>
      <c r="E338" s="1" t="n">
        <v>46266</v>
      </c>
      <c r="F338" t="inlineStr">
        <is>
          <t>JÖNKÖPINGS LÄN</t>
        </is>
      </c>
      <c r="G338" t="inlineStr">
        <is>
          <t>EKSJÖ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46266</v>
      </c>
      <c r="F339" t="inlineStr">
        <is>
          <t>JÖNKÖPINGS LÄN</t>
        </is>
      </c>
      <c r="G339" t="inlineStr">
        <is>
          <t>EKSJÖ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46266</v>
      </c>
      <c r="F340" t="inlineStr">
        <is>
          <t>JÖNKÖPINGS LÄN</t>
        </is>
      </c>
      <c r="G340" t="inlineStr">
        <is>
          <t>EKSJÖ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46266</v>
      </c>
      <c r="F341" t="inlineStr">
        <is>
          <t>JÖNKÖPINGS LÄN</t>
        </is>
      </c>
      <c r="G341" t="inlineStr">
        <is>
          <t>EKSJÖ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46266</v>
      </c>
      <c r="F342" t="inlineStr">
        <is>
          <t>JÖNKÖPINGS LÄN</t>
        </is>
      </c>
      <c r="G342" t="inlineStr">
        <is>
          <t>EKSJÖ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46266</v>
      </c>
      <c r="F343" t="inlineStr">
        <is>
          <t>JÖNKÖPINGS LÄN</t>
        </is>
      </c>
      <c r="G343" t="inlineStr">
        <is>
          <t>EKSJÖ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46266</v>
      </c>
      <c r="F344" t="inlineStr">
        <is>
          <t>JÖNKÖPINGS LÄN</t>
        </is>
      </c>
      <c r="G344" t="inlineStr">
        <is>
          <t>EKSJÖ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45666</v>
      </c>
      <c r="E345" s="1" t="n">
        <v>46266</v>
      </c>
      <c r="F345" t="inlineStr">
        <is>
          <t>JÖNKÖPINGS LÄN</t>
        </is>
      </c>
      <c r="G345" t="inlineStr">
        <is>
          <t>EKSJÖ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45680</v>
      </c>
      <c r="E346" s="1" t="n">
        <v>46266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46266</v>
      </c>
      <c r="F347" t="inlineStr">
        <is>
          <t>JÖNKÖPINGS LÄN</t>
        </is>
      </c>
      <c r="G347" t="inlineStr">
        <is>
          <t>EKSJÖ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11381-2022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44630</v>
      </c>
      <c r="E348" s="1" t="n">
        <v>46266</v>
      </c>
      <c r="F348" t="inlineStr">
        <is>
          <t>JÖNKÖPINGS LÄN</t>
        </is>
      </c>
      <c r="G348" t="inlineStr">
        <is>
          <t>EKSJÖ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64993-2023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45286</v>
      </c>
      <c r="E349" s="1" t="n">
        <v>46266</v>
      </c>
      <c r="F349" t="inlineStr">
        <is>
          <t>JÖNKÖPINGS LÄN</t>
        </is>
      </c>
      <c r="G349" t="inlineStr">
        <is>
          <t>EKSJÖ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32344-2024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46266</v>
      </c>
      <c r="F350" t="inlineStr">
        <is>
          <t>JÖNKÖPINGS LÄN</t>
        </is>
      </c>
      <c r="G350" t="inlineStr">
        <is>
          <t>EKSJÖ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4349-2026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46266</v>
      </c>
      <c r="F351" t="inlineStr">
        <is>
          <t>JÖNKÖPINGS LÄN</t>
        </is>
      </c>
      <c r="G351" t="inlineStr">
        <is>
          <t>EKSJÖ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25140-2023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45086</v>
      </c>
      <c r="E352" s="1" t="n">
        <v>46266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46266</v>
      </c>
      <c r="F353" t="inlineStr">
        <is>
          <t>JÖNKÖPINGS LÄN</t>
        </is>
      </c>
      <c r="G353" t="inlineStr">
        <is>
          <t>EKSJÖ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46266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12821-2024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45384</v>
      </c>
      <c r="E355" s="1" t="n">
        <v>46266</v>
      </c>
      <c r="F355" t="inlineStr">
        <is>
          <t>JÖNKÖPINGS LÄN</t>
        </is>
      </c>
      <c r="G355" t="inlineStr">
        <is>
          <t>EKSJÖ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46266</v>
      </c>
      <c r="F356" t="inlineStr">
        <is>
          <t>JÖNKÖPINGS LÄN</t>
        </is>
      </c>
      <c r="G356" t="inlineStr">
        <is>
          <t>EKSJÖ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46266</v>
      </c>
      <c r="F357" t="inlineStr">
        <is>
          <t>JÖNKÖPINGS LÄN</t>
        </is>
      </c>
      <c r="G357" t="inlineStr">
        <is>
          <t>EKSJÖ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46266</v>
      </c>
      <c r="F358" t="inlineStr">
        <is>
          <t>JÖNKÖPINGS LÄN</t>
        </is>
      </c>
      <c r="G358" t="inlineStr">
        <is>
          <t>EKSJÖ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46266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45513</v>
      </c>
      <c r="E360" s="1" t="n">
        <v>46266</v>
      </c>
      <c r="F360" t="inlineStr">
        <is>
          <t>JÖNKÖPINGS LÄN</t>
        </is>
      </c>
      <c r="G360" t="inlineStr">
        <is>
          <t>EKSJÖ</t>
        </is>
      </c>
      <c r="H360" t="inlineStr">
        <is>
          <t>Kyrkan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54470-2024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45617</v>
      </c>
      <c r="E361" s="1" t="n">
        <v>46266</v>
      </c>
      <c r="F361" t="inlineStr">
        <is>
          <t>JÖNKÖPINGS LÄN</t>
        </is>
      </c>
      <c r="G361" t="inlineStr">
        <is>
          <t>EKSJÖ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46266</v>
      </c>
      <c r="F362" t="inlineStr">
        <is>
          <t>JÖNKÖPINGS LÄN</t>
        </is>
      </c>
      <c r="G362" t="inlineStr">
        <is>
          <t>EKSJÖ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46266</v>
      </c>
      <c r="F363" t="inlineStr">
        <is>
          <t>JÖNKÖPINGS LÄN</t>
        </is>
      </c>
      <c r="G363" t="inlineStr">
        <is>
          <t>EKSJÖ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65554-2021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44516</v>
      </c>
      <c r="E364" s="1" t="n">
        <v>46266</v>
      </c>
      <c r="F364" t="inlineStr">
        <is>
          <t>JÖNKÖPINGS LÄN</t>
        </is>
      </c>
      <c r="G364" t="inlineStr">
        <is>
          <t>EKSJÖ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46266</v>
      </c>
      <c r="F365" t="inlineStr">
        <is>
          <t>JÖNKÖPINGS LÄN</t>
        </is>
      </c>
      <c r="G365" t="inlineStr">
        <is>
          <t>EKSJÖ</t>
        </is>
      </c>
      <c r="H365" t="inlineStr">
        <is>
          <t>Övriga Aktiebolag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46266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46012-2022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44846</v>
      </c>
      <c r="E367" s="1" t="n">
        <v>46266</v>
      </c>
      <c r="F367" t="inlineStr">
        <is>
          <t>JÖNKÖPINGS LÄN</t>
        </is>
      </c>
      <c r="G367" t="inlineStr">
        <is>
          <t>EKSJÖ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44846</v>
      </c>
      <c r="E368" s="1" t="n">
        <v>46266</v>
      </c>
      <c r="F368" t="inlineStr">
        <is>
          <t>JÖNKÖPINGS LÄN</t>
        </is>
      </c>
      <c r="G368" t="inlineStr">
        <is>
          <t>EKSJÖ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46266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46266</v>
      </c>
      <c r="F370" t="inlineStr">
        <is>
          <t>JÖNKÖPINGS LÄN</t>
        </is>
      </c>
      <c r="G370" t="inlineStr">
        <is>
          <t>EKSJÖ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44925</v>
      </c>
      <c r="E371" s="1" t="n">
        <v>46266</v>
      </c>
      <c r="F371" t="inlineStr">
        <is>
          <t>JÖNKÖPINGS LÄN</t>
        </is>
      </c>
      <c r="G371" t="inlineStr">
        <is>
          <t>EKSJÖ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46266</v>
      </c>
      <c r="F372" t="inlineStr">
        <is>
          <t>JÖNKÖPINGS LÄN</t>
        </is>
      </c>
      <c r="G372" t="inlineStr">
        <is>
          <t>EKSJÖ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9388-2026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46266</v>
      </c>
      <c r="F373" t="inlineStr">
        <is>
          <t>JÖNKÖPINGS LÄN</t>
        </is>
      </c>
      <c r="G373" t="inlineStr">
        <is>
          <t>EKSJÖ</t>
        </is>
      </c>
      <c r="H373" t="inlineStr">
        <is>
          <t>Kommuner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46266</v>
      </c>
      <c r="F374" t="inlineStr">
        <is>
          <t>JÖNKÖPINGS LÄN</t>
        </is>
      </c>
      <c r="G374" t="inlineStr">
        <is>
          <t>EKSJÖ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45402</v>
      </c>
      <c r="E375" s="1" t="n">
        <v>46266</v>
      </c>
      <c r="F375" t="inlineStr">
        <is>
          <t>JÖNKÖPINGS LÄN</t>
        </is>
      </c>
      <c r="G375" t="inlineStr">
        <is>
          <t>EKSJÖ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46266</v>
      </c>
      <c r="F376" t="inlineStr">
        <is>
          <t>JÖNKÖPINGS LÄN</t>
        </is>
      </c>
      <c r="G376" t="inlineStr">
        <is>
          <t>EKSJÖ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41739-2023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45176</v>
      </c>
      <c r="E377" s="1" t="n">
        <v>46266</v>
      </c>
      <c r="F377" t="inlineStr">
        <is>
          <t>JÖNKÖPINGS LÄN</t>
        </is>
      </c>
      <c r="G377" t="inlineStr">
        <is>
          <t>EKSJÖ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46266</v>
      </c>
      <c r="F378" t="inlineStr">
        <is>
          <t>JÖNKÖPINGS LÄN</t>
        </is>
      </c>
      <c r="G378" t="inlineStr">
        <is>
          <t>EKSJÖ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45314</v>
      </c>
      <c r="E379" s="1" t="n">
        <v>46266</v>
      </c>
      <c r="F379" t="inlineStr">
        <is>
          <t>JÖNKÖPINGS LÄN</t>
        </is>
      </c>
      <c r="G379" t="inlineStr">
        <is>
          <t>EKSJÖ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26054-2023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45091</v>
      </c>
      <c r="E380" s="1" t="n">
        <v>46266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45197</v>
      </c>
      <c r="E381" s="1" t="n">
        <v>46266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45659</v>
      </c>
      <c r="E382" s="1" t="n">
        <v>46266</v>
      </c>
      <c r="F382" t="inlineStr">
        <is>
          <t>JÖNKÖPINGS LÄN</t>
        </is>
      </c>
      <c r="G382" t="inlineStr">
        <is>
          <t>EKSJÖ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34772-2023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45141</v>
      </c>
      <c r="E383" s="1" t="n">
        <v>46266</v>
      </c>
      <c r="F383" t="inlineStr">
        <is>
          <t>JÖNKÖPINGS LÄN</t>
        </is>
      </c>
      <c r="G383" t="inlineStr">
        <is>
          <t>EKSJÖ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54255-2023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45232</v>
      </c>
      <c r="E384" s="1" t="n">
        <v>46266</v>
      </c>
      <c r="F384" t="inlineStr">
        <is>
          <t>JÖNKÖPINGS LÄN</t>
        </is>
      </c>
      <c r="G384" t="inlineStr">
        <is>
          <t>EKSJÖ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45175</v>
      </c>
      <c r="E385" s="1" t="n">
        <v>46266</v>
      </c>
      <c r="F385" t="inlineStr">
        <is>
          <t>JÖNKÖPINGS LÄN</t>
        </is>
      </c>
      <c r="G385" t="inlineStr">
        <is>
          <t>EKSJÖ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46098</v>
      </c>
      <c r="E386" s="1" t="n">
        <v>46266</v>
      </c>
      <c r="F386" t="inlineStr">
        <is>
          <t>JÖNKÖPINGS LÄN</t>
        </is>
      </c>
      <c r="G386" t="inlineStr">
        <is>
          <t>EKSJÖ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45086</v>
      </c>
      <c r="E387" s="1" t="n">
        <v>46266</v>
      </c>
      <c r="F387" t="inlineStr">
        <is>
          <t>JÖNKÖPINGS LÄN</t>
        </is>
      </c>
      <c r="G387" t="inlineStr">
        <is>
          <t>EKSJÖ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46266</v>
      </c>
      <c r="F388" t="inlineStr">
        <is>
          <t>JÖNKÖPINGS LÄN</t>
        </is>
      </c>
      <c r="G388" t="inlineStr">
        <is>
          <t>EKSJÖ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45238</v>
      </c>
      <c r="E389" s="1" t="n">
        <v>46266</v>
      </c>
      <c r="F389" t="inlineStr">
        <is>
          <t>JÖNKÖPINGS LÄN</t>
        </is>
      </c>
      <c r="G389" t="inlineStr">
        <is>
          <t>EKSJÖ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46266</v>
      </c>
      <c r="F390" t="inlineStr">
        <is>
          <t>JÖNKÖPINGS LÄN</t>
        </is>
      </c>
      <c r="G390" t="inlineStr">
        <is>
          <t>EKSJÖ</t>
        </is>
      </c>
      <c r="H390" t="inlineStr">
        <is>
          <t>Kommuner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46266</v>
      </c>
      <c r="F391" t="inlineStr">
        <is>
          <t>JÖNKÖPINGS LÄN</t>
        </is>
      </c>
      <c r="G391" t="inlineStr">
        <is>
          <t>EKSJÖ</t>
        </is>
      </c>
      <c r="H391" t="inlineStr">
        <is>
          <t>Kommuner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46266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15763-2026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46266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46266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45533</v>
      </c>
      <c r="E395" s="1" t="n">
        <v>46266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44783</v>
      </c>
      <c r="E396" s="1" t="n">
        <v>46266</v>
      </c>
      <c r="F396" t="inlineStr">
        <is>
          <t>JÖNKÖPINGS LÄN</t>
        </is>
      </c>
      <c r="G396" t="inlineStr">
        <is>
          <t>EKSJÖ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46107</v>
      </c>
      <c r="E397" s="1" t="n">
        <v>46266</v>
      </c>
      <c r="F397" t="inlineStr">
        <is>
          <t>JÖNKÖPINGS LÄN</t>
        </is>
      </c>
      <c r="G397" t="inlineStr">
        <is>
          <t>EKSJÖ</t>
        </is>
      </c>
      <c r="H397" t="inlineStr">
        <is>
          <t>Sveaskog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15750-2026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46107</v>
      </c>
      <c r="E398" s="1" t="n">
        <v>46266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36069-2024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46266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46266</v>
      </c>
      <c r="F400" t="inlineStr">
        <is>
          <t>JÖNKÖPINGS LÄN</t>
        </is>
      </c>
      <c r="G400" t="inlineStr">
        <is>
          <t>EKSJÖ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46266</v>
      </c>
      <c r="F401" t="inlineStr">
        <is>
          <t>JÖNKÖPINGS LÄN</t>
        </is>
      </c>
      <c r="G401" t="inlineStr">
        <is>
          <t>EKSJÖ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46266</v>
      </c>
      <c r="F402" t="inlineStr">
        <is>
          <t>JÖNKÖPINGS LÄN</t>
        </is>
      </c>
      <c r="G402" t="inlineStr">
        <is>
          <t>EKSJÖ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56805-2024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46266</v>
      </c>
      <c r="F403" t="inlineStr">
        <is>
          <t>JÖNKÖPINGS LÄN</t>
        </is>
      </c>
      <c r="G403" t="inlineStr">
        <is>
          <t>EKSJÖ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46266</v>
      </c>
      <c r="F404" t="inlineStr">
        <is>
          <t>JÖNKÖPINGS LÄN</t>
        </is>
      </c>
      <c r="G404" t="inlineStr">
        <is>
          <t>EKSJÖ</t>
        </is>
      </c>
      <c r="H404" t="inlineStr">
        <is>
          <t>Övriga Aktiebolag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46266</v>
      </c>
      <c r="F405" t="inlineStr">
        <is>
          <t>JÖNKÖPINGS LÄN</t>
        </is>
      </c>
      <c r="G405" t="inlineStr">
        <is>
          <t>EKSJÖ</t>
        </is>
      </c>
      <c r="H405" t="inlineStr">
        <is>
          <t>Övriga Aktiebolag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26706-2022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44739</v>
      </c>
      <c r="E406" s="1" t="n">
        <v>46266</v>
      </c>
      <c r="F406" t="inlineStr">
        <is>
          <t>JÖNKÖPINGS LÄN</t>
        </is>
      </c>
      <c r="G406" t="inlineStr">
        <is>
          <t>EKSJÖ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30931-2023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45113</v>
      </c>
      <c r="E407" s="1" t="n">
        <v>46266</v>
      </c>
      <c r="F407" t="inlineStr">
        <is>
          <t>JÖNKÖPINGS LÄN</t>
        </is>
      </c>
      <c r="G407" t="inlineStr">
        <is>
          <t>EKSJÖ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46266</v>
      </c>
      <c r="F408" t="inlineStr">
        <is>
          <t>JÖNKÖPINGS LÄN</t>
        </is>
      </c>
      <c r="G408" t="inlineStr">
        <is>
          <t>EKSJÖ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45523</v>
      </c>
      <c r="E409" s="1" t="n">
        <v>46266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50287-2024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45600</v>
      </c>
      <c r="E410" s="1" t="n">
        <v>46266</v>
      </c>
      <c r="F410" t="inlineStr">
        <is>
          <t>JÖNKÖPINGS LÄN</t>
        </is>
      </c>
      <c r="G410" t="inlineStr">
        <is>
          <t>EKSJÖ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45533</v>
      </c>
      <c r="E411" s="1" t="n">
        <v>46266</v>
      </c>
      <c r="F411" t="inlineStr">
        <is>
          <t>JÖNKÖPINGS LÄN</t>
        </is>
      </c>
      <c r="G411" t="inlineStr">
        <is>
          <t>EKSJÖ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19468-2023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45049</v>
      </c>
      <c r="E412" s="1" t="n">
        <v>46266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47390-2022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44853</v>
      </c>
      <c r="E413" s="1" t="n">
        <v>46266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9283-2025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45714</v>
      </c>
      <c r="E414" s="1" t="n">
        <v>46266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45714</v>
      </c>
      <c r="E415" s="1" t="n">
        <v>46266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44925</v>
      </c>
      <c r="E416" s="1" t="n">
        <v>46266</v>
      </c>
      <c r="F416" t="inlineStr">
        <is>
          <t>JÖNKÖPINGS LÄN</t>
        </is>
      </c>
      <c r="G416" t="inlineStr">
        <is>
          <t>EKSJÖ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46127</v>
      </c>
      <c r="E417" s="1" t="n">
        <v>46266</v>
      </c>
      <c r="F417" t="inlineStr">
        <is>
          <t>JÖNKÖPINGS LÄN</t>
        </is>
      </c>
      <c r="G417" t="inlineStr">
        <is>
          <t>EKSJÖ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49681-2023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45212</v>
      </c>
      <c r="E418" s="1" t="n">
        <v>46266</v>
      </c>
      <c r="F418" t="inlineStr">
        <is>
          <t>JÖNKÖPINGS LÄN</t>
        </is>
      </c>
      <c r="G418" t="inlineStr">
        <is>
          <t>EKSJÖ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45072</v>
      </c>
      <c r="E419" s="1" t="n">
        <v>46266</v>
      </c>
      <c r="F419" t="inlineStr">
        <is>
          <t>JÖNKÖPINGS LÄN</t>
        </is>
      </c>
      <c r="G419" t="inlineStr">
        <is>
          <t>EKSJÖ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46266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44685</v>
      </c>
      <c r="E421" s="1" t="n">
        <v>46266</v>
      </c>
      <c r="F421" t="inlineStr">
        <is>
          <t>JÖNKÖPINGS LÄN</t>
        </is>
      </c>
      <c r="G421" t="inlineStr">
        <is>
          <t>EKSJÖ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46266</v>
      </c>
      <c r="F422" t="inlineStr">
        <is>
          <t>JÖNKÖPINGS LÄN</t>
        </is>
      </c>
      <c r="G422" t="inlineStr">
        <is>
          <t>EKSJÖ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38592-2022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44813</v>
      </c>
      <c r="E423" s="1" t="n">
        <v>46266</v>
      </c>
      <c r="F423" t="inlineStr">
        <is>
          <t>JÖNKÖPINGS LÄN</t>
        </is>
      </c>
      <c r="G423" t="inlineStr">
        <is>
          <t>EKSJÖ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46266</v>
      </c>
      <c r="F424" t="inlineStr">
        <is>
          <t>JÖNKÖPINGS LÄN</t>
        </is>
      </c>
      <c r="G424" t="inlineStr">
        <is>
          <t>EKSJÖ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18062-2024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45420</v>
      </c>
      <c r="E425" s="1" t="n">
        <v>46266</v>
      </c>
      <c r="F425" t="inlineStr">
        <is>
          <t>JÖNKÖPINGS LÄN</t>
        </is>
      </c>
      <c r="G425" t="inlineStr">
        <is>
          <t>EKSJÖ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45426</v>
      </c>
      <c r="E426" s="1" t="n">
        <v>46266</v>
      </c>
      <c r="F426" t="inlineStr">
        <is>
          <t>JÖNKÖPINGS LÄN</t>
        </is>
      </c>
      <c r="G426" t="inlineStr">
        <is>
          <t>EKSJÖ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36355-2022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44803</v>
      </c>
      <c r="E427" s="1" t="n">
        <v>46266</v>
      </c>
      <c r="F427" t="inlineStr">
        <is>
          <t>JÖNKÖPINGS LÄN</t>
        </is>
      </c>
      <c r="G427" t="inlineStr">
        <is>
          <t>EKSJÖ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45251</v>
      </c>
      <c r="E428" s="1" t="n">
        <v>46266</v>
      </c>
      <c r="F428" t="inlineStr">
        <is>
          <t>JÖNKÖPINGS LÄN</t>
        </is>
      </c>
      <c r="G428" t="inlineStr">
        <is>
          <t>EKSJÖ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45677</v>
      </c>
      <c r="E429" s="1" t="n">
        <v>46266</v>
      </c>
      <c r="F429" t="inlineStr">
        <is>
          <t>JÖNKÖPINGS LÄN</t>
        </is>
      </c>
      <c r="G429" t="inlineStr">
        <is>
          <t>EKSJÖ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23156-2023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45075</v>
      </c>
      <c r="E430" s="1" t="n">
        <v>46266</v>
      </c>
      <c r="F430" t="inlineStr">
        <is>
          <t>JÖNKÖPINGS LÄN</t>
        </is>
      </c>
      <c r="G430" t="inlineStr">
        <is>
          <t>EKSJÖ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46266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45894</v>
      </c>
      <c r="E432" s="1" t="n">
        <v>46266</v>
      </c>
      <c r="F432" t="inlineStr">
        <is>
          <t>JÖNKÖPINGS LÄN</t>
        </is>
      </c>
      <c r="G432" t="inlineStr">
        <is>
          <t>EKSJÖ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46266</v>
      </c>
      <c r="F433" t="inlineStr">
        <is>
          <t>JÖNKÖPINGS LÄN</t>
        </is>
      </c>
      <c r="G433" t="inlineStr">
        <is>
          <t>EKSJÖ</t>
        </is>
      </c>
      <c r="H433" t="inlineStr">
        <is>
          <t>Övriga Aktiebolag</t>
        </is>
      </c>
      <c r="I433" t="n">
        <v>6.7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46266</v>
      </c>
      <c r="F434" t="inlineStr">
        <is>
          <t>JÖNKÖPINGS LÄN</t>
        </is>
      </c>
      <c r="G434" t="inlineStr">
        <is>
          <t>EKSJÖ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44846</v>
      </c>
      <c r="E435" s="1" t="n">
        <v>46266</v>
      </c>
      <c r="F435" t="inlineStr">
        <is>
          <t>JÖNKÖPINGS LÄN</t>
        </is>
      </c>
      <c r="G435" t="inlineStr">
        <is>
          <t>EKSJÖ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46266</v>
      </c>
      <c r="F436" t="inlineStr">
        <is>
          <t>JÖNKÖPINGS LÄN</t>
        </is>
      </c>
      <c r="G436" t="inlineStr">
        <is>
          <t>EKSJÖ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45468</v>
      </c>
      <c r="E437" s="1" t="n">
        <v>46266</v>
      </c>
      <c r="F437" t="inlineStr">
        <is>
          <t>JÖNKÖPINGS LÄN</t>
        </is>
      </c>
      <c r="G437" t="inlineStr">
        <is>
          <t>EKSJÖ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44713</v>
      </c>
      <c r="E438" s="1" t="n">
        <v>46266</v>
      </c>
      <c r="F438" t="inlineStr">
        <is>
          <t>JÖNKÖPINGS LÄN</t>
        </is>
      </c>
      <c r="G438" t="inlineStr">
        <is>
          <t>EKSJÖ</t>
        </is>
      </c>
      <c r="H438" t="inlineStr">
        <is>
          <t>Kyrkan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45308</v>
      </c>
      <c r="E439" s="1" t="n">
        <v>46266</v>
      </c>
      <c r="F439" t="inlineStr">
        <is>
          <t>JÖNKÖPINGS LÄN</t>
        </is>
      </c>
      <c r="G439" t="inlineStr">
        <is>
          <t>EKSJÖ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49403-2021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44454</v>
      </c>
      <c r="E440" s="1" t="n">
        <v>46266</v>
      </c>
      <c r="F440" t="inlineStr">
        <is>
          <t>JÖNKÖPINGS LÄN</t>
        </is>
      </c>
      <c r="G440" t="inlineStr">
        <is>
          <t>EKSJÖ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45723</v>
      </c>
      <c r="E441" s="1" t="n">
        <v>46266</v>
      </c>
      <c r="F441" t="inlineStr">
        <is>
          <t>JÖNKÖPINGS LÄN</t>
        </is>
      </c>
      <c r="G441" t="inlineStr">
        <is>
          <t>EKSJÖ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37144-2023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45154</v>
      </c>
      <c r="E442" s="1" t="n">
        <v>46266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33969-2025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45842</v>
      </c>
      <c r="E443" s="1" t="n">
        <v>46266</v>
      </c>
      <c r="F443" t="inlineStr">
        <is>
          <t>JÖNKÖPINGS LÄN</t>
        </is>
      </c>
      <c r="G443" t="inlineStr">
        <is>
          <t>EKSJÖ</t>
        </is>
      </c>
      <c r="I443" t="n">
        <v>7.9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46266</v>
      </c>
      <c r="F444" t="inlineStr">
        <is>
          <t>JÖNKÖPINGS LÄN</t>
        </is>
      </c>
      <c r="G444" t="inlineStr">
        <is>
          <t>EKSJÖ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17635-2025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46266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38102-2025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45882</v>
      </c>
      <c r="E446" s="1" t="n">
        <v>46266</v>
      </c>
      <c r="F446" t="inlineStr">
        <is>
          <t>JÖNKÖPINGS LÄN</t>
        </is>
      </c>
      <c r="G446" t="inlineStr">
        <is>
          <t>EKSJÖ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45882</v>
      </c>
      <c r="E447" s="1" t="n">
        <v>46266</v>
      </c>
      <c r="F447" t="inlineStr">
        <is>
          <t>JÖNKÖPINGS LÄN</t>
        </is>
      </c>
      <c r="G447" t="inlineStr">
        <is>
          <t>EKSJÖ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59734-2022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44908</v>
      </c>
      <c r="E448" s="1" t="n">
        <v>46266</v>
      </c>
      <c r="F448" t="inlineStr">
        <is>
          <t>JÖNKÖPINGS LÄN</t>
        </is>
      </c>
      <c r="G448" t="inlineStr">
        <is>
          <t>EKSJÖ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45628</v>
      </c>
      <c r="E449" s="1" t="n">
        <v>46266</v>
      </c>
      <c r="F449" t="inlineStr">
        <is>
          <t>JÖNKÖPINGS LÄN</t>
        </is>
      </c>
      <c r="G449" t="inlineStr">
        <is>
          <t>EKSJÖ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9058-2022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44615</v>
      </c>
      <c r="E450" s="1" t="n">
        <v>46266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46266</v>
      </c>
      <c r="F451" t="inlineStr">
        <is>
          <t>JÖNKÖPINGS LÄN</t>
        </is>
      </c>
      <c r="G451" t="inlineStr">
        <is>
          <t>EKSJÖ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59955-2022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44909</v>
      </c>
      <c r="E452" s="1" t="n">
        <v>46266</v>
      </c>
      <c r="F452" t="inlineStr">
        <is>
          <t>JÖNKÖPINGS LÄN</t>
        </is>
      </c>
      <c r="G452" t="inlineStr">
        <is>
          <t>EKSJÖ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53053-2021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46266</v>
      </c>
      <c r="F453" t="inlineStr">
        <is>
          <t>JÖNKÖPINGS LÄN</t>
        </is>
      </c>
      <c r="G453" t="inlineStr">
        <is>
          <t>EKSJÖ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45161</v>
      </c>
      <c r="E454" s="1" t="n">
        <v>46266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58631-2023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46266</v>
      </c>
      <c r="F455" t="inlineStr">
        <is>
          <t>JÖNKÖPINGS LÄN</t>
        </is>
      </c>
      <c r="G455" t="inlineStr">
        <is>
          <t>EKSJÖ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50516-2025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45945</v>
      </c>
      <c r="E456" s="1" t="n">
        <v>46266</v>
      </c>
      <c r="F456" t="inlineStr">
        <is>
          <t>JÖNKÖPINGS LÄN</t>
        </is>
      </c>
      <c r="G456" t="inlineStr">
        <is>
          <t>EKSJÖ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52200-2023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45224</v>
      </c>
      <c r="E457" s="1" t="n">
        <v>46266</v>
      </c>
      <c r="F457" t="inlineStr">
        <is>
          <t>JÖNKÖPINGS LÄN</t>
        </is>
      </c>
      <c r="G457" t="inlineStr">
        <is>
          <t>EKSJÖ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44991</v>
      </c>
      <c r="E458" s="1" t="n">
        <v>46266</v>
      </c>
      <c r="F458" t="inlineStr">
        <is>
          <t>JÖNKÖPINGS LÄN</t>
        </is>
      </c>
      <c r="G458" t="inlineStr">
        <is>
          <t>EKSJÖ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56689-2021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44481</v>
      </c>
      <c r="E459" s="1" t="n">
        <v>46266</v>
      </c>
      <c r="F459" t="inlineStr">
        <is>
          <t>JÖNKÖPINGS LÄN</t>
        </is>
      </c>
      <c r="G459" t="inlineStr">
        <is>
          <t>EKSJÖ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45154</v>
      </c>
      <c r="E460" s="1" t="n">
        <v>46266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46266</v>
      </c>
      <c r="F461" t="inlineStr">
        <is>
          <t>JÖNKÖPINGS LÄN</t>
        </is>
      </c>
      <c r="G461" t="inlineStr">
        <is>
          <t>EKSJÖ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45719</v>
      </c>
      <c r="E462" s="1" t="n">
        <v>46266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20897-2022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44701</v>
      </c>
      <c r="E463" s="1" t="n">
        <v>46266</v>
      </c>
      <c r="F463" t="inlineStr">
        <is>
          <t>JÖNKÖPINGS LÄN</t>
        </is>
      </c>
      <c r="G463" t="inlineStr">
        <is>
          <t>EKSJÖ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45161</v>
      </c>
      <c r="E464" s="1" t="n">
        <v>46266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45082</v>
      </c>
      <c r="E465" s="1" t="n">
        <v>46266</v>
      </c>
      <c r="F465" t="inlineStr">
        <is>
          <t>JÖNKÖPINGS LÄN</t>
        </is>
      </c>
      <c r="G465" t="inlineStr">
        <is>
          <t>EKSJÖ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61850-2024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45649</v>
      </c>
      <c r="E466" s="1" t="n">
        <v>46266</v>
      </c>
      <c r="F466" t="inlineStr">
        <is>
          <t>JÖNKÖPINGS LÄN</t>
        </is>
      </c>
      <c r="G466" t="inlineStr">
        <is>
          <t>EKSJÖ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46266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45096</v>
      </c>
      <c r="E468" s="1" t="n">
        <v>46266</v>
      </c>
      <c r="F468" t="inlineStr">
        <is>
          <t>JÖNKÖPINGS LÄN</t>
        </is>
      </c>
      <c r="G468" t="inlineStr">
        <is>
          <t>EKSJÖ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45236</v>
      </c>
      <c r="E469" s="1" t="n">
        <v>46266</v>
      </c>
      <c r="F469" t="inlineStr">
        <is>
          <t>JÖNKÖPINGS LÄN</t>
        </is>
      </c>
      <c r="G469" t="inlineStr">
        <is>
          <t>EKSJÖ</t>
        </is>
      </c>
      <c r="H469" t="inlineStr">
        <is>
          <t>Övriga Aktiebolag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45537</v>
      </c>
      <c r="E470" s="1" t="n">
        <v>46266</v>
      </c>
      <c r="F470" t="inlineStr">
        <is>
          <t>JÖNKÖPINGS LÄN</t>
        </is>
      </c>
      <c r="G470" t="inlineStr">
        <is>
          <t>EKSJÖ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63959-2023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45278</v>
      </c>
      <c r="E471" s="1" t="n">
        <v>46266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46037</v>
      </c>
      <c r="E472" s="1" t="n">
        <v>46266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63439-2025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46013</v>
      </c>
      <c r="E473" s="1" t="n">
        <v>46266</v>
      </c>
      <c r="F473" t="inlineStr">
        <is>
          <t>JÖNKÖPINGS LÄN</t>
        </is>
      </c>
      <c r="G473" t="inlineStr">
        <is>
          <t>EKSJÖ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44966</v>
      </c>
      <c r="E474" s="1" t="n">
        <v>46266</v>
      </c>
      <c r="F474" t="inlineStr">
        <is>
          <t>JÖNKÖPINGS LÄN</t>
        </is>
      </c>
      <c r="G474" t="inlineStr">
        <is>
          <t>EKSJÖ</t>
        </is>
      </c>
      <c r="H474" t="inlineStr">
        <is>
          <t>Kyrkan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37918-2023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45160</v>
      </c>
      <c r="E475" s="1" t="n">
        <v>46266</v>
      </c>
      <c r="F475" t="inlineStr">
        <is>
          <t>JÖNKÖPINGS LÄN</t>
        </is>
      </c>
      <c r="G475" t="inlineStr">
        <is>
          <t>EKSJÖ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45370</v>
      </c>
      <c r="E476" s="1" t="n">
        <v>46266</v>
      </c>
      <c r="F476" t="inlineStr">
        <is>
          <t>JÖNKÖPINGS LÄN</t>
        </is>
      </c>
      <c r="G476" t="inlineStr">
        <is>
          <t>EKSJÖ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21883-2023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45068</v>
      </c>
      <c r="E477" s="1" t="n">
        <v>46266</v>
      </c>
      <c r="F477" t="inlineStr">
        <is>
          <t>JÖNKÖPINGS LÄN</t>
        </is>
      </c>
      <c r="G477" t="inlineStr">
        <is>
          <t>EKSJÖ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71313-2021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46266</v>
      </c>
      <c r="F478" t="inlineStr">
        <is>
          <t>JÖNKÖPINGS LÄN</t>
        </is>
      </c>
      <c r="G478" t="inlineStr">
        <is>
          <t>EKSJÖ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60920-2025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45996</v>
      </c>
      <c r="E479" s="1" t="n">
        <v>46266</v>
      </c>
      <c r="F479" t="inlineStr">
        <is>
          <t>JÖNKÖPINGS LÄN</t>
        </is>
      </c>
      <c r="G479" t="inlineStr">
        <is>
          <t>EKSJÖ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23309-2026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46266</v>
      </c>
      <c r="F480" t="inlineStr">
        <is>
          <t>JÖNKÖPINGS LÄN</t>
        </is>
      </c>
      <c r="G480" t="inlineStr">
        <is>
          <t>EKSJÖ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46266</v>
      </c>
      <c r="F481" t="inlineStr">
        <is>
          <t>JÖNKÖPINGS LÄN</t>
        </is>
      </c>
      <c r="G481" t="inlineStr">
        <is>
          <t>EKSJÖ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46266</v>
      </c>
      <c r="F482" t="inlineStr">
        <is>
          <t>JÖNKÖPINGS LÄN</t>
        </is>
      </c>
      <c r="G482" t="inlineStr">
        <is>
          <t>EKSJÖ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23535-2026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46163</v>
      </c>
      <c r="E483" s="1" t="n">
        <v>46266</v>
      </c>
      <c r="F483" t="inlineStr">
        <is>
          <t>JÖNKÖPINGS LÄN</t>
        </is>
      </c>
      <c r="G483" t="inlineStr">
        <is>
          <t>EKSJÖ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23575-2026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46266</v>
      </c>
      <c r="F484" t="inlineStr">
        <is>
          <t>JÖNKÖPINGS LÄN</t>
        </is>
      </c>
      <c r="G484" t="inlineStr">
        <is>
          <t>EKSJÖ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23533-2026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46266</v>
      </c>
      <c r="F485" t="inlineStr">
        <is>
          <t>JÖNKÖPINGS LÄN</t>
        </is>
      </c>
      <c r="G485" t="inlineStr">
        <is>
          <t>EKSJÖ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46266</v>
      </c>
      <c r="F486" t="inlineStr">
        <is>
          <t>JÖNKÖPINGS LÄN</t>
        </is>
      </c>
      <c r="G486" t="inlineStr">
        <is>
          <t>EKSJÖ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23572-2026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46266</v>
      </c>
      <c r="F487" t="inlineStr">
        <is>
          <t>JÖNKÖPINGS LÄN</t>
        </is>
      </c>
      <c r="G487" t="inlineStr">
        <is>
          <t>EKSJÖ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45253</v>
      </c>
      <c r="E488" s="1" t="n">
        <v>46266</v>
      </c>
      <c r="F488" t="inlineStr">
        <is>
          <t>JÖNKÖPINGS LÄN</t>
        </is>
      </c>
      <c r="G488" t="inlineStr">
        <is>
          <t>EKSJÖ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45493-2022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44845</v>
      </c>
      <c r="E489" s="1" t="n">
        <v>46266</v>
      </c>
      <c r="F489" t="inlineStr">
        <is>
          <t>JÖNKÖPINGS LÄN</t>
        </is>
      </c>
      <c r="G489" t="inlineStr">
        <is>
          <t>EKSJÖ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33644-2022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44789</v>
      </c>
      <c r="E490" s="1" t="n">
        <v>46266</v>
      </c>
      <c r="F490" t="inlineStr">
        <is>
          <t>JÖNKÖPINGS LÄN</t>
        </is>
      </c>
      <c r="G490" t="inlineStr">
        <is>
          <t>EKSJÖ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44293-2025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45916</v>
      </c>
      <c r="E491" s="1" t="n">
        <v>46266</v>
      </c>
      <c r="F491" t="inlineStr">
        <is>
          <t>JÖNKÖPINGS LÄN</t>
        </is>
      </c>
      <c r="G491" t="inlineStr">
        <is>
          <t>EKSJÖ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55817-2023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45239</v>
      </c>
      <c r="E492" s="1" t="n">
        <v>46266</v>
      </c>
      <c r="F492" t="inlineStr">
        <is>
          <t>JÖNKÖPINGS LÄN</t>
        </is>
      </c>
      <c r="G492" t="inlineStr">
        <is>
          <t>EKSJÖ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45370</v>
      </c>
      <c r="E493" s="1" t="n">
        <v>46266</v>
      </c>
      <c r="F493" t="inlineStr">
        <is>
          <t>JÖNKÖPINGS LÄN</t>
        </is>
      </c>
      <c r="G493" t="inlineStr">
        <is>
          <t>EKSJÖ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45334</v>
      </c>
      <c r="E494" s="1" t="n">
        <v>46266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5587-2024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45334</v>
      </c>
      <c r="E495" s="1" t="n">
        <v>46266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50165-2022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46266</v>
      </c>
      <c r="F496" t="inlineStr">
        <is>
          <t>JÖNKÖPINGS LÄN</t>
        </is>
      </c>
      <c r="G496" t="inlineStr">
        <is>
          <t>EKSJÖ</t>
        </is>
      </c>
      <c r="H496" t="inlineStr">
        <is>
          <t>Övriga Aktiebolag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29878-2023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45107</v>
      </c>
      <c r="E497" s="1" t="n">
        <v>46266</v>
      </c>
      <c r="F497" t="inlineStr">
        <is>
          <t>JÖNKÖPINGS LÄN</t>
        </is>
      </c>
      <c r="G497" t="inlineStr">
        <is>
          <t>EKSJÖ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47806-2023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46266</v>
      </c>
      <c r="F498" t="inlineStr">
        <is>
          <t>JÖNKÖPINGS LÄN</t>
        </is>
      </c>
      <c r="G498" t="inlineStr">
        <is>
          <t>EKSJÖ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9294-2025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45714</v>
      </c>
      <c r="E499" s="1" t="n">
        <v>46266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46266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41397-2024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46266</v>
      </c>
      <c r="F501" t="inlineStr">
        <is>
          <t>JÖNKÖPINGS LÄN</t>
        </is>
      </c>
      <c r="G501" t="inlineStr">
        <is>
          <t>EKSJÖ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45367-2024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45576</v>
      </c>
      <c r="E502" s="1" t="n">
        <v>46266</v>
      </c>
      <c r="F502" t="inlineStr">
        <is>
          <t>JÖNKÖPINGS LÄN</t>
        </is>
      </c>
      <c r="G502" t="inlineStr">
        <is>
          <t>EKSJÖ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46266</v>
      </c>
      <c r="F503" t="inlineStr">
        <is>
          <t>JÖNKÖPINGS LÄN</t>
        </is>
      </c>
      <c r="G503" t="inlineStr">
        <is>
          <t>EKSJÖ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59050-2021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44490</v>
      </c>
      <c r="E504" s="1" t="n">
        <v>46266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23535-2023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45076</v>
      </c>
      <c r="E505" s="1" t="n">
        <v>46266</v>
      </c>
      <c r="F505" t="inlineStr">
        <is>
          <t>JÖNKÖPINGS LÄN</t>
        </is>
      </c>
      <c r="G505" t="inlineStr">
        <is>
          <t>EKSJÖ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27395-2023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45096</v>
      </c>
      <c r="E506" s="1" t="n">
        <v>46266</v>
      </c>
      <c r="F506" t="inlineStr">
        <is>
          <t>JÖNKÖPINGS LÄN</t>
        </is>
      </c>
      <c r="G506" t="inlineStr">
        <is>
          <t>EKSJÖ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46266</v>
      </c>
      <c r="F507" t="inlineStr">
        <is>
          <t>JÖNKÖPINGS LÄN</t>
        </is>
      </c>
      <c r="G507" t="inlineStr">
        <is>
          <t>EKSJÖ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46266</v>
      </c>
      <c r="F508" t="inlineStr">
        <is>
          <t>JÖNKÖPINGS LÄN</t>
        </is>
      </c>
      <c r="G508" t="inlineStr">
        <is>
          <t>EKSJÖ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10345-2022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44623</v>
      </c>
      <c r="E509" s="1" t="n">
        <v>46266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45156</v>
      </c>
      <c r="E510" s="1" t="n">
        <v>46266</v>
      </c>
      <c r="F510" t="inlineStr">
        <is>
          <t>JÖNKÖPINGS LÄN</t>
        </is>
      </c>
      <c r="G510" t="inlineStr">
        <is>
          <t>EKSJÖ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45071</v>
      </c>
      <c r="E511" s="1" t="n">
        <v>46266</v>
      </c>
      <c r="F511" t="inlineStr">
        <is>
          <t>JÖNKÖPINGS LÄN</t>
        </is>
      </c>
      <c r="G511" t="inlineStr">
        <is>
          <t>EKSJÖ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46266</v>
      </c>
      <c r="F512" t="inlineStr">
        <is>
          <t>JÖNKÖPINGS LÄN</t>
        </is>
      </c>
      <c r="G512" t="inlineStr">
        <is>
          <t>EKSJÖ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59905-2022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44908</v>
      </c>
      <c r="E513" s="1" t="n">
        <v>46266</v>
      </c>
      <c r="F513" t="inlineStr">
        <is>
          <t>JÖNKÖPINGS LÄN</t>
        </is>
      </c>
      <c r="G513" t="inlineStr">
        <is>
          <t>EKSJÖ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45391</v>
      </c>
      <c r="E514" s="1" t="n">
        <v>46266</v>
      </c>
      <c r="F514" t="inlineStr">
        <is>
          <t>JÖNKÖPINGS LÄN</t>
        </is>
      </c>
      <c r="G514" t="inlineStr">
        <is>
          <t>EKSJÖ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25783-2026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46266</v>
      </c>
      <c r="F515" t="inlineStr">
        <is>
          <t>JÖNKÖPINGS LÄN</t>
        </is>
      </c>
      <c r="G515" t="inlineStr">
        <is>
          <t>EKSJÖ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44581</v>
      </c>
      <c r="E516" s="1" t="n">
        <v>46266</v>
      </c>
      <c r="F516" t="inlineStr">
        <is>
          <t>JÖNKÖPINGS LÄN</t>
        </is>
      </c>
      <c r="G516" t="inlineStr">
        <is>
          <t>EKSJÖ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30527-2023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45111</v>
      </c>
      <c r="E517" s="1" t="n">
        <v>46266</v>
      </c>
      <c r="F517" t="inlineStr">
        <is>
          <t>JÖNKÖPINGS LÄN</t>
        </is>
      </c>
      <c r="G517" t="inlineStr">
        <is>
          <t>EKSJÖ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25654-2026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46266</v>
      </c>
      <c r="F518" t="inlineStr">
        <is>
          <t>JÖNKÖPINGS LÄN</t>
        </is>
      </c>
      <c r="G518" t="inlineStr">
        <is>
          <t>EKSJÖ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6236-2022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44600</v>
      </c>
      <c r="E519" s="1" t="n">
        <v>46266</v>
      </c>
      <c r="F519" t="inlineStr">
        <is>
          <t>JÖNKÖPINGS LÄN</t>
        </is>
      </c>
      <c r="G519" t="inlineStr">
        <is>
          <t>EKSJÖ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9363-2025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46266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17030-2024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45411</v>
      </c>
      <c r="E521" s="1" t="n">
        <v>46266</v>
      </c>
      <c r="F521" t="inlineStr">
        <is>
          <t>JÖNKÖPINGS LÄN</t>
        </is>
      </c>
      <c r="G521" t="inlineStr">
        <is>
          <t>EKSJÖ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49919-2023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45214</v>
      </c>
      <c r="E522" s="1" t="n">
        <v>46266</v>
      </c>
      <c r="F522" t="inlineStr">
        <is>
          <t>JÖNKÖPINGS LÄN</t>
        </is>
      </c>
      <c r="G522" t="inlineStr">
        <is>
          <t>EKSJÖ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46266</v>
      </c>
      <c r="F523" t="inlineStr">
        <is>
          <t>JÖNKÖPINGS LÄN</t>
        </is>
      </c>
      <c r="G523" t="inlineStr">
        <is>
          <t>EKSJÖ</t>
        </is>
      </c>
      <c r="H523" t="inlineStr">
        <is>
          <t>Kyrkan</t>
        </is>
      </c>
      <c r="I523" t="n">
        <v>15.2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800-2024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45300</v>
      </c>
      <c r="E524" s="1" t="n">
        <v>46266</v>
      </c>
      <c r="F524" t="inlineStr">
        <is>
          <t>JÖNKÖPINGS LÄN</t>
        </is>
      </c>
      <c r="G524" t="inlineStr">
        <is>
          <t>EKSJÖ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28024-2022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44746</v>
      </c>
      <c r="E525" s="1" t="n">
        <v>46266</v>
      </c>
      <c r="F525" t="inlineStr">
        <is>
          <t>JÖNKÖPINGS LÄN</t>
        </is>
      </c>
      <c r="G525" t="inlineStr">
        <is>
          <t>EKSJÖ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45300</v>
      </c>
      <c r="E526" s="1" t="n">
        <v>46266</v>
      </c>
      <c r="F526" t="inlineStr">
        <is>
          <t>JÖNKÖPINGS LÄN</t>
        </is>
      </c>
      <c r="G526" t="inlineStr">
        <is>
          <t>EKSJÖ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26405-2026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46266</v>
      </c>
      <c r="F527" t="inlineStr">
        <is>
          <t>JÖNKÖPINGS LÄN</t>
        </is>
      </c>
      <c r="G527" t="inlineStr">
        <is>
          <t>EKSJÖ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58095-2024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46266</v>
      </c>
      <c r="F528" t="inlineStr">
        <is>
          <t>JÖNKÖPINGS LÄN</t>
        </is>
      </c>
      <c r="G528" t="inlineStr">
        <is>
          <t>EKSJÖ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48740-2023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45208</v>
      </c>
      <c r="E529" s="1" t="n">
        <v>46266</v>
      </c>
      <c r="F529" t="inlineStr">
        <is>
          <t>JÖNKÖPINGS LÄN</t>
        </is>
      </c>
      <c r="G529" t="inlineStr">
        <is>
          <t>EKSJÖ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51020-2023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46266</v>
      </c>
      <c r="F530" t="inlineStr">
        <is>
          <t>JÖNKÖPINGS LÄN</t>
        </is>
      </c>
      <c r="G530" t="inlineStr">
        <is>
          <t>EKSJÖ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26648-2026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46266</v>
      </c>
      <c r="F531" t="inlineStr">
        <is>
          <t>JÖNKÖPINGS LÄN</t>
        </is>
      </c>
      <c r="G531" t="inlineStr">
        <is>
          <t>EKSJÖ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5638-2024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45334</v>
      </c>
      <c r="E532" s="1" t="n">
        <v>46266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26649-2026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46184</v>
      </c>
      <c r="E533" s="1" t="n">
        <v>46266</v>
      </c>
      <c r="F533" t="inlineStr">
        <is>
          <t>JÖNKÖPINGS LÄN</t>
        </is>
      </c>
      <c r="G533" t="inlineStr">
        <is>
          <t>EKSJÖ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46266</v>
      </c>
      <c r="F534" t="inlineStr">
        <is>
          <t>JÖNKÖPINGS LÄN</t>
        </is>
      </c>
      <c r="G534" t="inlineStr">
        <is>
          <t>EKSJÖ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26650-2026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46266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46577-2022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44848</v>
      </c>
      <c r="E536" s="1" t="n">
        <v>46266</v>
      </c>
      <c r="F536" t="inlineStr">
        <is>
          <t>JÖNKÖPINGS LÄN</t>
        </is>
      </c>
      <c r="G536" t="inlineStr">
        <is>
          <t>EKSJÖ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46266</v>
      </c>
      <c r="F537" t="inlineStr">
        <is>
          <t>JÖNKÖPINGS LÄN</t>
        </is>
      </c>
      <c r="G537" t="inlineStr">
        <is>
          <t>EKSJÖ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9292-2025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46266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45714</v>
      </c>
      <c r="E539" s="1" t="n">
        <v>46266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45715</v>
      </c>
      <c r="E540" s="1" t="n">
        <v>46266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9400-2025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46266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9404-2025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46266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27220-2026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46188</v>
      </c>
      <c r="E543" s="1" t="n">
        <v>46266</v>
      </c>
      <c r="F543" t="inlineStr">
        <is>
          <t>JÖNKÖPINGS LÄN</t>
        </is>
      </c>
      <c r="G543" t="inlineStr">
        <is>
          <t>EKSJÖ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47204-2022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44851</v>
      </c>
      <c r="E544" s="1" t="n">
        <v>46266</v>
      </c>
      <c r="F544" t="inlineStr">
        <is>
          <t>JÖNKÖPINGS LÄN</t>
        </is>
      </c>
      <c r="G544" t="inlineStr">
        <is>
          <t>EKSJÖ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8056-2025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45707</v>
      </c>
      <c r="E545" s="1" t="n">
        <v>46266</v>
      </c>
      <c r="F545" t="inlineStr">
        <is>
          <t>JÖNKÖPINGS LÄN</t>
        </is>
      </c>
      <c r="G545" t="inlineStr">
        <is>
          <t>EKSJÖ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45329</v>
      </c>
      <c r="E546" s="1" t="n">
        <v>46266</v>
      </c>
      <c r="F546" t="inlineStr">
        <is>
          <t>JÖNKÖPINGS LÄN</t>
        </is>
      </c>
      <c r="G546" t="inlineStr">
        <is>
          <t>EKSJÖ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45635</v>
      </c>
      <c r="E547" s="1" t="n">
        <v>46266</v>
      </c>
      <c r="F547" t="inlineStr">
        <is>
          <t>JÖNKÖPINGS LÄN</t>
        </is>
      </c>
      <c r="G547" t="inlineStr">
        <is>
          <t>EKSJÖ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5627-2024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45334</v>
      </c>
      <c r="E548" s="1" t="n">
        <v>46266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45334</v>
      </c>
      <c r="E549" s="1" t="n">
        <v>46266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44939</v>
      </c>
      <c r="E550" s="1" t="n">
        <v>46266</v>
      </c>
      <c r="F550" t="inlineStr">
        <is>
          <t>JÖNKÖPINGS LÄN</t>
        </is>
      </c>
      <c r="G550" t="inlineStr">
        <is>
          <t>EKSJÖ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41816-2024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45561</v>
      </c>
      <c r="E551" s="1" t="n">
        <v>46266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23183-2022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44719</v>
      </c>
      <c r="E552" s="1" t="n">
        <v>46266</v>
      </c>
      <c r="F552" t="inlineStr">
        <is>
          <t>JÖNKÖPINGS LÄN</t>
        </is>
      </c>
      <c r="G552" t="inlineStr">
        <is>
          <t>EKSJÖ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45762</v>
      </c>
      <c r="E553" s="1" t="n">
        <v>46266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46266</v>
      </c>
      <c r="F554" t="inlineStr">
        <is>
          <t>JÖNKÖPINGS LÄN</t>
        </is>
      </c>
      <c r="G554" t="inlineStr">
        <is>
          <t>EKSJÖ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28624-2026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46266</v>
      </c>
      <c r="F555" t="inlineStr">
        <is>
          <t>JÖNKÖPINGS LÄN</t>
        </is>
      </c>
      <c r="G555" t="inlineStr">
        <is>
          <t>EKSJÖ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45671</v>
      </c>
      <c r="E556" s="1" t="n">
        <v>46266</v>
      </c>
      <c r="F556" t="inlineStr">
        <is>
          <t>JÖNKÖPINGS LÄN</t>
        </is>
      </c>
      <c r="G556" t="inlineStr">
        <is>
          <t>EKSJÖ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8165-2022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44609</v>
      </c>
      <c r="E557" s="1" t="n">
        <v>46266</v>
      </c>
      <c r="F557" t="inlineStr">
        <is>
          <t>JÖNKÖPINGS LÄN</t>
        </is>
      </c>
      <c r="G557" t="inlineStr">
        <is>
          <t>EKSJÖ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28401-2026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46266</v>
      </c>
      <c r="F558" t="inlineStr">
        <is>
          <t>JÖNKÖPINGS LÄN</t>
        </is>
      </c>
      <c r="G558" t="inlineStr">
        <is>
          <t>EKSJÖ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28402-2026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46266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46197</v>
      </c>
      <c r="E560" s="1" t="n">
        <v>46266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10946-2026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46079</v>
      </c>
      <c r="E561" s="1" t="n">
        <v>46266</v>
      </c>
      <c r="F561" t="inlineStr">
        <is>
          <t>JÖNKÖPINGS LÄN</t>
        </is>
      </c>
      <c r="G561" t="inlineStr">
        <is>
          <t>EKSJÖ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46266</v>
      </c>
      <c r="F562" t="inlineStr">
        <is>
          <t>JÖNKÖPINGS LÄN</t>
        </is>
      </c>
      <c r="G562" t="inlineStr">
        <is>
          <t>EKSJÖ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29043-2026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46266</v>
      </c>
      <c r="F563" t="inlineStr">
        <is>
          <t>JÖNKÖPINGS LÄN</t>
        </is>
      </c>
      <c r="G563" t="inlineStr">
        <is>
          <t>EKSJÖ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46266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30362-2026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46266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46266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46209</v>
      </c>
      <c r="E567" s="1" t="n">
        <v>46266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46252</v>
      </c>
      <c r="E568" s="1" t="n">
        <v>46266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46266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46266</v>
      </c>
      <c r="F570" t="inlineStr">
        <is>
          <t>JÖNKÖPINGS LÄN</t>
        </is>
      </c>
      <c r="G570" t="inlineStr">
        <is>
          <t>EKSJÖ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46255</v>
      </c>
      <c r="E571" s="1" t="n">
        <v>46266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46266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46266</v>
      </c>
      <c r="F573" t="inlineStr">
        <is>
          <t>JÖNKÖPINGS LÄN</t>
        </is>
      </c>
      <c r="G573" t="inlineStr">
        <is>
          <t>EKSJÖ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46266</v>
      </c>
      <c r="F574" t="inlineStr">
        <is>
          <t>JÖNKÖPINGS LÄN</t>
        </is>
      </c>
      <c r="G574" t="inlineStr">
        <is>
          <t>EKSJÖ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46266</v>
      </c>
      <c r="F575" t="inlineStr">
        <is>
          <t>JÖNKÖPINGS LÄN</t>
        </is>
      </c>
      <c r="G575" t="inlineStr">
        <is>
          <t>EKSJÖ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46266</v>
      </c>
      <c r="F576" t="inlineStr">
        <is>
          <t>JÖNKÖPINGS LÄN</t>
        </is>
      </c>
      <c r="G576" t="inlineStr">
        <is>
          <t>EKSJÖ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46266</v>
      </c>
      <c r="F577" t="inlineStr">
        <is>
          <t>JÖNKÖPINGS LÄN</t>
        </is>
      </c>
      <c r="G577" t="inlineStr">
        <is>
          <t>EKSJÖ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46266</v>
      </c>
      <c r="F578" t="inlineStr">
        <is>
          <t>JÖNKÖPINGS LÄN</t>
        </is>
      </c>
      <c r="G578" t="inlineStr">
        <is>
          <t>EKSJÖ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46266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46266</v>
      </c>
      <c r="F580" t="inlineStr">
        <is>
          <t>JÖNKÖPINGS LÄN</t>
        </is>
      </c>
      <c r="G580" t="inlineStr">
        <is>
          <t>EKSJÖ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35021-2026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46259</v>
      </c>
      <c r="E581" s="1" t="n">
        <v>46266</v>
      </c>
      <c r="F581" t="inlineStr">
        <is>
          <t>JÖNKÖPINGS LÄN</t>
        </is>
      </c>
      <c r="G581" t="inlineStr">
        <is>
          <t>EKSJÖ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46260</v>
      </c>
      <c r="E582" s="1" t="n">
        <v>46266</v>
      </c>
      <c r="F582" t="inlineStr">
        <is>
          <t>JÖNKÖPINGS LÄN</t>
        </is>
      </c>
      <c r="G582" t="inlineStr">
        <is>
          <t>EKSJÖ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46260</v>
      </c>
      <c r="E583" s="1" t="n">
        <v>46266</v>
      </c>
      <c r="F583" t="inlineStr">
        <is>
          <t>JÖNKÖPINGS LÄN</t>
        </is>
      </c>
      <c r="G583" t="inlineStr">
        <is>
          <t>EKSJÖ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46266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46266</v>
      </c>
      <c r="F585" t="inlineStr">
        <is>
          <t>JÖNKÖPINGS LÄN</t>
        </is>
      </c>
      <c r="G585" t="inlineStr">
        <is>
          <t>EKSJÖ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46247</v>
      </c>
      <c r="E586" s="1" t="n">
        <v>46266</v>
      </c>
      <c r="F586" t="inlineStr">
        <is>
          <t>JÖNKÖPINGS LÄN</t>
        </is>
      </c>
      <c r="G586" t="inlineStr">
        <is>
          <t>EKSJÖ</t>
        </is>
      </c>
      <c r="H586" t="inlineStr">
        <is>
          <t>Sveaskog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46266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46266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46266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46266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46266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46266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46266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46266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46266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46266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46266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46266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46266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46266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46266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46266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46266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46266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46266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46266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46266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46266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46266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46266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46266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46266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46266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46266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46266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1842-2026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46153</v>
      </c>
      <c r="E616" s="1" t="n">
        <v>46266</v>
      </c>
      <c r="F616" t="inlineStr">
        <is>
          <t>JÖNKÖPINGS LÄN</t>
        </is>
      </c>
      <c r="G616" t="inlineStr">
        <is>
          <t>EKSJÖ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2026-09-01T02:10:51Z</dcterms:created>
  <dcterms:modified xmlns:dcterms="http://purl.org/dc/terms/" xmlns:xsi="http://www.w3.org/2001/XMLSchema-instance" xsi:type="dcterms:W3CDTF">2026-09-01T02:10:51Z</dcterms:modified>
</cp:coreProperties>
</file>