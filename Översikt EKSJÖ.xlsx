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46290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46290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46290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46290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46290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46290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46290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46290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46290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46290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46290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46290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46290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46290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46290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46290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46290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46290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32830-2025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46290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Spindelblomster</t>
        </is>
      </c>
      <c r="W30">
        <f>HYPERLINK("https://klasma.github.io/Logging_0686/artfynd/A 32830-2025 artfynd.xlsx", "A 32830-2025")</f>
        <v/>
      </c>
      <c r="X30">
        <f>HYPERLINK("https://klasma.github.io/Logging_0686/kartor/A 32830-2025 karta.png", "A 32830-2025")</f>
        <v/>
      </c>
      <c r="Y30">
        <f>HYPERLINK("https://klasma.github.io/Logging_0686/kartor_geotiff/A 32830-2025 georefererad karta.tif", "A 32830-2025")</f>
        <v/>
      </c>
      <c r="AA30">
        <f>HYPERLINK("https://klasma.github.io/Logging_0686/klagomål/A 32830-2025 FSC-klagomål.docx", "A 32830-2025")</f>
        <v/>
      </c>
      <c r="AB30">
        <f>HYPERLINK("https://klasma.github.io/Logging_0686/klagomålsmail/A 32830-2025 FSC-klagomål mail.docx", "A 32830-2025")</f>
        <v/>
      </c>
      <c r="AC30">
        <f>HYPERLINK("https://klasma.github.io/Logging_0686/tillsyn/A 32830-2025 tillsynsbegäran.docx", "A 32830-2025")</f>
        <v/>
      </c>
      <c r="AD30">
        <f>HYPERLINK("https://klasma.github.io/Logging_0686/tillsynsmail/A 32830-2025 tillsynsbegäran mail.docx", "A 32830-2025")</f>
        <v/>
      </c>
    </row>
    <row r="31" ht="15" customHeight="1">
      <c r="A31" t="inlineStr">
        <is>
          <t>A 47729-2022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44854</v>
      </c>
      <c r="E31" s="1" t="n">
        <v>46290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Tibast</t>
        </is>
      </c>
      <c r="W31">
        <f>HYPERLINK("https://klasma.github.io/Logging_0686/artfynd/A 47729-2022 artfynd.xlsx", "A 47729-2022")</f>
        <v/>
      </c>
      <c r="X31">
        <f>HYPERLINK("https://klasma.github.io/Logging_0686/kartor/A 47729-2022 karta.png", "A 47729-2022")</f>
        <v/>
      </c>
      <c r="Y31">
        <f>HYPERLINK("https://klasma.github.io/Logging_0686/kartor_geotiff/A 47729-2022 georefererad karta.tif", "A 47729-2022")</f>
        <v/>
      </c>
      <c r="AA31">
        <f>HYPERLINK("https://klasma.github.io/Logging_0686/klagomål/A 47729-2022 FSC-klagomål.docx", "A 47729-2022")</f>
        <v/>
      </c>
      <c r="AB31">
        <f>HYPERLINK("https://klasma.github.io/Logging_0686/klagomålsmail/A 47729-2022 FSC-klagomål mail.docx", "A 47729-2022")</f>
        <v/>
      </c>
      <c r="AC31">
        <f>HYPERLINK("https://klasma.github.io/Logging_0686/tillsyn/A 47729-2022 tillsynsbegäran.docx", "A 47729-2022")</f>
        <v/>
      </c>
      <c r="AD31">
        <f>HYPERLINK("https://klasma.github.io/Logging_0686/tillsynsmail/A 47729-2022 tillsynsbegäran mail.docx", "A 47729-2022")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46290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46290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10726-2024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46290</v>
      </c>
      <c r="F34" t="inlineStr">
        <is>
          <t>JÖNKÖPINGS LÄN</t>
        </is>
      </c>
      <c r="G34" t="inlineStr">
        <is>
          <t>EKSJÖ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HYPERLINK("https://klasma.github.io/Logging_0686/artfynd/A 10726-2024 artfynd.xlsx", "A 10726-2024")</f>
        <v/>
      </c>
      <c r="X34">
        <f>HYPERLINK("https://klasma.github.io/Logging_0686/kartor/A 10726-2024 karta.png", "A 10726-2024")</f>
        <v/>
      </c>
      <c r="Y34">
        <f>HYPERLINK("https://klasma.github.io/Logging_0686/kartor_geotiff/A 10726-2024 georefererad karta.tif", "A 10726-2024")</f>
        <v/>
      </c>
      <c r="AA34">
        <f>HYPERLINK("https://klasma.github.io/Logging_0686/klagomål/A 10726-2024 FSC-klagomål.docx", "A 10726-2024")</f>
        <v/>
      </c>
      <c r="AB34">
        <f>HYPERLINK("https://klasma.github.io/Logging_0686/klagomålsmail/A 10726-2024 FSC-klagomål mail.docx", "A 10726-2024")</f>
        <v/>
      </c>
      <c r="AC34">
        <f>HYPERLINK("https://klasma.github.io/Logging_0686/tillsyn/A 10726-2024 tillsynsbegäran.docx", "A 10726-2024")</f>
        <v/>
      </c>
      <c r="AD34">
        <f>HYPERLINK("https://klasma.github.io/Logging_0686/tillsynsmail/A 10726-2024 tillsynsbegäran mail.docx", "A 10726-2024")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46290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46290</v>
      </c>
      <c r="F36" t="inlineStr">
        <is>
          <t>JÖNKÖPINGS LÄN</t>
        </is>
      </c>
      <c r="G36" t="inlineStr">
        <is>
          <t>EKSJÖ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Spindelört</t>
        </is>
      </c>
      <c r="W36">
        <f>HYPERLINK("https://klasma.github.io/Logging_0686/artfynd/A 23536-2026 artfynd.xlsx", "A 23536-2026")</f>
        <v/>
      </c>
      <c r="X36">
        <f>HYPERLINK("https://klasma.github.io/Logging_0686/kartor/A 23536-2026 karta.png", "A 23536-2026")</f>
        <v/>
      </c>
      <c r="Y36">
        <f>HYPERLINK("https://klasma.github.io/Logging_0686/kartor_geotiff/A 23536-2026 georefererad karta.tif", "A 23536-2026")</f>
        <v/>
      </c>
      <c r="AA36">
        <f>HYPERLINK("https://klasma.github.io/Logging_0686/klagomål/A 23536-2026 FSC-klagomål.docx", "A 23536-2026")</f>
        <v/>
      </c>
      <c r="AB36">
        <f>HYPERLINK("https://klasma.github.io/Logging_0686/klagomålsmail/A 23536-2026 FSC-klagomål mail.docx", "A 23536-2026")</f>
        <v/>
      </c>
      <c r="AC36">
        <f>HYPERLINK("https://klasma.github.io/Logging_0686/tillsyn/A 23536-2026 tillsynsbegäran.docx", "A 23536-2026")</f>
        <v/>
      </c>
      <c r="AD36">
        <f>HYPERLINK("https://klasma.github.io/Logging_0686/tillsynsmail/A 23536-2026 tillsynsbegäran mail.docx", "A 23536-2026")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46290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15419-2026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46106</v>
      </c>
      <c r="E38" s="1" t="n">
        <v>46290</v>
      </c>
      <c r="F38" t="inlineStr">
        <is>
          <t>JÖNKÖPINGS LÄN</t>
        </is>
      </c>
      <c r="G38" t="inlineStr">
        <is>
          <t>EKSJÖ</t>
        </is>
      </c>
      <c r="H38" t="inlineStr">
        <is>
          <t>Kommuner</t>
        </is>
      </c>
      <c r="I38" t="n">
        <v>4.1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HYPERLINK("https://klasma.github.io/Logging_0686/artfynd/A 15419-2026 artfynd.xlsx", "A 15419-2026")</f>
        <v/>
      </c>
      <c r="X38">
        <f>HYPERLINK("https://klasma.github.io/Logging_0686/kartor/A 15419-2026 karta.png", "A 15419-2026")</f>
        <v/>
      </c>
      <c r="Y38">
        <f>HYPERLINK("https://klasma.github.io/Logging_0686/kartor_geotiff/A 15419-2026 georefererad karta.tif", "A 15419-2026")</f>
        <v/>
      </c>
      <c r="AA38">
        <f>HYPERLINK("https://klasma.github.io/Logging_0686/klagomål/A 15419-2026 FSC-klagomål.docx", "A 15419-2026")</f>
        <v/>
      </c>
      <c r="AB38">
        <f>HYPERLINK("https://klasma.github.io/Logging_0686/klagomålsmail/A 15419-2026 FSC-klagomål mail.docx", "A 15419-2026")</f>
        <v/>
      </c>
      <c r="AC38">
        <f>HYPERLINK("https://klasma.github.io/Logging_0686/tillsyn/A 15419-2026 tillsynsbegäran.docx", "A 15419-2026")</f>
        <v/>
      </c>
      <c r="AD38">
        <f>HYPERLINK("https://klasma.github.io/Logging_0686/tillsynsmail/A 15419-2026 tillsynsbegäran mail.docx", "A 15419-2026")</f>
        <v/>
      </c>
    </row>
    <row r="39" ht="15" customHeight="1">
      <c r="A39" t="inlineStr">
        <is>
          <t>A 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46290</v>
      </c>
      <c r="F39" t="inlineStr">
        <is>
          <t>JÖNKÖPINGS LÄN</t>
        </is>
      </c>
      <c r="G39" t="inlineStr">
        <is>
          <t>EKSJÖ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HYPERLINK("https://klasma.github.io/Logging_0686/artfynd/A 58-2023 artfynd.xlsx", "A 58-2023")</f>
        <v/>
      </c>
      <c r="X39">
        <f>HYPERLINK("https://klasma.github.io/Logging_0686/kartor/A 58-2023 karta.png", "A 58-2023")</f>
        <v/>
      </c>
      <c r="Y39">
        <f>HYPERLINK("https://klasma.github.io/Logging_0686/kartor_geotiff/A 58-2023 georefererad karta.tif", "A 58-2023")</f>
        <v/>
      </c>
      <c r="AA39">
        <f>HYPERLINK("https://klasma.github.io/Logging_0686/klagomål/A 58-2023 FSC-klagomål.docx", "A 58-2023")</f>
        <v/>
      </c>
      <c r="AB39">
        <f>HYPERLINK("https://klasma.github.io/Logging_0686/klagomålsmail/A 58-2023 FSC-klagomål mail.docx", "A 58-2023")</f>
        <v/>
      </c>
      <c r="AC39">
        <f>HYPERLINK("https://klasma.github.io/Logging_0686/tillsyn/A 58-2023 tillsynsbegäran.docx", "A 58-2023")</f>
        <v/>
      </c>
      <c r="AD39">
        <f>HYPERLINK("https://klasma.github.io/Logging_0686/tillsynsmail/A 58-2023 tillsynsbegäran mail.docx", "A 58-2023")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46290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4964-2023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46290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HYPERLINK("https://klasma.github.io/Logging_0686/artfynd/A 4964-2023 artfynd.xlsx", "A 4964-2023")</f>
        <v/>
      </c>
      <c r="X41">
        <f>HYPERLINK("https://klasma.github.io/Logging_0686/kartor/A 4964-2023 karta.png", "A 4964-2023")</f>
        <v/>
      </c>
      <c r="Y41">
        <f>HYPERLINK("https://klasma.github.io/Logging_0686/kartor_geotiff/A 4964-2023 georefererad karta.tif", "A 4964-2023")</f>
        <v/>
      </c>
      <c r="AA41">
        <f>HYPERLINK("https://klasma.github.io/Logging_0686/klagomål/A 4964-2023 FSC-klagomål.docx", "A 4964-2023")</f>
        <v/>
      </c>
      <c r="AB41">
        <f>HYPERLINK("https://klasma.github.io/Logging_0686/klagomålsmail/A 4964-2023 FSC-klagomål mail.docx", "A 4964-2023")</f>
        <v/>
      </c>
      <c r="AC41">
        <f>HYPERLINK("https://klasma.github.io/Logging_0686/tillsyn/A 4964-2023 tillsynsbegäran.docx", "A 4964-2023")</f>
        <v/>
      </c>
      <c r="AD41">
        <f>HYPERLINK("https://klasma.github.io/Logging_0686/tillsynsmail/A 4964-2023 tillsynsbegäran mail.docx", "A 4964-2023")</f>
        <v/>
      </c>
    </row>
    <row r="42" ht="15" customHeight="1">
      <c r="A42" t="inlineStr">
        <is>
          <t>A 18327-2024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45422</v>
      </c>
      <c r="E42" s="1" t="n">
        <v>46290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Dvärgbägarlav</t>
        </is>
      </c>
      <c r="W42">
        <f>HYPERLINK("https://klasma.github.io/Logging_0686/artfynd/A 18327-2024 artfynd.xlsx", "A 18327-2024")</f>
        <v/>
      </c>
      <c r="X42">
        <f>HYPERLINK("https://klasma.github.io/Logging_0686/kartor/A 18327-2024 karta.png", "A 18327-2024")</f>
        <v/>
      </c>
      <c r="Y42">
        <f>HYPERLINK("https://klasma.github.io/Logging_0686/kartor_geotiff/A 18327-2024 georefererad karta.tif", "A 18327-2024")</f>
        <v/>
      </c>
      <c r="AA42">
        <f>HYPERLINK("https://klasma.github.io/Logging_0686/klagomål/A 18327-2024 FSC-klagomål.docx", "A 18327-2024")</f>
        <v/>
      </c>
      <c r="AB42">
        <f>HYPERLINK("https://klasma.github.io/Logging_0686/klagomålsmail/A 18327-2024 FSC-klagomål mail.docx", "A 18327-2024")</f>
        <v/>
      </c>
      <c r="AC42">
        <f>HYPERLINK("https://klasma.github.io/Logging_0686/tillsyn/A 18327-2024 tillsynsbegäran.docx", "A 18327-2024")</f>
        <v/>
      </c>
      <c r="AD42">
        <f>HYPERLINK("https://klasma.github.io/Logging_0686/tillsynsmail/A 18327-2024 tillsynsbegäran mail.docx", "A 18327-2024")</f>
        <v/>
      </c>
    </row>
    <row r="43" ht="15" customHeight="1">
      <c r="A43" t="inlineStr">
        <is>
          <t>A 5519-2024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45334</v>
      </c>
      <c r="E43" s="1" t="n">
        <v>46290</v>
      </c>
      <c r="F43" t="inlineStr">
        <is>
          <t>JÖNKÖPINGS LÄN</t>
        </is>
      </c>
      <c r="G43" t="inlineStr">
        <is>
          <t>EKSJÖ</t>
        </is>
      </c>
      <c r="H43" t="inlineStr">
        <is>
          <t>Kommuner</t>
        </is>
      </c>
      <c r="I43" t="n">
        <v>7.2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HYPERLINK("https://klasma.github.io/Logging_0686/artfynd/A 5519-2024 artfynd.xlsx", "A 5519-2024")</f>
        <v/>
      </c>
      <c r="X43">
        <f>HYPERLINK("https://klasma.github.io/Logging_0686/kartor/A 5519-2024 karta.png", "A 5519-2024")</f>
        <v/>
      </c>
      <c r="Y43">
        <f>HYPERLINK("https://klasma.github.io/Logging_0686/kartor_geotiff/A 5519-2024 georefererad karta.tif", "A 5519-2024")</f>
        <v/>
      </c>
      <c r="AA43">
        <f>HYPERLINK("https://klasma.github.io/Logging_0686/klagomål/A 5519-2024 FSC-klagomål.docx", "A 5519-2024")</f>
        <v/>
      </c>
      <c r="AB43">
        <f>HYPERLINK("https://klasma.github.io/Logging_0686/klagomålsmail/A 5519-2024 FSC-klagomål mail.docx", "A 5519-2024")</f>
        <v/>
      </c>
      <c r="AC43">
        <f>HYPERLINK("https://klasma.github.io/Logging_0686/tillsyn/A 5519-2024 tillsynsbegäran.docx", "A 5519-2024")</f>
        <v/>
      </c>
      <c r="AD43">
        <f>HYPERLINK("https://klasma.github.io/Logging_0686/tillsynsmail/A 5519-2024 tillsynsbegäran mail.docx", "A 5519-2024")</f>
        <v/>
      </c>
    </row>
    <row r="44" ht="15" customHeight="1">
      <c r="A44" t="inlineStr">
        <is>
          <t>A 38596-2026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46283</v>
      </c>
      <c r="E44" s="1" t="n">
        <v>46290</v>
      </c>
      <c r="F44" t="inlineStr">
        <is>
          <t>JÖNKÖPINGS LÄN</t>
        </is>
      </c>
      <c r="G44" t="inlineStr">
        <is>
          <t>EKSJÖ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HYPERLINK("https://klasma.github.io/Logging_0686/artfynd/A 38596-2026 artfynd.xlsx", "A 38596-2026")</f>
        <v/>
      </c>
      <c r="X44">
        <f>HYPERLINK("https://klasma.github.io/Logging_0686/kartor/A 38596-2026 karta.png", "A 38596-2026")</f>
        <v/>
      </c>
      <c r="Y44">
        <f>HYPERLINK("https://klasma.github.io/Logging_0686/kartor_geotiff/A 38596-2026 georefererad karta.tif", "A 38596-2026")</f>
        <v/>
      </c>
      <c r="AA44">
        <f>HYPERLINK("https://klasma.github.io/Logging_0686/klagomål/A 38596-2026 FSC-klagomål.docx", "A 38596-2026")</f>
        <v/>
      </c>
      <c r="AB44">
        <f>HYPERLINK("https://klasma.github.io/Logging_0686/klagomålsmail/A 38596-2026 FSC-klagomål mail.docx", "A 38596-2026")</f>
        <v/>
      </c>
      <c r="AC44">
        <f>HYPERLINK("https://klasma.github.io/Logging_0686/tillsyn/A 38596-2026 tillsynsbegäran.docx", "A 38596-2026")</f>
        <v/>
      </c>
      <c r="AD44">
        <f>HYPERLINK("https://klasma.github.io/Logging_0686/tillsynsmail/A 38596-2026 tillsynsbegäran mail.docx", "A 38596-2026")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46290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46290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46290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46290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46290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46290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46290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46290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46290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46290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46290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46290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46290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46290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46290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46290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46290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46290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46290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46290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46290</v>
      </c>
      <c r="F65" t="inlineStr">
        <is>
          <t>JÖNKÖPINGS LÄN</t>
        </is>
      </c>
      <c r="G65" t="inlineStr">
        <is>
          <t>EKSJÖ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46290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46290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46290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46290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46290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46290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46290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46290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46290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46290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46290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46290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73675-2021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46290</v>
      </c>
      <c r="F78" t="inlineStr">
        <is>
          <t>JÖNKÖPINGS LÄN</t>
        </is>
      </c>
      <c r="G78" t="inlineStr">
        <is>
          <t>EKSJÖ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46290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46290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46290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46290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46290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46290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46290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46290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46290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46290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46290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46290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46290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46290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46290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46290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46290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46290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46290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46290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46290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46290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44748</v>
      </c>
      <c r="E101" s="1" t="n">
        <v>46290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44630</v>
      </c>
      <c r="E102" s="1" t="n">
        <v>46290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46290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46290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46290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46290</v>
      </c>
      <c r="F106" t="inlineStr">
        <is>
          <t>JÖNKÖPINGS LÄN</t>
        </is>
      </c>
      <c r="G106" t="inlineStr">
        <is>
          <t>EKSJÖ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46290</v>
      </c>
      <c r="F107" t="inlineStr">
        <is>
          <t>JÖNKÖPINGS LÄN</t>
        </is>
      </c>
      <c r="G107" t="inlineStr">
        <is>
          <t>EKSJÖ</t>
        </is>
      </c>
      <c r="H107" t="inlineStr">
        <is>
          <t>Övriga Aktiebolag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44909</v>
      </c>
      <c r="E108" s="1" t="n">
        <v>46290</v>
      </c>
      <c r="F108" t="inlineStr">
        <is>
          <t>JÖNKÖPINGS LÄN</t>
        </is>
      </c>
      <c r="G108" t="inlineStr">
        <is>
          <t>EKSJÖ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44861</v>
      </c>
      <c r="E109" s="1" t="n">
        <v>46290</v>
      </c>
      <c r="F109" t="inlineStr">
        <is>
          <t>JÖNKÖPINGS LÄN</t>
        </is>
      </c>
      <c r="G109" t="inlineStr">
        <is>
          <t>EKSJÖ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45078</v>
      </c>
      <c r="E110" s="1" t="n">
        <v>46290</v>
      </c>
      <c r="F110" t="inlineStr">
        <is>
          <t>JÖNKÖPINGS LÄN</t>
        </is>
      </c>
      <c r="G110" t="inlineStr">
        <is>
          <t>EKSJÖ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13273-2023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45003</v>
      </c>
      <c r="E111" s="1" t="n">
        <v>46290</v>
      </c>
      <c r="F111" t="inlineStr">
        <is>
          <t>JÖNKÖPINGS LÄN</t>
        </is>
      </c>
      <c r="G111" t="inlineStr">
        <is>
          <t>EKSJÖ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44809</v>
      </c>
      <c r="E112" s="1" t="n">
        <v>46290</v>
      </c>
      <c r="F112" t="inlineStr">
        <is>
          <t>JÖNKÖPINGS LÄN</t>
        </is>
      </c>
      <c r="G112" t="inlineStr">
        <is>
          <t>EKSJÖ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45152</v>
      </c>
      <c r="E113" s="1" t="n">
        <v>46290</v>
      </c>
      <c r="F113" t="inlineStr">
        <is>
          <t>JÖNKÖPINGS LÄN</t>
        </is>
      </c>
      <c r="G113" t="inlineStr">
        <is>
          <t>EKSJÖ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46290</v>
      </c>
      <c r="F114" t="inlineStr">
        <is>
          <t>JÖNKÖPINGS LÄN</t>
        </is>
      </c>
      <c r="G114" t="inlineStr">
        <is>
          <t>EKSJÖ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44940</v>
      </c>
      <c r="E115" s="1" t="n">
        <v>46290</v>
      </c>
      <c r="F115" t="inlineStr">
        <is>
          <t>JÖNKÖPINGS LÄN</t>
        </is>
      </c>
      <c r="G115" t="inlineStr">
        <is>
          <t>EKSJÖ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46290</v>
      </c>
      <c r="F116" t="inlineStr">
        <is>
          <t>JÖNKÖPINGS LÄN</t>
        </is>
      </c>
      <c r="G116" t="inlineStr">
        <is>
          <t>EKSJÖ</t>
        </is>
      </c>
      <c r="H116" t="inlineStr">
        <is>
          <t>Övriga Aktiebolag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46290</v>
      </c>
      <c r="F117" t="inlineStr">
        <is>
          <t>JÖNKÖPINGS LÄN</t>
        </is>
      </c>
      <c r="G117" t="inlineStr">
        <is>
          <t>EKSJÖ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46290</v>
      </c>
      <c r="F118" t="inlineStr">
        <is>
          <t>JÖNKÖPINGS LÄN</t>
        </is>
      </c>
      <c r="G118" t="inlineStr">
        <is>
          <t>EKSJÖ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45051</v>
      </c>
      <c r="E119" s="1" t="n">
        <v>46290</v>
      </c>
      <c r="F119" t="inlineStr">
        <is>
          <t>JÖNKÖPINGS LÄN</t>
        </is>
      </c>
      <c r="G119" t="inlineStr">
        <is>
          <t>EKSJÖ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45264</v>
      </c>
      <c r="E120" s="1" t="n">
        <v>46290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46290</v>
      </c>
      <c r="F121" t="inlineStr">
        <is>
          <t>JÖNKÖPINGS LÄN</t>
        </is>
      </c>
      <c r="G121" t="inlineStr">
        <is>
          <t>EKSJÖ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46290</v>
      </c>
      <c r="F122" t="inlineStr">
        <is>
          <t>JÖNKÖPINGS LÄN</t>
        </is>
      </c>
      <c r="G122" t="inlineStr">
        <is>
          <t>EKSJÖ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46290</v>
      </c>
      <c r="F123" t="inlineStr">
        <is>
          <t>JÖNKÖPINGS LÄN</t>
        </is>
      </c>
      <c r="G123" t="inlineStr">
        <is>
          <t>EKSJÖ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45345</v>
      </c>
      <c r="E124" s="1" t="n">
        <v>46290</v>
      </c>
      <c r="F124" t="inlineStr">
        <is>
          <t>JÖNKÖPINGS LÄN</t>
        </is>
      </c>
      <c r="G124" t="inlineStr">
        <is>
          <t>EKSJÖ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46290</v>
      </c>
      <c r="F125" t="inlineStr">
        <is>
          <t>JÖNKÖPINGS LÄN</t>
        </is>
      </c>
      <c r="G125" t="inlineStr">
        <is>
          <t>EKSJÖ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34098-2024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45523</v>
      </c>
      <c r="E126" s="1" t="n">
        <v>46290</v>
      </c>
      <c r="F126" t="inlineStr">
        <is>
          <t>JÖNKÖPINGS LÄN</t>
        </is>
      </c>
      <c r="G126" t="inlineStr">
        <is>
          <t>EKSJÖ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45544</v>
      </c>
      <c r="E127" s="1" t="n">
        <v>46290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46290</v>
      </c>
      <c r="F128" t="inlineStr">
        <is>
          <t>JÖNKÖPINGS LÄN</t>
        </is>
      </c>
      <c r="G128" t="inlineStr">
        <is>
          <t>EKSJÖ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44908</v>
      </c>
      <c r="E129" s="1" t="n">
        <v>46290</v>
      </c>
      <c r="F129" t="inlineStr">
        <is>
          <t>JÖNKÖPINGS LÄN</t>
        </is>
      </c>
      <c r="G129" t="inlineStr">
        <is>
          <t>EKSJÖ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46290</v>
      </c>
      <c r="F130" t="inlineStr">
        <is>
          <t>JÖNKÖPINGS LÄN</t>
        </is>
      </c>
      <c r="G130" t="inlineStr">
        <is>
          <t>EKSJÖ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47987-2023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46290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45408</v>
      </c>
      <c r="E132" s="1" t="n">
        <v>46290</v>
      </c>
      <c r="F132" t="inlineStr">
        <is>
          <t>JÖNKÖPINGS LÄN</t>
        </is>
      </c>
      <c r="G132" t="inlineStr">
        <is>
          <t>EKSJÖ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46290</v>
      </c>
      <c r="F133" t="inlineStr">
        <is>
          <t>JÖNKÖPINGS LÄN</t>
        </is>
      </c>
      <c r="G133" t="inlineStr">
        <is>
          <t>EKSJÖ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45355</v>
      </c>
      <c r="E134" s="1" t="n">
        <v>46290</v>
      </c>
      <c r="F134" t="inlineStr">
        <is>
          <t>JÖNKÖPINGS LÄN</t>
        </is>
      </c>
      <c r="G134" t="inlineStr">
        <is>
          <t>EKSJÖ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46290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46290</v>
      </c>
      <c r="F136" t="inlineStr">
        <is>
          <t>JÖNKÖPINGS LÄN</t>
        </is>
      </c>
      <c r="G136" t="inlineStr">
        <is>
          <t>EKSJÖ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46290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46290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46290</v>
      </c>
      <c r="F139" t="inlineStr">
        <is>
          <t>JÖNKÖPINGS LÄN</t>
        </is>
      </c>
      <c r="G139" t="inlineStr">
        <is>
          <t>EKSJÖ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46290</v>
      </c>
      <c r="F140" t="inlineStr">
        <is>
          <t>JÖNKÖPINGS LÄN</t>
        </is>
      </c>
      <c r="G140" t="inlineStr">
        <is>
          <t>EKSJÖ</t>
        </is>
      </c>
      <c r="I140" t="n">
        <v>8.300000000000001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46290</v>
      </c>
      <c r="F141" t="inlineStr">
        <is>
          <t>JÖNKÖPINGS LÄN</t>
        </is>
      </c>
      <c r="G141" t="inlineStr">
        <is>
          <t>EKSJÖ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46290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46290</v>
      </c>
      <c r="F143" t="inlineStr">
        <is>
          <t>JÖNKÖPINGS LÄN</t>
        </is>
      </c>
      <c r="G143" t="inlineStr">
        <is>
          <t>EKSJÖ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46290</v>
      </c>
      <c r="F144" t="inlineStr">
        <is>
          <t>JÖNKÖPINGS LÄN</t>
        </is>
      </c>
      <c r="G144" t="inlineStr">
        <is>
          <t>EKSJÖ</t>
        </is>
      </c>
      <c r="H144" t="inlineStr">
        <is>
          <t>Övriga Aktiebolag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44888</v>
      </c>
      <c r="E145" s="1" t="n">
        <v>46290</v>
      </c>
      <c r="F145" t="inlineStr">
        <is>
          <t>JÖNKÖPINGS LÄN</t>
        </is>
      </c>
      <c r="G145" t="inlineStr">
        <is>
          <t>EKSJÖ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46290</v>
      </c>
      <c r="F146" t="inlineStr">
        <is>
          <t>JÖNKÖPINGS LÄN</t>
        </is>
      </c>
      <c r="G146" t="inlineStr">
        <is>
          <t>EKSJÖ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45716</v>
      </c>
      <c r="E147" s="1" t="n">
        <v>46290</v>
      </c>
      <c r="F147" t="inlineStr">
        <is>
          <t>JÖNKÖPINGS LÄN</t>
        </is>
      </c>
      <c r="G147" t="inlineStr">
        <is>
          <t>EKSJÖ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46290</v>
      </c>
      <c r="F148" t="inlineStr">
        <is>
          <t>JÖNKÖPINGS LÄN</t>
        </is>
      </c>
      <c r="G148" t="inlineStr">
        <is>
          <t>EKSJÖ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46290</v>
      </c>
      <c r="F149" t="inlineStr">
        <is>
          <t>JÖNKÖPINGS LÄN</t>
        </is>
      </c>
      <c r="G149" t="inlineStr">
        <is>
          <t>EKSJÖ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45463</v>
      </c>
      <c r="E150" s="1" t="n">
        <v>46290</v>
      </c>
      <c r="F150" t="inlineStr">
        <is>
          <t>JÖNKÖPINGS LÄN</t>
        </is>
      </c>
      <c r="G150" t="inlineStr">
        <is>
          <t>EKSJÖ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45147</v>
      </c>
      <c r="E151" s="1" t="n">
        <v>46290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46290</v>
      </c>
      <c r="F152" t="inlineStr">
        <is>
          <t>JÖNKÖPINGS LÄN</t>
        </is>
      </c>
      <c r="G152" t="inlineStr">
        <is>
          <t>EKSJÖ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10045-2025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45719</v>
      </c>
      <c r="E153" s="1" t="n">
        <v>46290</v>
      </c>
      <c r="F153" t="inlineStr">
        <is>
          <t>JÖNKÖPINGS LÄN</t>
        </is>
      </c>
      <c r="G153" t="inlineStr">
        <is>
          <t>EKSJÖ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45601</v>
      </c>
      <c r="E154" s="1" t="n">
        <v>46290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46290</v>
      </c>
      <c r="F155" t="inlineStr">
        <is>
          <t>JÖNKÖPINGS LÄN</t>
        </is>
      </c>
      <c r="G155" t="inlineStr">
        <is>
          <t>EKSJÖ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45686</v>
      </c>
      <c r="E156" s="1" t="n">
        <v>46290</v>
      </c>
      <c r="F156" t="inlineStr">
        <is>
          <t>JÖNKÖPINGS LÄN</t>
        </is>
      </c>
      <c r="G156" t="inlineStr">
        <is>
          <t>EKSJÖ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45714</v>
      </c>
      <c r="E157" s="1" t="n">
        <v>46290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45251</v>
      </c>
      <c r="E158" s="1" t="n">
        <v>46290</v>
      </c>
      <c r="F158" t="inlineStr">
        <is>
          <t>JÖNKÖPINGS LÄN</t>
        </is>
      </c>
      <c r="G158" t="inlineStr">
        <is>
          <t>EKSJÖ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44574</v>
      </c>
      <c r="E159" s="1" t="n">
        <v>46290</v>
      </c>
      <c r="F159" t="inlineStr">
        <is>
          <t>JÖNKÖPINGS LÄN</t>
        </is>
      </c>
      <c r="G159" t="inlineStr">
        <is>
          <t>EKSJÖ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43411-2022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44834</v>
      </c>
      <c r="E160" s="1" t="n">
        <v>46290</v>
      </c>
      <c r="F160" t="inlineStr">
        <is>
          <t>JÖNKÖPINGS LÄN</t>
        </is>
      </c>
      <c r="G160" t="inlineStr">
        <is>
          <t>EKSJÖ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45664</v>
      </c>
      <c r="E161" s="1" t="n">
        <v>46290</v>
      </c>
      <c r="F161" t="inlineStr">
        <is>
          <t>JÖNKÖPINGS LÄN</t>
        </is>
      </c>
      <c r="G161" t="inlineStr">
        <is>
          <t>EKSJÖ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45418</v>
      </c>
      <c r="E162" s="1" t="n">
        <v>46290</v>
      </c>
      <c r="F162" t="inlineStr">
        <is>
          <t>JÖNKÖPINGS LÄN</t>
        </is>
      </c>
      <c r="G162" t="inlineStr">
        <is>
          <t>EKSJÖ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46290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45078</v>
      </c>
      <c r="E164" s="1" t="n">
        <v>46290</v>
      </c>
      <c r="F164" t="inlineStr">
        <is>
          <t>JÖNKÖPINGS LÄN</t>
        </is>
      </c>
      <c r="G164" t="inlineStr">
        <is>
          <t>EKSJÖ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46290</v>
      </c>
      <c r="F165" t="inlineStr">
        <is>
          <t>JÖNKÖPINGS LÄN</t>
        </is>
      </c>
      <c r="G165" t="inlineStr">
        <is>
          <t>EKSJÖ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47989-2023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45204</v>
      </c>
      <c r="E166" s="1" t="n">
        <v>46290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44803</v>
      </c>
      <c r="E167" s="1" t="n">
        <v>46290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44953</v>
      </c>
      <c r="E168" s="1" t="n">
        <v>46290</v>
      </c>
      <c r="F168" t="inlineStr">
        <is>
          <t>JÖNKÖPINGS LÄN</t>
        </is>
      </c>
      <c r="G168" t="inlineStr">
        <is>
          <t>EKSJÖ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46290</v>
      </c>
      <c r="F169" t="inlineStr">
        <is>
          <t>JÖNKÖPINGS LÄN</t>
        </is>
      </c>
      <c r="G169" t="inlineStr">
        <is>
          <t>EKSJÖ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41744-2023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45176</v>
      </c>
      <c r="E170" s="1" t="n">
        <v>46290</v>
      </c>
      <c r="F170" t="inlineStr">
        <is>
          <t>JÖNKÖPINGS LÄN</t>
        </is>
      </c>
      <c r="G170" t="inlineStr">
        <is>
          <t>EKSJÖ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45631</v>
      </c>
      <c r="E171" s="1" t="n">
        <v>46290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46290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46290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46290</v>
      </c>
      <c r="F174" t="inlineStr">
        <is>
          <t>JÖNKÖPINGS LÄN</t>
        </is>
      </c>
      <c r="G174" t="inlineStr">
        <is>
          <t>EKSJÖ</t>
        </is>
      </c>
      <c r="H174" t="inlineStr">
        <is>
          <t>Övriga Aktiebolag</t>
        </is>
      </c>
      <c r="I174" t="n">
        <v>17.5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46290</v>
      </c>
      <c r="F175" t="inlineStr">
        <is>
          <t>JÖNKÖPINGS LÄN</t>
        </is>
      </c>
      <c r="G175" t="inlineStr">
        <is>
          <t>EKSJÖ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44580</v>
      </c>
      <c r="E176" s="1" t="n">
        <v>46290</v>
      </c>
      <c r="F176" t="inlineStr">
        <is>
          <t>JÖNKÖPINGS LÄN</t>
        </is>
      </c>
      <c r="G176" t="inlineStr">
        <is>
          <t>EKSJÖ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45097</v>
      </c>
      <c r="E177" s="1" t="n">
        <v>46290</v>
      </c>
      <c r="F177" t="inlineStr">
        <is>
          <t>JÖNKÖPINGS LÄN</t>
        </is>
      </c>
      <c r="G177" t="inlineStr">
        <is>
          <t>EKSJÖ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46290</v>
      </c>
      <c r="F178" t="inlineStr">
        <is>
          <t>JÖNKÖPINGS LÄN</t>
        </is>
      </c>
      <c r="G178" t="inlineStr">
        <is>
          <t>EKSJÖ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45874</v>
      </c>
      <c r="E179" s="1" t="n">
        <v>46290</v>
      </c>
      <c r="F179" t="inlineStr">
        <is>
          <t>JÖNKÖPINGS LÄN</t>
        </is>
      </c>
      <c r="G179" t="inlineStr">
        <is>
          <t>EKSJÖ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45875</v>
      </c>
      <c r="E180" s="1" t="n">
        <v>46290</v>
      </c>
      <c r="F180" t="inlineStr">
        <is>
          <t>JÖNKÖPINGS LÄN</t>
        </is>
      </c>
      <c r="G180" t="inlineStr">
        <is>
          <t>EKSJÖ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45875</v>
      </c>
      <c r="E181" s="1" t="n">
        <v>46290</v>
      </c>
      <c r="F181" t="inlineStr">
        <is>
          <t>JÖNKÖPINGS LÄN</t>
        </is>
      </c>
      <c r="G181" t="inlineStr">
        <is>
          <t>EKSJÖ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45877</v>
      </c>
      <c r="E182" s="1" t="n">
        <v>46290</v>
      </c>
      <c r="F182" t="inlineStr">
        <is>
          <t>JÖNKÖPINGS LÄN</t>
        </is>
      </c>
      <c r="G182" t="inlineStr">
        <is>
          <t>EKSJÖ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46290</v>
      </c>
      <c r="F183" t="inlineStr">
        <is>
          <t>JÖNKÖPINGS LÄN</t>
        </is>
      </c>
      <c r="G183" t="inlineStr">
        <is>
          <t>EKSJÖ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46290</v>
      </c>
      <c r="F184" t="inlineStr">
        <is>
          <t>JÖNKÖPINGS LÄN</t>
        </is>
      </c>
      <c r="G184" t="inlineStr">
        <is>
          <t>EKSJÖ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45008</v>
      </c>
      <c r="E185" s="1" t="n">
        <v>46290</v>
      </c>
      <c r="F185" t="inlineStr">
        <is>
          <t>JÖNKÖPINGS LÄN</t>
        </is>
      </c>
      <c r="G185" t="inlineStr">
        <is>
          <t>EKSJÖ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45837</v>
      </c>
      <c r="E186" s="1" t="n">
        <v>46290</v>
      </c>
      <c r="F186" t="inlineStr">
        <is>
          <t>JÖNKÖPINGS LÄN</t>
        </is>
      </c>
      <c r="G186" t="inlineStr">
        <is>
          <t>EKSJÖ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45840</v>
      </c>
      <c r="E187" s="1" t="n">
        <v>46290</v>
      </c>
      <c r="F187" t="inlineStr">
        <is>
          <t>JÖNKÖPINGS LÄN</t>
        </is>
      </c>
      <c r="G187" t="inlineStr">
        <is>
          <t>EKSJÖ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46290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46290</v>
      </c>
      <c r="F189" t="inlineStr">
        <is>
          <t>JÖNKÖPINGS LÄN</t>
        </is>
      </c>
      <c r="G189" t="inlineStr">
        <is>
          <t>EKSJÖ</t>
        </is>
      </c>
      <c r="H189" t="inlineStr">
        <is>
          <t>Övriga Aktiebolag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46290</v>
      </c>
      <c r="F190" t="inlineStr">
        <is>
          <t>JÖNKÖPINGS LÄN</t>
        </is>
      </c>
      <c r="G190" t="inlineStr">
        <is>
          <t>EKSJÖ</t>
        </is>
      </c>
      <c r="H190" t="inlineStr">
        <is>
          <t>Sveaskog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46290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46290</v>
      </c>
      <c r="F192" t="inlineStr">
        <is>
          <t>JÖNKÖPINGS LÄN</t>
        </is>
      </c>
      <c r="G192" t="inlineStr">
        <is>
          <t>EKSJÖ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45315</v>
      </c>
      <c r="E193" s="1" t="n">
        <v>46290</v>
      </c>
      <c r="F193" t="inlineStr">
        <is>
          <t>JÖNKÖPINGS LÄN</t>
        </is>
      </c>
      <c r="G193" t="inlineStr">
        <is>
          <t>EKSJÖ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46290</v>
      </c>
      <c r="F194" t="inlineStr">
        <is>
          <t>JÖNKÖPINGS LÄN</t>
        </is>
      </c>
      <c r="G194" t="inlineStr">
        <is>
          <t>EKSJÖ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45762</v>
      </c>
      <c r="E195" s="1" t="n">
        <v>46290</v>
      </c>
      <c r="F195" t="inlineStr">
        <is>
          <t>JÖNKÖPINGS LÄN</t>
        </is>
      </c>
      <c r="G195" t="inlineStr">
        <is>
          <t>EKSJÖ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46290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45328</v>
      </c>
      <c r="E197" s="1" t="n">
        <v>46290</v>
      </c>
      <c r="F197" t="inlineStr">
        <is>
          <t>JÖNKÖPINGS LÄN</t>
        </is>
      </c>
      <c r="G197" t="inlineStr">
        <is>
          <t>EKSJÖ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46290</v>
      </c>
      <c r="F198" t="inlineStr">
        <is>
          <t>JÖNKÖPINGS LÄN</t>
        </is>
      </c>
      <c r="G198" t="inlineStr">
        <is>
          <t>EKSJÖ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46290</v>
      </c>
      <c r="F199" t="inlineStr">
        <is>
          <t>JÖNKÖPINGS LÄN</t>
        </is>
      </c>
      <c r="G199" t="inlineStr">
        <is>
          <t>EKSJÖ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46290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45911-2023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45195</v>
      </c>
      <c r="E201" s="1" t="n">
        <v>46290</v>
      </c>
      <c r="F201" t="inlineStr">
        <is>
          <t>JÖNKÖPINGS LÄN</t>
        </is>
      </c>
      <c r="G201" t="inlineStr">
        <is>
          <t>EKSJÖ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45837</v>
      </c>
      <c r="E202" s="1" t="n">
        <v>46290</v>
      </c>
      <c r="F202" t="inlineStr">
        <is>
          <t>JÖNKÖPINGS LÄN</t>
        </is>
      </c>
      <c r="G202" t="inlineStr">
        <is>
          <t>EKSJÖ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54292-2023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45232</v>
      </c>
      <c r="E203" s="1" t="n">
        <v>46290</v>
      </c>
      <c r="F203" t="inlineStr">
        <is>
          <t>JÖNKÖPINGS LÄN</t>
        </is>
      </c>
      <c r="G203" t="inlineStr">
        <is>
          <t>EKSJÖ</t>
        </is>
      </c>
      <c r="I203" t="n">
        <v>18.3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46290</v>
      </c>
      <c r="F204" t="inlineStr">
        <is>
          <t>JÖNKÖPINGS LÄN</t>
        </is>
      </c>
      <c r="G204" t="inlineStr">
        <is>
          <t>EKSJÖ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44781</v>
      </c>
      <c r="E205" s="1" t="n">
        <v>46290</v>
      </c>
      <c r="F205" t="inlineStr">
        <is>
          <t>JÖNKÖPINGS LÄN</t>
        </is>
      </c>
      <c r="G205" t="inlineStr">
        <is>
          <t>EKSJÖ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44781</v>
      </c>
      <c r="E206" s="1" t="n">
        <v>46290</v>
      </c>
      <c r="F206" t="inlineStr">
        <is>
          <t>JÖNKÖPINGS LÄN</t>
        </is>
      </c>
      <c r="G206" t="inlineStr">
        <is>
          <t>EKSJÖ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56322-2021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44477</v>
      </c>
      <c r="E207" s="1" t="n">
        <v>46290</v>
      </c>
      <c r="F207" t="inlineStr">
        <is>
          <t>JÖNKÖPINGS LÄN</t>
        </is>
      </c>
      <c r="G207" t="inlineStr">
        <is>
          <t>EKSJÖ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46290</v>
      </c>
      <c r="F208" t="inlineStr">
        <is>
          <t>JÖNKÖPINGS LÄN</t>
        </is>
      </c>
      <c r="G208" t="inlineStr">
        <is>
          <t>EKSJÖ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46290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46290</v>
      </c>
      <c r="F210" t="inlineStr">
        <is>
          <t>JÖNKÖPINGS LÄN</t>
        </is>
      </c>
      <c r="G210" t="inlineStr">
        <is>
          <t>EKSJÖ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46290</v>
      </c>
      <c r="F211" t="inlineStr">
        <is>
          <t>JÖNKÖPINGS LÄN</t>
        </is>
      </c>
      <c r="G211" t="inlineStr">
        <is>
          <t>EKSJÖ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46290</v>
      </c>
      <c r="F212" t="inlineStr">
        <is>
          <t>JÖNKÖPINGS LÄN</t>
        </is>
      </c>
      <c r="G212" t="inlineStr">
        <is>
          <t>EKSJÖ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46290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46290</v>
      </c>
      <c r="F214" t="inlineStr">
        <is>
          <t>JÖNKÖPINGS LÄN</t>
        </is>
      </c>
      <c r="G214" t="inlineStr">
        <is>
          <t>EKSJÖ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19469-2025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45770</v>
      </c>
      <c r="E215" s="1" t="n">
        <v>46290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46290</v>
      </c>
      <c r="F216" t="inlineStr">
        <is>
          <t>JÖNKÖPINGS LÄN</t>
        </is>
      </c>
      <c r="G216" t="inlineStr">
        <is>
          <t>EKSJÖ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44526-2025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45916</v>
      </c>
      <c r="E217" s="1" t="n">
        <v>46290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54292-2023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45232</v>
      </c>
      <c r="E218" s="1" t="n">
        <v>46290</v>
      </c>
      <c r="F218" t="inlineStr">
        <is>
          <t>JÖNKÖPINGS LÄN</t>
        </is>
      </c>
      <c r="G218" t="inlineStr">
        <is>
          <t>EKSJÖ</t>
        </is>
      </c>
      <c r="I218" t="n">
        <v>18.3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46290</v>
      </c>
      <c r="F219" t="inlineStr">
        <is>
          <t>JÖNKÖPINGS LÄN</t>
        </is>
      </c>
      <c r="G219" t="inlineStr">
        <is>
          <t>EKSJÖ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46918-2023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46290</v>
      </c>
      <c r="F220" t="inlineStr">
        <is>
          <t>JÖNKÖPINGS LÄN</t>
        </is>
      </c>
      <c r="G220" t="inlineStr">
        <is>
          <t>EKSJÖ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46290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46290</v>
      </c>
      <c r="F222" t="inlineStr">
        <is>
          <t>JÖNKÖPINGS LÄN</t>
        </is>
      </c>
      <c r="G222" t="inlineStr">
        <is>
          <t>EKSJÖ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46134-2025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46290</v>
      </c>
      <c r="F223" t="inlineStr">
        <is>
          <t>JÖNKÖPINGS LÄN</t>
        </is>
      </c>
      <c r="G223" t="inlineStr">
        <is>
          <t>EKSJÖ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46290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45334</v>
      </c>
      <c r="E225" s="1" t="n">
        <v>46290</v>
      </c>
      <c r="F225" t="inlineStr">
        <is>
          <t>JÖNKÖPINGS LÄN</t>
        </is>
      </c>
      <c r="G225" t="inlineStr">
        <is>
          <t>EKSJÖ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46290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45364</v>
      </c>
      <c r="E227" s="1" t="n">
        <v>46290</v>
      </c>
      <c r="F227" t="inlineStr">
        <is>
          <t>JÖNKÖPINGS LÄN</t>
        </is>
      </c>
      <c r="G227" t="inlineStr">
        <is>
          <t>EKSJÖ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44945</v>
      </c>
      <c r="E228" s="1" t="n">
        <v>46290</v>
      </c>
      <c r="F228" t="inlineStr">
        <is>
          <t>JÖNKÖPINGS LÄN</t>
        </is>
      </c>
      <c r="G228" t="inlineStr">
        <is>
          <t>EKSJÖ</t>
        </is>
      </c>
      <c r="H228" t="inlineStr">
        <is>
          <t>Övriga Aktiebolag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45338</v>
      </c>
      <c r="E229" s="1" t="n">
        <v>46290</v>
      </c>
      <c r="F229" t="inlineStr">
        <is>
          <t>JÖNKÖPINGS LÄN</t>
        </is>
      </c>
      <c r="G229" t="inlineStr">
        <is>
          <t>EKSJÖ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45757</v>
      </c>
      <c r="E230" s="1" t="n">
        <v>46290</v>
      </c>
      <c r="F230" t="inlineStr">
        <is>
          <t>JÖNKÖPINGS LÄN</t>
        </is>
      </c>
      <c r="G230" t="inlineStr">
        <is>
          <t>EKSJÖ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45222</v>
      </c>
      <c r="E231" s="1" t="n">
        <v>46290</v>
      </c>
      <c r="F231" t="inlineStr">
        <is>
          <t>JÖNKÖPINGS LÄN</t>
        </is>
      </c>
      <c r="G231" t="inlineStr">
        <is>
          <t>EKSJÖ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46290</v>
      </c>
      <c r="F232" t="inlineStr">
        <is>
          <t>JÖNKÖPINGS LÄN</t>
        </is>
      </c>
      <c r="G232" t="inlineStr">
        <is>
          <t>EKSJÖ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45391</v>
      </c>
      <c r="E233" s="1" t="n">
        <v>46290</v>
      </c>
      <c r="F233" t="inlineStr">
        <is>
          <t>JÖNKÖPINGS LÄN</t>
        </is>
      </c>
      <c r="G233" t="inlineStr">
        <is>
          <t>EKSJÖ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45334</v>
      </c>
      <c r="E234" s="1" t="n">
        <v>46290</v>
      </c>
      <c r="F234" t="inlineStr">
        <is>
          <t>JÖNKÖPINGS LÄN</t>
        </is>
      </c>
      <c r="G234" t="inlineStr">
        <is>
          <t>EKSJÖ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45842</v>
      </c>
      <c r="E235" s="1" t="n">
        <v>46290</v>
      </c>
      <c r="F235" t="inlineStr">
        <is>
          <t>JÖNKÖPINGS LÄN</t>
        </is>
      </c>
      <c r="G235" t="inlineStr">
        <is>
          <t>EKSJÖ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46290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45334</v>
      </c>
      <c r="E237" s="1" t="n">
        <v>46290</v>
      </c>
      <c r="F237" t="inlineStr">
        <is>
          <t>JÖNKÖPINGS LÄN</t>
        </is>
      </c>
      <c r="G237" t="inlineStr">
        <is>
          <t>EKSJÖ</t>
        </is>
      </c>
      <c r="H237" t="inlineStr">
        <is>
          <t>Kommuner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45334</v>
      </c>
      <c r="E238" s="1" t="n">
        <v>46290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46290</v>
      </c>
      <c r="F239" t="inlineStr">
        <is>
          <t>JÖNKÖPINGS LÄN</t>
        </is>
      </c>
      <c r="G239" t="inlineStr">
        <is>
          <t>EKSJÖ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45195</v>
      </c>
      <c r="E240" s="1" t="n">
        <v>46290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46290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49862-2025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45940</v>
      </c>
      <c r="E242" s="1" t="n">
        <v>46290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46290</v>
      </c>
      <c r="F243" t="inlineStr">
        <is>
          <t>JÖNKÖPINGS LÄN</t>
        </is>
      </c>
      <c r="G243" t="inlineStr">
        <is>
          <t>EKSJÖ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46290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50289-2025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45944</v>
      </c>
      <c r="E245" s="1" t="n">
        <v>46290</v>
      </c>
      <c r="F245" t="inlineStr">
        <is>
          <t>JÖNKÖPINGS LÄN</t>
        </is>
      </c>
      <c r="G245" t="inlineStr">
        <is>
          <t>EKSJÖ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46290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46290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45882</v>
      </c>
      <c r="E248" s="1" t="n">
        <v>46290</v>
      </c>
      <c r="F248" t="inlineStr">
        <is>
          <t>JÖNKÖPINGS LÄN</t>
        </is>
      </c>
      <c r="G248" t="inlineStr">
        <is>
          <t>EKSJÖ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46290</v>
      </c>
      <c r="F249" t="inlineStr">
        <is>
          <t>JÖNKÖPINGS LÄN</t>
        </is>
      </c>
      <c r="G249" t="inlineStr">
        <is>
          <t>EKSJÖ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46290</v>
      </c>
      <c r="F250" t="inlineStr">
        <is>
          <t>JÖNKÖPINGS LÄN</t>
        </is>
      </c>
      <c r="G250" t="inlineStr">
        <is>
          <t>EKSJÖ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46290</v>
      </c>
      <c r="F251" t="inlineStr">
        <is>
          <t>JÖNKÖPINGS LÄN</t>
        </is>
      </c>
      <c r="G251" t="inlineStr">
        <is>
          <t>EKSJÖ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46290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46290</v>
      </c>
      <c r="F253" t="inlineStr">
        <is>
          <t>JÖNKÖPINGS LÄN</t>
        </is>
      </c>
      <c r="G253" t="inlineStr">
        <is>
          <t>EKSJÖ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46290</v>
      </c>
      <c r="F254" t="inlineStr">
        <is>
          <t>JÖNKÖPINGS LÄN</t>
        </is>
      </c>
      <c r="G254" t="inlineStr">
        <is>
          <t>EKSJÖ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46290</v>
      </c>
      <c r="F255" t="inlineStr">
        <is>
          <t>JÖNKÖPINGS LÄN</t>
        </is>
      </c>
      <c r="G255" t="inlineStr">
        <is>
          <t>EKSJÖ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46290</v>
      </c>
      <c r="F256" t="inlineStr">
        <is>
          <t>JÖNKÖPINGS LÄN</t>
        </is>
      </c>
      <c r="G256" t="inlineStr">
        <is>
          <t>EKSJÖ</t>
        </is>
      </c>
      <c r="H256" t="inlineStr">
        <is>
          <t>Kyrkan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45334</v>
      </c>
      <c r="E257" s="1" t="n">
        <v>46290</v>
      </c>
      <c r="F257" t="inlineStr">
        <is>
          <t>JÖNKÖPINGS LÄN</t>
        </is>
      </c>
      <c r="G257" t="inlineStr">
        <is>
          <t>EKSJÖ</t>
        </is>
      </c>
      <c r="H257" t="inlineStr">
        <is>
          <t>Kommuner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45463</v>
      </c>
      <c r="E258" s="1" t="n">
        <v>46290</v>
      </c>
      <c r="F258" t="inlineStr">
        <is>
          <t>JÖNKÖPINGS LÄN</t>
        </is>
      </c>
      <c r="G258" t="inlineStr">
        <is>
          <t>EKSJÖ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45373</v>
      </c>
      <c r="E259" s="1" t="n">
        <v>46290</v>
      </c>
      <c r="F259" t="inlineStr">
        <is>
          <t>JÖNKÖPINGS LÄN</t>
        </is>
      </c>
      <c r="G259" t="inlineStr">
        <is>
          <t>EKSJÖ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45337</v>
      </c>
      <c r="E260" s="1" t="n">
        <v>46290</v>
      </c>
      <c r="F260" t="inlineStr">
        <is>
          <t>JÖNKÖPINGS LÄN</t>
        </is>
      </c>
      <c r="G260" t="inlineStr">
        <is>
          <t>EKSJÖ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44987</v>
      </c>
      <c r="E261" s="1" t="n">
        <v>46290</v>
      </c>
      <c r="F261" t="inlineStr">
        <is>
          <t>JÖNKÖPINGS LÄN</t>
        </is>
      </c>
      <c r="G261" t="inlineStr">
        <is>
          <t>EKSJÖ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56469-2021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44480</v>
      </c>
      <c r="E262" s="1" t="n">
        <v>46290</v>
      </c>
      <c r="F262" t="inlineStr">
        <is>
          <t>JÖNKÖPINGS LÄN</t>
        </is>
      </c>
      <c r="G262" t="inlineStr">
        <is>
          <t>EKSJÖ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46290</v>
      </c>
      <c r="F263" t="inlineStr">
        <is>
          <t>JÖNKÖPINGS LÄN</t>
        </is>
      </c>
      <c r="G263" t="inlineStr">
        <is>
          <t>EKSJÖ</t>
        </is>
      </c>
      <c r="H263" t="inlineStr">
        <is>
          <t>Kyrkan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46290</v>
      </c>
      <c r="F264" t="inlineStr">
        <is>
          <t>JÖNKÖPINGS LÄN</t>
        </is>
      </c>
      <c r="G264" t="inlineStr">
        <is>
          <t>EKSJÖ</t>
        </is>
      </c>
      <c r="H264" t="inlineStr">
        <is>
          <t>Kyrkan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20480-2026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46140</v>
      </c>
      <c r="E265" s="1" t="n">
        <v>46290</v>
      </c>
      <c r="F265" t="inlineStr">
        <is>
          <t>JÖNKÖPINGS LÄN</t>
        </is>
      </c>
      <c r="G265" t="inlineStr">
        <is>
          <t>EKSJÖ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45677</v>
      </c>
      <c r="E266" s="1" t="n">
        <v>46290</v>
      </c>
      <c r="F266" t="inlineStr">
        <is>
          <t>JÖNKÖPINGS LÄN</t>
        </is>
      </c>
      <c r="G266" t="inlineStr">
        <is>
          <t>EKSJÖ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45666</v>
      </c>
      <c r="E267" s="1" t="n">
        <v>46290</v>
      </c>
      <c r="F267" t="inlineStr">
        <is>
          <t>JÖNKÖPINGS LÄN</t>
        </is>
      </c>
      <c r="G267" t="inlineStr">
        <is>
          <t>EKSJÖ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45680</v>
      </c>
      <c r="E268" s="1" t="n">
        <v>46290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11381-2022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44630</v>
      </c>
      <c r="E269" s="1" t="n">
        <v>46290</v>
      </c>
      <c r="F269" t="inlineStr">
        <is>
          <t>JÖNKÖPINGS LÄN</t>
        </is>
      </c>
      <c r="G269" t="inlineStr">
        <is>
          <t>EKSJÖ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46290</v>
      </c>
      <c r="F270" t="inlineStr">
        <is>
          <t>JÖNKÖPINGS LÄN</t>
        </is>
      </c>
      <c r="G270" t="inlineStr">
        <is>
          <t>EKSJÖ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64993-2023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45286</v>
      </c>
      <c r="E271" s="1" t="n">
        <v>46290</v>
      </c>
      <c r="F271" t="inlineStr">
        <is>
          <t>JÖNKÖPINGS LÄN</t>
        </is>
      </c>
      <c r="G271" t="inlineStr">
        <is>
          <t>EKSJÖ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45512</v>
      </c>
      <c r="E272" s="1" t="n">
        <v>46290</v>
      </c>
      <c r="F272" t="inlineStr">
        <is>
          <t>JÖNKÖPINGS LÄN</t>
        </is>
      </c>
      <c r="G272" t="inlineStr">
        <is>
          <t>EKSJÖ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46290</v>
      </c>
      <c r="F273" t="inlineStr">
        <is>
          <t>JÖNKÖPINGS LÄN</t>
        </is>
      </c>
      <c r="G273" t="inlineStr">
        <is>
          <t>EKSJÖ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46290</v>
      </c>
      <c r="F274" t="inlineStr">
        <is>
          <t>JÖNKÖPINGS LÄN</t>
        </is>
      </c>
      <c r="G274" t="inlineStr">
        <is>
          <t>EKSJÖ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44991</v>
      </c>
      <c r="E275" s="1" t="n">
        <v>46290</v>
      </c>
      <c r="F275" t="inlineStr">
        <is>
          <t>JÖNKÖPINGS LÄN</t>
        </is>
      </c>
      <c r="G275" t="inlineStr">
        <is>
          <t>EKSJÖ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46290</v>
      </c>
      <c r="F276" t="inlineStr">
        <is>
          <t>JÖNKÖPINGS LÄN</t>
        </is>
      </c>
      <c r="G276" t="inlineStr">
        <is>
          <t>EKSJÖ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46290</v>
      </c>
      <c r="F277" t="inlineStr">
        <is>
          <t>JÖNKÖPINGS LÄN</t>
        </is>
      </c>
      <c r="G277" t="inlineStr">
        <is>
          <t>EKSJÖ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25140-2023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45086</v>
      </c>
      <c r="E278" s="1" t="n">
        <v>46290</v>
      </c>
      <c r="F278" t="inlineStr">
        <is>
          <t>JÖNKÖPINGS LÄN</t>
        </is>
      </c>
      <c r="G278" t="inlineStr">
        <is>
          <t>EKSJÖ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46290</v>
      </c>
      <c r="F279" t="inlineStr">
        <is>
          <t>JÖNKÖPINGS LÄN</t>
        </is>
      </c>
      <c r="G279" t="inlineStr">
        <is>
          <t>EKSJÖ</t>
        </is>
      </c>
      <c r="H279" t="inlineStr">
        <is>
          <t>Kyrkan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46290</v>
      </c>
      <c r="F280" t="inlineStr">
        <is>
          <t>JÖNKÖPINGS LÄN</t>
        </is>
      </c>
      <c r="G280" t="inlineStr">
        <is>
          <t>EKSJÖ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12821-2024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45384</v>
      </c>
      <c r="E281" s="1" t="n">
        <v>46290</v>
      </c>
      <c r="F281" t="inlineStr">
        <is>
          <t>JÖNKÖPINGS LÄN</t>
        </is>
      </c>
      <c r="G281" t="inlineStr">
        <is>
          <t>EKSJÖ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45315</v>
      </c>
      <c r="E282" s="1" t="n">
        <v>46290</v>
      </c>
      <c r="F282" t="inlineStr">
        <is>
          <t>JÖNKÖPINGS LÄN</t>
        </is>
      </c>
      <c r="G282" t="inlineStr">
        <is>
          <t>EKSJÖ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46290</v>
      </c>
      <c r="F283" t="inlineStr">
        <is>
          <t>JÖNKÖPINGS LÄN</t>
        </is>
      </c>
      <c r="G283" t="inlineStr">
        <is>
          <t>EKSJÖ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46290</v>
      </c>
      <c r="F284" t="inlineStr">
        <is>
          <t>JÖNKÖPINGS LÄN</t>
        </is>
      </c>
      <c r="G284" t="inlineStr">
        <is>
          <t>EKSJÖ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45513</v>
      </c>
      <c r="E285" s="1" t="n">
        <v>46290</v>
      </c>
      <c r="F285" t="inlineStr">
        <is>
          <t>JÖNKÖPINGS LÄN</t>
        </is>
      </c>
      <c r="G285" t="inlineStr">
        <is>
          <t>EKSJÖ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46290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46290</v>
      </c>
      <c r="F287" t="inlineStr">
        <is>
          <t>JÖNKÖPINGS LÄN</t>
        </is>
      </c>
      <c r="G287" t="inlineStr">
        <is>
          <t>EKSJÖ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54470-2024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45617</v>
      </c>
      <c r="E288" s="1" t="n">
        <v>46290</v>
      </c>
      <c r="F288" t="inlineStr">
        <is>
          <t>JÖNKÖPINGS LÄN</t>
        </is>
      </c>
      <c r="G288" t="inlineStr">
        <is>
          <t>EKSJÖ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45706</v>
      </c>
      <c r="E289" s="1" t="n">
        <v>46290</v>
      </c>
      <c r="F289" t="inlineStr">
        <is>
          <t>JÖNKÖPINGS LÄN</t>
        </is>
      </c>
      <c r="G289" t="inlineStr">
        <is>
          <t>EKSJÖ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46290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46290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46290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65554-2021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44516</v>
      </c>
      <c r="E293" s="1" t="n">
        <v>46290</v>
      </c>
      <c r="F293" t="inlineStr">
        <is>
          <t>JÖNKÖPINGS LÄN</t>
        </is>
      </c>
      <c r="G293" t="inlineStr">
        <is>
          <t>EKSJÖ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46290</v>
      </c>
      <c r="F294" t="inlineStr">
        <is>
          <t>JÖNKÖPINGS LÄN</t>
        </is>
      </c>
      <c r="G294" t="inlineStr">
        <is>
          <t>EKSJÖ</t>
        </is>
      </c>
      <c r="H294" t="inlineStr">
        <is>
          <t>Övriga Aktiebolag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44917</v>
      </c>
      <c r="E295" s="1" t="n">
        <v>46290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45991</v>
      </c>
      <c r="E296" s="1" t="n">
        <v>46290</v>
      </c>
      <c r="F296" t="inlineStr">
        <is>
          <t>JÖNKÖPINGS LÄN</t>
        </is>
      </c>
      <c r="G296" t="inlineStr">
        <is>
          <t>EKSJÖ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46290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46012-2022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44846</v>
      </c>
      <c r="E298" s="1" t="n">
        <v>46290</v>
      </c>
      <c r="F298" t="inlineStr">
        <is>
          <t>JÖNKÖPINGS LÄN</t>
        </is>
      </c>
      <c r="G298" t="inlineStr">
        <is>
          <t>EKSJÖ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44846</v>
      </c>
      <c r="E299" s="1" t="n">
        <v>46290</v>
      </c>
      <c r="F299" t="inlineStr">
        <is>
          <t>JÖNKÖPINGS LÄN</t>
        </is>
      </c>
      <c r="G299" t="inlineStr">
        <is>
          <t>EKSJÖ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46290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46290</v>
      </c>
      <c r="F301" t="inlineStr">
        <is>
          <t>JÖNKÖPINGS LÄN</t>
        </is>
      </c>
      <c r="G301" t="inlineStr">
        <is>
          <t>EKSJÖ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63439-2025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46290</v>
      </c>
      <c r="F302" t="inlineStr">
        <is>
          <t>JÖNKÖPINGS LÄN</t>
        </is>
      </c>
      <c r="G302" t="inlineStr">
        <is>
          <t>EKSJÖ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44925</v>
      </c>
      <c r="E303" s="1" t="n">
        <v>46290</v>
      </c>
      <c r="F303" t="inlineStr">
        <is>
          <t>JÖNKÖPINGS LÄN</t>
        </is>
      </c>
      <c r="G303" t="inlineStr">
        <is>
          <t>EKSJÖ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45239</v>
      </c>
      <c r="E304" s="1" t="n">
        <v>46290</v>
      </c>
      <c r="F304" t="inlineStr">
        <is>
          <t>JÖNKÖPINGS LÄN</t>
        </is>
      </c>
      <c r="G304" t="inlineStr">
        <is>
          <t>EKSJÖ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46290</v>
      </c>
      <c r="F305" t="inlineStr">
        <is>
          <t>JÖNKÖPINGS LÄN</t>
        </is>
      </c>
      <c r="G305" t="inlineStr">
        <is>
          <t>EKSJÖ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45402</v>
      </c>
      <c r="E306" s="1" t="n">
        <v>46290</v>
      </c>
      <c r="F306" t="inlineStr">
        <is>
          <t>JÖNKÖPINGS LÄN</t>
        </is>
      </c>
      <c r="G306" t="inlineStr">
        <is>
          <t>EKSJÖ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8923-2025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46290</v>
      </c>
      <c r="F307" t="inlineStr">
        <is>
          <t>JÖNKÖPINGS LÄN</t>
        </is>
      </c>
      <c r="G307" t="inlineStr">
        <is>
          <t>EKSJÖ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45176</v>
      </c>
      <c r="E308" s="1" t="n">
        <v>46290</v>
      </c>
      <c r="F308" t="inlineStr">
        <is>
          <t>JÖNKÖPINGS LÄN</t>
        </is>
      </c>
      <c r="G308" t="inlineStr">
        <is>
          <t>EKSJÖ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46290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45314</v>
      </c>
      <c r="E310" s="1" t="n">
        <v>46290</v>
      </c>
      <c r="F310" t="inlineStr">
        <is>
          <t>JÖNKÖPINGS LÄN</t>
        </is>
      </c>
      <c r="G310" t="inlineStr">
        <is>
          <t>EKSJÖ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62958-2025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46290</v>
      </c>
      <c r="F311" t="inlineStr">
        <is>
          <t>JÖNKÖPINGS LÄN</t>
        </is>
      </c>
      <c r="G311" t="inlineStr">
        <is>
          <t>EKSJÖ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46290</v>
      </c>
      <c r="F312" t="inlineStr">
        <is>
          <t>JÖNKÖPINGS LÄN</t>
        </is>
      </c>
      <c r="G312" t="inlineStr">
        <is>
          <t>EKSJÖ</t>
        </is>
      </c>
      <c r="H312" t="inlineStr">
        <is>
          <t>Kommuner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46290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46290</v>
      </c>
      <c r="F314" t="inlineStr">
        <is>
          <t>JÖNKÖPINGS LÄN</t>
        </is>
      </c>
      <c r="G314" t="inlineStr">
        <is>
          <t>EKSJÖ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46290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45659</v>
      </c>
      <c r="E316" s="1" t="n">
        <v>46290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46290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34772-2023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45141</v>
      </c>
      <c r="E318" s="1" t="n">
        <v>46290</v>
      </c>
      <c r="F318" t="inlineStr">
        <is>
          <t>JÖNKÖPINGS LÄN</t>
        </is>
      </c>
      <c r="G318" t="inlineStr">
        <is>
          <t>EKSJÖ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63643-2025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46014</v>
      </c>
      <c r="E319" s="1" t="n">
        <v>46290</v>
      </c>
      <c r="F319" t="inlineStr">
        <is>
          <t>JÖNKÖPINGS LÄN</t>
        </is>
      </c>
      <c r="G319" t="inlineStr">
        <is>
          <t>EKSJÖ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60920-2025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45996</v>
      </c>
      <c r="E320" s="1" t="n">
        <v>46290</v>
      </c>
      <c r="F320" t="inlineStr">
        <is>
          <t>JÖNKÖPINGS LÄN</t>
        </is>
      </c>
      <c r="G320" t="inlineStr">
        <is>
          <t>EKSJÖ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46290</v>
      </c>
      <c r="F321" t="inlineStr">
        <is>
          <t>JÖNKÖPINGS LÄN</t>
        </is>
      </c>
      <c r="G321" t="inlineStr">
        <is>
          <t>EKSJÖ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46290</v>
      </c>
      <c r="F322" t="inlineStr">
        <is>
          <t>JÖNKÖPINGS LÄN</t>
        </is>
      </c>
      <c r="G322" t="inlineStr">
        <is>
          <t>EKSJÖ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46290</v>
      </c>
      <c r="F323" t="inlineStr">
        <is>
          <t>JÖNKÖPINGS LÄN</t>
        </is>
      </c>
      <c r="G323" t="inlineStr">
        <is>
          <t>EKSJÖ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46290</v>
      </c>
      <c r="F324" t="inlineStr">
        <is>
          <t>JÖNKÖPINGS LÄN</t>
        </is>
      </c>
      <c r="G324" t="inlineStr">
        <is>
          <t>EKSJÖ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46290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23535-2026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46290</v>
      </c>
      <c r="F326" t="inlineStr">
        <is>
          <t>JÖNKÖPINGS LÄN</t>
        </is>
      </c>
      <c r="G326" t="inlineStr">
        <is>
          <t>EKSJÖ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46290</v>
      </c>
      <c r="F327" t="inlineStr">
        <is>
          <t>JÖNKÖPINGS LÄN</t>
        </is>
      </c>
      <c r="G327" t="inlineStr">
        <is>
          <t>EKSJÖ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46290</v>
      </c>
      <c r="F328" t="inlineStr">
        <is>
          <t>JÖNKÖPINGS LÄN</t>
        </is>
      </c>
      <c r="G328" t="inlineStr">
        <is>
          <t>EKSJÖ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46290</v>
      </c>
      <c r="F329" t="inlineStr">
        <is>
          <t>JÖNKÖPINGS LÄN</t>
        </is>
      </c>
      <c r="G329" t="inlineStr">
        <is>
          <t>EKSJÖ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45232</v>
      </c>
      <c r="E330" s="1" t="n">
        <v>46290</v>
      </c>
      <c r="F330" t="inlineStr">
        <is>
          <t>JÖNKÖPINGS LÄN</t>
        </is>
      </c>
      <c r="G330" t="inlineStr">
        <is>
          <t>EKSJÖ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46290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46290</v>
      </c>
      <c r="F332" t="inlineStr">
        <is>
          <t>JÖNKÖPINGS LÄN</t>
        </is>
      </c>
      <c r="G332" t="inlineStr">
        <is>
          <t>EKSJÖ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46290</v>
      </c>
      <c r="F333" t="inlineStr">
        <is>
          <t>JÖNKÖPINGS LÄN</t>
        </is>
      </c>
      <c r="G333" t="inlineStr">
        <is>
          <t>EKSJÖ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46290</v>
      </c>
      <c r="F334" t="inlineStr">
        <is>
          <t>JÖNKÖPINGS LÄN</t>
        </is>
      </c>
      <c r="G334" t="inlineStr">
        <is>
          <t>EKSJÖ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45175</v>
      </c>
      <c r="E335" s="1" t="n">
        <v>46290</v>
      </c>
      <c r="F335" t="inlineStr">
        <is>
          <t>JÖNKÖPINGS LÄN</t>
        </is>
      </c>
      <c r="G335" t="inlineStr">
        <is>
          <t>EKSJÖ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46290</v>
      </c>
      <c r="F336" t="inlineStr">
        <is>
          <t>JÖNKÖPINGS LÄN</t>
        </is>
      </c>
      <c r="G336" t="inlineStr">
        <is>
          <t>EKSJÖ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46290</v>
      </c>
      <c r="F337" t="inlineStr">
        <is>
          <t>JÖNKÖPINGS LÄN</t>
        </is>
      </c>
      <c r="G337" t="inlineStr">
        <is>
          <t>EKSJÖ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46290</v>
      </c>
      <c r="F338" t="inlineStr">
        <is>
          <t>JÖNKÖPINGS LÄN</t>
        </is>
      </c>
      <c r="G338" t="inlineStr">
        <is>
          <t>EKSJÖ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46290</v>
      </c>
      <c r="F339" t="inlineStr">
        <is>
          <t>JÖNKÖPINGS LÄN</t>
        </is>
      </c>
      <c r="G339" t="inlineStr">
        <is>
          <t>EKSJÖ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46290</v>
      </c>
      <c r="F340" t="inlineStr">
        <is>
          <t>JÖNKÖPINGS LÄN</t>
        </is>
      </c>
      <c r="G340" t="inlineStr">
        <is>
          <t>EKSJÖ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46037</v>
      </c>
      <c r="E341" s="1" t="n">
        <v>46290</v>
      </c>
      <c r="F341" t="inlineStr">
        <is>
          <t>JÖNKÖPINGS LÄN</t>
        </is>
      </c>
      <c r="G341" t="inlineStr">
        <is>
          <t>EKSJÖ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46290</v>
      </c>
      <c r="F342" t="inlineStr">
        <is>
          <t>JÖNKÖPINGS LÄN</t>
        </is>
      </c>
      <c r="G342" t="inlineStr">
        <is>
          <t>EKSJÖ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46290</v>
      </c>
      <c r="F343" t="inlineStr">
        <is>
          <t>JÖNKÖPINGS LÄN</t>
        </is>
      </c>
      <c r="G343" t="inlineStr">
        <is>
          <t>EKSJÖ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46290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46290</v>
      </c>
      <c r="F345" t="inlineStr">
        <is>
          <t>JÖNKÖPINGS LÄN</t>
        </is>
      </c>
      <c r="G345" t="inlineStr">
        <is>
          <t>EKSJÖ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46290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45916</v>
      </c>
      <c r="E347" s="1" t="n">
        <v>46290</v>
      </c>
      <c r="F347" t="inlineStr">
        <is>
          <t>JÖNKÖPINGS LÄN</t>
        </is>
      </c>
      <c r="G347" t="inlineStr">
        <is>
          <t>EKSJÖ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46290</v>
      </c>
      <c r="F348" t="inlineStr">
        <is>
          <t>JÖNKÖPINGS LÄN</t>
        </is>
      </c>
      <c r="G348" t="inlineStr">
        <is>
          <t>EKSJÖ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45533</v>
      </c>
      <c r="E349" s="1" t="n">
        <v>46290</v>
      </c>
      <c r="F349" t="inlineStr">
        <is>
          <t>JÖNKÖPINGS LÄN</t>
        </is>
      </c>
      <c r="G349" t="inlineStr">
        <is>
          <t>EKSJÖ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32623-2022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44783</v>
      </c>
      <c r="E350" s="1" t="n">
        <v>46290</v>
      </c>
      <c r="F350" t="inlineStr">
        <is>
          <t>JÖNKÖPINGS LÄN</t>
        </is>
      </c>
      <c r="G350" t="inlineStr">
        <is>
          <t>EKSJÖ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46290</v>
      </c>
      <c r="F351" t="inlineStr">
        <is>
          <t>JÖNKÖPINGS LÄN</t>
        </is>
      </c>
      <c r="G351" t="inlineStr">
        <is>
          <t>EKSJÖ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45533</v>
      </c>
      <c r="E352" s="1" t="n">
        <v>46290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46290</v>
      </c>
      <c r="F353" t="inlineStr">
        <is>
          <t>JÖNKÖPINGS LÄN</t>
        </is>
      </c>
      <c r="G353" t="inlineStr">
        <is>
          <t>EKSJÖ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46290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20068-2023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45054</v>
      </c>
      <c r="E355" s="1" t="n">
        <v>46290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56805-2024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45628</v>
      </c>
      <c r="E356" s="1" t="n">
        <v>46290</v>
      </c>
      <c r="F356" t="inlineStr">
        <is>
          <t>JÖNKÖPINGS LÄN</t>
        </is>
      </c>
      <c r="G356" t="inlineStr">
        <is>
          <t>EKSJÖ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26706-2022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44739</v>
      </c>
      <c r="E357" s="1" t="n">
        <v>46290</v>
      </c>
      <c r="F357" t="inlineStr">
        <is>
          <t>JÖNKÖPINGS LÄN</t>
        </is>
      </c>
      <c r="G357" t="inlineStr">
        <is>
          <t>EKSJÖ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30931-2023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45113</v>
      </c>
      <c r="E358" s="1" t="n">
        <v>46290</v>
      </c>
      <c r="F358" t="inlineStr">
        <is>
          <t>JÖNKÖPINGS LÄN</t>
        </is>
      </c>
      <c r="G358" t="inlineStr">
        <is>
          <t>EKSJÖ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46290</v>
      </c>
      <c r="F359" t="inlineStr">
        <is>
          <t>JÖNKÖPINGS LÄN</t>
        </is>
      </c>
      <c r="G359" t="inlineStr">
        <is>
          <t>EKSJÖ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45523</v>
      </c>
      <c r="E360" s="1" t="n">
        <v>46290</v>
      </c>
      <c r="F360" t="inlineStr">
        <is>
          <t>JÖNKÖPINGS LÄN</t>
        </is>
      </c>
      <c r="G360" t="inlineStr">
        <is>
          <t>EKSJÖ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34045-2024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45523</v>
      </c>
      <c r="E361" s="1" t="n">
        <v>46290</v>
      </c>
      <c r="F361" t="inlineStr">
        <is>
          <t>JÖNKÖPINGS LÄN</t>
        </is>
      </c>
      <c r="G361" t="inlineStr">
        <is>
          <t>EKSJÖ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50287-2024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45600</v>
      </c>
      <c r="E362" s="1" t="n">
        <v>46290</v>
      </c>
      <c r="F362" t="inlineStr">
        <is>
          <t>JÖNKÖPINGS LÄN</t>
        </is>
      </c>
      <c r="G362" t="inlineStr">
        <is>
          <t>EKSJÖ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36042-2024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45533</v>
      </c>
      <c r="E363" s="1" t="n">
        <v>46290</v>
      </c>
      <c r="F363" t="inlineStr">
        <is>
          <t>JÖNKÖPINGS LÄN</t>
        </is>
      </c>
      <c r="G363" t="inlineStr">
        <is>
          <t>EKSJÖ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19468-2023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45049</v>
      </c>
      <c r="E364" s="1" t="n">
        <v>46290</v>
      </c>
      <c r="F364" t="inlineStr">
        <is>
          <t>JÖNKÖPINGS LÄN</t>
        </is>
      </c>
      <c r="G364" t="inlineStr">
        <is>
          <t>EKSJÖ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47390-2022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44853</v>
      </c>
      <c r="E365" s="1" t="n">
        <v>46290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46290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45714</v>
      </c>
      <c r="E367" s="1" t="n">
        <v>46290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44925</v>
      </c>
      <c r="E368" s="1" t="n">
        <v>46290</v>
      </c>
      <c r="F368" t="inlineStr">
        <is>
          <t>JÖNKÖPINGS LÄN</t>
        </is>
      </c>
      <c r="G368" t="inlineStr">
        <is>
          <t>EKSJÖ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46069</v>
      </c>
      <c r="E369" s="1" t="n">
        <v>46290</v>
      </c>
      <c r="F369" t="inlineStr">
        <is>
          <t>JÖNKÖPINGS LÄN</t>
        </is>
      </c>
      <c r="G369" t="inlineStr">
        <is>
          <t>EKSJÖ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49681-2023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45212</v>
      </c>
      <c r="E370" s="1" t="n">
        <v>46290</v>
      </c>
      <c r="F370" t="inlineStr">
        <is>
          <t>JÖNKÖPINGS LÄN</t>
        </is>
      </c>
      <c r="G370" t="inlineStr">
        <is>
          <t>EKSJÖ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45072</v>
      </c>
      <c r="E371" s="1" t="n">
        <v>46290</v>
      </c>
      <c r="F371" t="inlineStr">
        <is>
          <t>JÖNKÖPINGS LÄN</t>
        </is>
      </c>
      <c r="G371" t="inlineStr">
        <is>
          <t>EKSJÖ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46290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44685</v>
      </c>
      <c r="E373" s="1" t="n">
        <v>46290</v>
      </c>
      <c r="F373" t="inlineStr">
        <is>
          <t>JÖNKÖPINGS LÄN</t>
        </is>
      </c>
      <c r="G373" t="inlineStr">
        <is>
          <t>EKSJÖ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9388-2026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46290</v>
      </c>
      <c r="F374" t="inlineStr">
        <is>
          <t>JÖNKÖPINGS LÄN</t>
        </is>
      </c>
      <c r="G374" t="inlineStr">
        <is>
          <t>EKSJÖ</t>
        </is>
      </c>
      <c r="H374" t="inlineStr">
        <is>
          <t>Kommuner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46019-2022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44846</v>
      </c>
      <c r="E375" s="1" t="n">
        <v>46290</v>
      </c>
      <c r="F375" t="inlineStr">
        <is>
          <t>JÖNKÖPINGS LÄN</t>
        </is>
      </c>
      <c r="G375" t="inlineStr">
        <is>
          <t>EKSJÖ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46290</v>
      </c>
      <c r="F376" t="inlineStr">
        <is>
          <t>JÖNKÖPINGS LÄN</t>
        </is>
      </c>
      <c r="G376" t="inlineStr">
        <is>
          <t>EKSJÖ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18062-2024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45420</v>
      </c>
      <c r="E377" s="1" t="n">
        <v>46290</v>
      </c>
      <c r="F377" t="inlineStr">
        <is>
          <t>JÖNKÖPINGS LÄN</t>
        </is>
      </c>
      <c r="G377" t="inlineStr">
        <is>
          <t>EKSJÖ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45426</v>
      </c>
      <c r="E378" s="1" t="n">
        <v>46290</v>
      </c>
      <c r="F378" t="inlineStr">
        <is>
          <t>JÖNKÖPINGS LÄN</t>
        </is>
      </c>
      <c r="G378" t="inlineStr">
        <is>
          <t>EKSJÖ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36355-2022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44803</v>
      </c>
      <c r="E379" s="1" t="n">
        <v>46290</v>
      </c>
      <c r="F379" t="inlineStr">
        <is>
          <t>JÖNKÖPINGS LÄN</t>
        </is>
      </c>
      <c r="G379" t="inlineStr">
        <is>
          <t>EKSJÖ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58632-2023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45251</v>
      </c>
      <c r="E380" s="1" t="n">
        <v>46290</v>
      </c>
      <c r="F380" t="inlineStr">
        <is>
          <t>JÖNKÖPINGS LÄN</t>
        </is>
      </c>
      <c r="G380" t="inlineStr">
        <is>
          <t>EKSJÖ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45677</v>
      </c>
      <c r="E381" s="1" t="n">
        <v>46290</v>
      </c>
      <c r="F381" t="inlineStr">
        <is>
          <t>JÖNKÖPINGS LÄN</t>
        </is>
      </c>
      <c r="G381" t="inlineStr">
        <is>
          <t>EKSJÖ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45075</v>
      </c>
      <c r="E382" s="1" t="n">
        <v>46290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46290</v>
      </c>
      <c r="F383" t="inlineStr">
        <is>
          <t>JÖNKÖPINGS LÄN</t>
        </is>
      </c>
      <c r="G383" t="inlineStr">
        <is>
          <t>EKSJÖ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8172-2023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46290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46290</v>
      </c>
      <c r="F385" t="inlineStr">
        <is>
          <t>JÖNKÖPINGS LÄN</t>
        </is>
      </c>
      <c r="G385" t="inlineStr">
        <is>
          <t>EKSJÖ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46290</v>
      </c>
      <c r="F386" t="inlineStr">
        <is>
          <t>JÖNKÖPINGS LÄN</t>
        </is>
      </c>
      <c r="G386" t="inlineStr">
        <is>
          <t>EKSJÖ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46290</v>
      </c>
      <c r="F387" t="inlineStr">
        <is>
          <t>JÖNKÖPINGS LÄN</t>
        </is>
      </c>
      <c r="G387" t="inlineStr">
        <is>
          <t>EKSJÖ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46290</v>
      </c>
      <c r="F388" t="inlineStr">
        <is>
          <t>JÖNKÖPINGS LÄN</t>
        </is>
      </c>
      <c r="G388" t="inlineStr">
        <is>
          <t>EKSJÖ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46013-2022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44846</v>
      </c>
      <c r="E389" s="1" t="n">
        <v>46290</v>
      </c>
      <c r="F389" t="inlineStr">
        <is>
          <t>JÖNKÖPINGS LÄN</t>
        </is>
      </c>
      <c r="G389" t="inlineStr">
        <is>
          <t>EKSJÖ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46014-2022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44846</v>
      </c>
      <c r="E390" s="1" t="n">
        <v>46290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26222-2024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45468</v>
      </c>
      <c r="E391" s="1" t="n">
        <v>46290</v>
      </c>
      <c r="F391" t="inlineStr">
        <is>
          <t>JÖNKÖPINGS LÄN</t>
        </is>
      </c>
      <c r="G391" t="inlineStr">
        <is>
          <t>EKSJÖ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46100</v>
      </c>
      <c r="E392" s="1" t="n">
        <v>46290</v>
      </c>
      <c r="F392" t="inlineStr">
        <is>
          <t>JÖNKÖPINGS LÄN</t>
        </is>
      </c>
      <c r="G392" t="inlineStr">
        <is>
          <t>EKSJÖ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46290</v>
      </c>
      <c r="F393" t="inlineStr">
        <is>
          <t>JÖNKÖPINGS LÄN</t>
        </is>
      </c>
      <c r="G393" t="inlineStr">
        <is>
          <t>EKSJÖ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46182</v>
      </c>
      <c r="E394" s="1" t="n">
        <v>46290</v>
      </c>
      <c r="F394" t="inlineStr">
        <is>
          <t>JÖNKÖPINGS LÄN</t>
        </is>
      </c>
      <c r="G394" t="inlineStr">
        <is>
          <t>EKSJÖ</t>
        </is>
      </c>
      <c r="H394" t="inlineStr">
        <is>
          <t>Kyrkan</t>
        </is>
      </c>
      <c r="I394" t="n">
        <v>15.2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26405-2026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46290</v>
      </c>
      <c r="F395" t="inlineStr">
        <is>
          <t>JÖNKÖPINGS LÄN</t>
        </is>
      </c>
      <c r="G395" t="inlineStr">
        <is>
          <t>EKSJÖ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46290</v>
      </c>
      <c r="F396" t="inlineStr">
        <is>
          <t>JÖNKÖPINGS LÄN</t>
        </is>
      </c>
      <c r="G396" t="inlineStr">
        <is>
          <t>EKSJÖ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46184</v>
      </c>
      <c r="E397" s="1" t="n">
        <v>46290</v>
      </c>
      <c r="F397" t="inlineStr">
        <is>
          <t>JÖNKÖPINGS LÄN</t>
        </is>
      </c>
      <c r="G397" t="inlineStr">
        <is>
          <t>EKSJÖ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46184</v>
      </c>
      <c r="E398" s="1" t="n">
        <v>46290</v>
      </c>
      <c r="F398" t="inlineStr">
        <is>
          <t>JÖNKÖPINGS LÄN</t>
        </is>
      </c>
      <c r="G398" t="inlineStr">
        <is>
          <t>EKSJÖ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26650-2026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46184</v>
      </c>
      <c r="E399" s="1" t="n">
        <v>46290</v>
      </c>
      <c r="F399" t="inlineStr">
        <is>
          <t>JÖNKÖPINGS LÄN</t>
        </is>
      </c>
      <c r="G399" t="inlineStr">
        <is>
          <t>EKSJÖ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22456-2022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44713</v>
      </c>
      <c r="E400" s="1" t="n">
        <v>46290</v>
      </c>
      <c r="F400" t="inlineStr">
        <is>
          <t>JÖNKÖPINGS LÄN</t>
        </is>
      </c>
      <c r="G400" t="inlineStr">
        <is>
          <t>EKSJÖ</t>
        </is>
      </c>
      <c r="H400" t="inlineStr">
        <is>
          <t>Kyrkan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46290</v>
      </c>
      <c r="F401" t="inlineStr">
        <is>
          <t>JÖNKÖPINGS LÄN</t>
        </is>
      </c>
      <c r="G401" t="inlineStr">
        <is>
          <t>EKSJÖ</t>
        </is>
      </c>
      <c r="H401" t="inlineStr">
        <is>
          <t>Kommuner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15411-2026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46290</v>
      </c>
      <c r="F402" t="inlineStr">
        <is>
          <t>JÖNKÖPINGS LÄN</t>
        </is>
      </c>
      <c r="G402" t="inlineStr">
        <is>
          <t>EKSJÖ</t>
        </is>
      </c>
      <c r="H402" t="inlineStr">
        <is>
          <t>Kommuner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45308</v>
      </c>
      <c r="E403" s="1" t="n">
        <v>46290</v>
      </c>
      <c r="F403" t="inlineStr">
        <is>
          <t>JÖNKÖPINGS LÄN</t>
        </is>
      </c>
      <c r="G403" t="inlineStr">
        <is>
          <t>EKSJÖ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46290</v>
      </c>
      <c r="F404" t="inlineStr">
        <is>
          <t>JÖNKÖPINGS LÄN</t>
        </is>
      </c>
      <c r="G404" t="inlineStr">
        <is>
          <t>EKSJÖ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46290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46107</v>
      </c>
      <c r="E406" s="1" t="n">
        <v>46290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15767-2026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46107</v>
      </c>
      <c r="E407" s="1" t="n">
        <v>46290</v>
      </c>
      <c r="F407" t="inlineStr">
        <is>
          <t>JÖNKÖPINGS LÄN</t>
        </is>
      </c>
      <c r="G407" t="inlineStr">
        <is>
          <t>EKSJÖ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15754-2026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46107</v>
      </c>
      <c r="E408" s="1" t="n">
        <v>46290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45723</v>
      </c>
      <c r="E409" s="1" t="n">
        <v>46290</v>
      </c>
      <c r="F409" t="inlineStr">
        <is>
          <t>JÖNKÖPINGS LÄN</t>
        </is>
      </c>
      <c r="G409" t="inlineStr">
        <is>
          <t>EKSJÖ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46290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46112</v>
      </c>
      <c r="E411" s="1" t="n">
        <v>46290</v>
      </c>
      <c r="F411" t="inlineStr">
        <is>
          <t>JÖNKÖPINGS LÄN</t>
        </is>
      </c>
      <c r="G411" t="inlineStr">
        <is>
          <t>EKSJÖ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46290</v>
      </c>
      <c r="F412" t="inlineStr">
        <is>
          <t>JÖNKÖPINGS LÄN</t>
        </is>
      </c>
      <c r="G412" t="inlineStr">
        <is>
          <t>EKSJÖ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46290</v>
      </c>
      <c r="F413" t="inlineStr">
        <is>
          <t>JÖNKÖPINGS LÄN</t>
        </is>
      </c>
      <c r="G413" t="inlineStr">
        <is>
          <t>EKSJÖ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46290</v>
      </c>
      <c r="F414" t="inlineStr">
        <is>
          <t>JÖNKÖPINGS LÄN</t>
        </is>
      </c>
      <c r="G414" t="inlineStr">
        <is>
          <t>EKSJÖ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16885-2026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46113</v>
      </c>
      <c r="E415" s="1" t="n">
        <v>46290</v>
      </c>
      <c r="F415" t="inlineStr">
        <is>
          <t>JÖNKÖPINGS LÄN</t>
        </is>
      </c>
      <c r="G415" t="inlineStr">
        <is>
          <t>EKSJÖ</t>
        </is>
      </c>
      <c r="H415" t="inlineStr">
        <is>
          <t>Övriga Aktiebolag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46290</v>
      </c>
      <c r="F416" t="inlineStr">
        <is>
          <t>JÖNKÖPINGS LÄN</t>
        </is>
      </c>
      <c r="G416" t="inlineStr">
        <is>
          <t>EKSJÖ</t>
        </is>
      </c>
      <c r="H416" t="inlineStr">
        <is>
          <t>Övriga Aktiebolag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59734-2022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46290</v>
      </c>
      <c r="F417" t="inlineStr">
        <is>
          <t>JÖNKÖPINGS LÄN</t>
        </is>
      </c>
      <c r="G417" t="inlineStr">
        <is>
          <t>EKSJÖ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9058-2022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44615</v>
      </c>
      <c r="E418" s="1" t="n">
        <v>46290</v>
      </c>
      <c r="F418" t="inlineStr">
        <is>
          <t>JÖNKÖPINGS LÄN</t>
        </is>
      </c>
      <c r="G418" t="inlineStr">
        <is>
          <t>EKSJÖ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18520-2026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46127</v>
      </c>
      <c r="E419" s="1" t="n">
        <v>46290</v>
      </c>
      <c r="F419" t="inlineStr">
        <is>
          <t>JÖNKÖPINGS LÄN</t>
        </is>
      </c>
      <c r="G419" t="inlineStr">
        <is>
          <t>EKSJÖ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59955-2022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44909</v>
      </c>
      <c r="E420" s="1" t="n">
        <v>46290</v>
      </c>
      <c r="F420" t="inlineStr">
        <is>
          <t>JÖNKÖPINGS LÄN</t>
        </is>
      </c>
      <c r="G420" t="inlineStr">
        <is>
          <t>EKSJÖ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53053-2021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44467</v>
      </c>
      <c r="E421" s="1" t="n">
        <v>46290</v>
      </c>
      <c r="F421" t="inlineStr">
        <is>
          <t>JÖNKÖPINGS LÄN</t>
        </is>
      </c>
      <c r="G421" t="inlineStr">
        <is>
          <t>EKSJÖ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45161</v>
      </c>
      <c r="E422" s="1" t="n">
        <v>46290</v>
      </c>
      <c r="F422" t="inlineStr">
        <is>
          <t>JÖNKÖPINGS LÄN</t>
        </is>
      </c>
      <c r="G422" t="inlineStr">
        <is>
          <t>EKSJÖ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19095-2026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46290</v>
      </c>
      <c r="F423" t="inlineStr">
        <is>
          <t>JÖNKÖPINGS LÄN</t>
        </is>
      </c>
      <c r="G423" t="inlineStr">
        <is>
          <t>EKSJÖ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45224</v>
      </c>
      <c r="E424" s="1" t="n">
        <v>46290</v>
      </c>
      <c r="F424" t="inlineStr">
        <is>
          <t>JÖNKÖPINGS LÄN</t>
        </is>
      </c>
      <c r="G424" t="inlineStr">
        <is>
          <t>EKSJÖ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56689-2021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44481</v>
      </c>
      <c r="E425" s="1" t="n">
        <v>46290</v>
      </c>
      <c r="F425" t="inlineStr">
        <is>
          <t>JÖNKÖPINGS LÄN</t>
        </is>
      </c>
      <c r="G425" t="inlineStr">
        <is>
          <t>EKSJÖ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36873-2023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45154</v>
      </c>
      <c r="E426" s="1" t="n">
        <v>46290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7728-2025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45706</v>
      </c>
      <c r="E427" s="1" t="n">
        <v>46290</v>
      </c>
      <c r="F427" t="inlineStr">
        <is>
          <t>JÖNKÖPINGS LÄN</t>
        </is>
      </c>
      <c r="G427" t="inlineStr">
        <is>
          <t>EKSJÖ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45719</v>
      </c>
      <c r="E428" s="1" t="n">
        <v>46290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46290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28402-2026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46290</v>
      </c>
      <c r="F430" t="inlineStr">
        <is>
          <t>JÖNKÖPINGS LÄN</t>
        </is>
      </c>
      <c r="G430" t="inlineStr">
        <is>
          <t>EKSJÖ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46290</v>
      </c>
      <c r="F431" t="inlineStr">
        <is>
          <t>JÖNKÖPINGS LÄN</t>
        </is>
      </c>
      <c r="G431" t="inlineStr">
        <is>
          <t>EKSJÖ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20897-2022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44701</v>
      </c>
      <c r="E432" s="1" t="n">
        <v>46290</v>
      </c>
      <c r="F432" t="inlineStr">
        <is>
          <t>JÖNKÖPINGS LÄN</t>
        </is>
      </c>
      <c r="G432" t="inlineStr">
        <is>
          <t>EKSJÖ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46079</v>
      </c>
      <c r="E433" s="1" t="n">
        <v>46290</v>
      </c>
      <c r="F433" t="inlineStr">
        <is>
          <t>JÖNKÖPINGS LÄN</t>
        </is>
      </c>
      <c r="G433" t="inlineStr">
        <is>
          <t>EKSJÖ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45161</v>
      </c>
      <c r="E434" s="1" t="n">
        <v>46290</v>
      </c>
      <c r="F434" t="inlineStr">
        <is>
          <t>JÖNKÖPINGS LÄN</t>
        </is>
      </c>
      <c r="G434" t="inlineStr">
        <is>
          <t>EKSJÖ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46290</v>
      </c>
      <c r="F435" t="inlineStr">
        <is>
          <t>JÖNKÖPINGS LÄN</t>
        </is>
      </c>
      <c r="G435" t="inlineStr">
        <is>
          <t>EKSJÖ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45082</v>
      </c>
      <c r="E436" s="1" t="n">
        <v>46290</v>
      </c>
      <c r="F436" t="inlineStr">
        <is>
          <t>JÖNKÖPINGS LÄN</t>
        </is>
      </c>
      <c r="G436" t="inlineStr">
        <is>
          <t>EKSJÖ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29043-2026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46199</v>
      </c>
      <c r="E437" s="1" t="n">
        <v>46290</v>
      </c>
      <c r="F437" t="inlineStr">
        <is>
          <t>JÖNKÖPINGS LÄN</t>
        </is>
      </c>
      <c r="G437" t="inlineStr">
        <is>
          <t>EKSJÖ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45649</v>
      </c>
      <c r="E438" s="1" t="n">
        <v>46290</v>
      </c>
      <c r="F438" t="inlineStr">
        <is>
          <t>JÖNKÖPINGS LÄN</t>
        </is>
      </c>
      <c r="G438" t="inlineStr">
        <is>
          <t>EKSJÖ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45096</v>
      </c>
      <c r="E439" s="1" t="n">
        <v>46290</v>
      </c>
      <c r="F439" t="inlineStr">
        <is>
          <t>JÖNKÖPINGS LÄN</t>
        </is>
      </c>
      <c r="G439" t="inlineStr">
        <is>
          <t>EKSJÖ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54916-2023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45236</v>
      </c>
      <c r="E440" s="1" t="n">
        <v>46290</v>
      </c>
      <c r="F440" t="inlineStr">
        <is>
          <t>JÖNKÖPINGS LÄN</t>
        </is>
      </c>
      <c r="G440" t="inlineStr">
        <is>
          <t>EKSJÖ</t>
        </is>
      </c>
      <c r="H440" t="inlineStr">
        <is>
          <t>Övriga Aktiebolag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45537</v>
      </c>
      <c r="E441" s="1" t="n">
        <v>46290</v>
      </c>
      <c r="F441" t="inlineStr">
        <is>
          <t>JÖNKÖPINGS LÄN</t>
        </is>
      </c>
      <c r="G441" t="inlineStr">
        <is>
          <t>EKSJÖ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45278</v>
      </c>
      <c r="E442" s="1" t="n">
        <v>46290</v>
      </c>
      <c r="F442" t="inlineStr">
        <is>
          <t>JÖNKÖPINGS LÄN</t>
        </is>
      </c>
      <c r="G442" t="inlineStr">
        <is>
          <t>EKSJÖ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44966</v>
      </c>
      <c r="E443" s="1" t="n">
        <v>46290</v>
      </c>
      <c r="F443" t="inlineStr">
        <is>
          <t>JÖNKÖPINGS LÄN</t>
        </is>
      </c>
      <c r="G443" t="inlineStr">
        <is>
          <t>EKSJÖ</t>
        </is>
      </c>
      <c r="H443" t="inlineStr">
        <is>
          <t>Kyrkan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45160</v>
      </c>
      <c r="E444" s="1" t="n">
        <v>46290</v>
      </c>
      <c r="F444" t="inlineStr">
        <is>
          <t>JÖNKÖPINGS LÄN</t>
        </is>
      </c>
      <c r="G444" t="inlineStr">
        <is>
          <t>EKSJÖ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11007-2024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45370</v>
      </c>
      <c r="E445" s="1" t="n">
        <v>46290</v>
      </c>
      <c r="F445" t="inlineStr">
        <is>
          <t>JÖNKÖPINGS LÄN</t>
        </is>
      </c>
      <c r="G445" t="inlineStr">
        <is>
          <t>EKSJÖ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30362-2026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46209</v>
      </c>
      <c r="E446" s="1" t="n">
        <v>46290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46209</v>
      </c>
      <c r="E447" s="1" t="n">
        <v>46290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46290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21883-2023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45068</v>
      </c>
      <c r="E449" s="1" t="n">
        <v>46290</v>
      </c>
      <c r="F449" t="inlineStr">
        <is>
          <t>JÖNKÖPINGS LÄN</t>
        </is>
      </c>
      <c r="G449" t="inlineStr">
        <is>
          <t>EKSJÖ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46290</v>
      </c>
      <c r="F450" t="inlineStr">
        <is>
          <t>JÖNKÖPINGS LÄN</t>
        </is>
      </c>
      <c r="G450" t="inlineStr">
        <is>
          <t>EKSJÖ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71313-2021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44539</v>
      </c>
      <c r="E451" s="1" t="n">
        <v>46290</v>
      </c>
      <c r="F451" t="inlineStr">
        <is>
          <t>JÖNKÖPINGS LÄN</t>
        </is>
      </c>
      <c r="G451" t="inlineStr">
        <is>
          <t>EKSJÖ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30363-2026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46290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31332-2026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46212</v>
      </c>
      <c r="E453" s="1" t="n">
        <v>46290</v>
      </c>
      <c r="F453" t="inlineStr">
        <is>
          <t>JÖNKÖPINGS LÄN</t>
        </is>
      </c>
      <c r="G453" t="inlineStr">
        <is>
          <t>EKSJÖ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46290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46290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46290</v>
      </c>
      <c r="F456" t="inlineStr">
        <is>
          <t>JÖNKÖPINGS LÄN</t>
        </is>
      </c>
      <c r="G456" t="inlineStr">
        <is>
          <t>EKSJÖ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34535-2026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46290</v>
      </c>
      <c r="F457" t="inlineStr">
        <is>
          <t>JÖNKÖPINGS LÄN</t>
        </is>
      </c>
      <c r="G457" t="inlineStr">
        <is>
          <t>EKSJÖ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34534-2026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46290</v>
      </c>
      <c r="F458" t="inlineStr">
        <is>
          <t>JÖNKÖPINGS LÄN</t>
        </is>
      </c>
      <c r="G458" t="inlineStr">
        <is>
          <t>EKSJÖ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59254-2023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45253</v>
      </c>
      <c r="E459" s="1" t="n">
        <v>46290</v>
      </c>
      <c r="F459" t="inlineStr">
        <is>
          <t>JÖNKÖPINGS LÄN</t>
        </is>
      </c>
      <c r="G459" t="inlineStr">
        <is>
          <t>EKSJÖ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34352-2026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46290</v>
      </c>
      <c r="F460" t="inlineStr">
        <is>
          <t>JÖNKÖPINGS LÄN</t>
        </is>
      </c>
      <c r="G460" t="inlineStr">
        <is>
          <t>EKSJÖ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45493-2022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44845</v>
      </c>
      <c r="E461" s="1" t="n">
        <v>46290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46255</v>
      </c>
      <c r="E462" s="1" t="n">
        <v>46290</v>
      </c>
      <c r="F462" t="inlineStr">
        <is>
          <t>JÖNKÖPINGS LÄN</t>
        </is>
      </c>
      <c r="G462" t="inlineStr">
        <is>
          <t>EKSJÖ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46290</v>
      </c>
      <c r="F463" t="inlineStr">
        <is>
          <t>JÖNKÖPINGS LÄN</t>
        </is>
      </c>
      <c r="G463" t="inlineStr">
        <is>
          <t>EKSJÖ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33644-2022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46290</v>
      </c>
      <c r="F464" t="inlineStr">
        <is>
          <t>JÖNKÖPINGS LÄN</t>
        </is>
      </c>
      <c r="G464" t="inlineStr">
        <is>
          <t>EKSJÖ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19497-2025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45770</v>
      </c>
      <c r="E465" s="1" t="n">
        <v>46290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55817-2023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45239</v>
      </c>
      <c r="E466" s="1" t="n">
        <v>46290</v>
      </c>
      <c r="F466" t="inlineStr">
        <is>
          <t>JÖNKÖPINGS LÄN</t>
        </is>
      </c>
      <c r="G466" t="inlineStr">
        <is>
          <t>EKSJÖ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46290</v>
      </c>
      <c r="F467" t="inlineStr">
        <is>
          <t>JÖNKÖPINGS LÄN</t>
        </is>
      </c>
      <c r="G467" t="inlineStr">
        <is>
          <t>EKSJÖ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45334</v>
      </c>
      <c r="E468" s="1" t="n">
        <v>46290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45334</v>
      </c>
      <c r="E469" s="1" t="n">
        <v>46290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50165-2022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44865</v>
      </c>
      <c r="E470" s="1" t="n">
        <v>46290</v>
      </c>
      <c r="F470" t="inlineStr">
        <is>
          <t>JÖNKÖPINGS LÄN</t>
        </is>
      </c>
      <c r="G470" t="inlineStr">
        <is>
          <t>EKSJÖ</t>
        </is>
      </c>
      <c r="H470" t="inlineStr">
        <is>
          <t>Övriga Aktiebolag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46290</v>
      </c>
      <c r="F471" t="inlineStr">
        <is>
          <t>JÖNKÖPINGS LÄN</t>
        </is>
      </c>
      <c r="G471" t="inlineStr">
        <is>
          <t>EKSJÖ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29878-2023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45107</v>
      </c>
      <c r="E472" s="1" t="n">
        <v>46290</v>
      </c>
      <c r="F472" t="inlineStr">
        <is>
          <t>JÖNKÖPINGS LÄN</t>
        </is>
      </c>
      <c r="G472" t="inlineStr">
        <is>
          <t>EKSJÖ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45204</v>
      </c>
      <c r="E473" s="1" t="n">
        <v>46290</v>
      </c>
      <c r="F473" t="inlineStr">
        <is>
          <t>JÖNKÖPINGS LÄN</t>
        </is>
      </c>
      <c r="G473" t="inlineStr">
        <is>
          <t>EKSJÖ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45714</v>
      </c>
      <c r="E474" s="1" t="n">
        <v>46290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46290</v>
      </c>
      <c r="F475" t="inlineStr">
        <is>
          <t>JÖNKÖPINGS LÄN</t>
        </is>
      </c>
      <c r="G475" t="inlineStr">
        <is>
          <t>EKSJÖ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46290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41397-2024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46290</v>
      </c>
      <c r="F477" t="inlineStr">
        <is>
          <t>JÖNKÖPINGS LÄN</t>
        </is>
      </c>
      <c r="G477" t="inlineStr">
        <is>
          <t>EKSJÖ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35154-2026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46260</v>
      </c>
      <c r="E478" s="1" t="n">
        <v>46290</v>
      </c>
      <c r="F478" t="inlineStr">
        <is>
          <t>JÖNKÖPINGS LÄN</t>
        </is>
      </c>
      <c r="G478" t="inlineStr">
        <is>
          <t>EKSJÖ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45367-2024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45576</v>
      </c>
      <c r="E479" s="1" t="n">
        <v>46290</v>
      </c>
      <c r="F479" t="inlineStr">
        <is>
          <t>JÖNKÖPINGS LÄN</t>
        </is>
      </c>
      <c r="G479" t="inlineStr">
        <is>
          <t>EKSJÖ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59050-2021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44490</v>
      </c>
      <c r="E480" s="1" t="n">
        <v>46290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23535-2023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46290</v>
      </c>
      <c r="F481" t="inlineStr">
        <is>
          <t>JÖNKÖPINGS LÄN</t>
        </is>
      </c>
      <c r="G481" t="inlineStr">
        <is>
          <t>EKSJÖ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46290</v>
      </c>
      <c r="F482" t="inlineStr">
        <is>
          <t>JÖNKÖPINGS LÄN</t>
        </is>
      </c>
      <c r="G482" t="inlineStr">
        <is>
          <t>EKSJÖ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45372</v>
      </c>
      <c r="E483" s="1" t="n">
        <v>46290</v>
      </c>
      <c r="F483" t="inlineStr">
        <is>
          <t>JÖNKÖPINGS LÄN</t>
        </is>
      </c>
      <c r="G483" t="inlineStr">
        <is>
          <t>EKSJÖ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10345-2022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44623</v>
      </c>
      <c r="E484" s="1" t="n">
        <v>46290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45156</v>
      </c>
      <c r="E485" s="1" t="n">
        <v>46290</v>
      </c>
      <c r="F485" t="inlineStr">
        <is>
          <t>JÖNKÖPINGS LÄN</t>
        </is>
      </c>
      <c r="G485" t="inlineStr">
        <is>
          <t>EKSJÖ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45071</v>
      </c>
      <c r="E486" s="1" t="n">
        <v>46290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59905-2022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44908</v>
      </c>
      <c r="E487" s="1" t="n">
        <v>46290</v>
      </c>
      <c r="F487" t="inlineStr">
        <is>
          <t>JÖNKÖPINGS LÄN</t>
        </is>
      </c>
      <c r="G487" t="inlineStr">
        <is>
          <t>EKSJÖ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13833-2024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45391</v>
      </c>
      <c r="E488" s="1" t="n">
        <v>46290</v>
      </c>
      <c r="F488" t="inlineStr">
        <is>
          <t>JÖNKÖPINGS LÄN</t>
        </is>
      </c>
      <c r="G488" t="inlineStr">
        <is>
          <t>EKSJÖ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44581</v>
      </c>
      <c r="E489" s="1" t="n">
        <v>46290</v>
      </c>
      <c r="F489" t="inlineStr">
        <is>
          <t>JÖNKÖPINGS LÄN</t>
        </is>
      </c>
      <c r="G489" t="inlineStr">
        <is>
          <t>EKSJÖ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30527-2023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45111</v>
      </c>
      <c r="E490" s="1" t="n">
        <v>46290</v>
      </c>
      <c r="F490" t="inlineStr">
        <is>
          <t>JÖNKÖPINGS LÄN</t>
        </is>
      </c>
      <c r="G490" t="inlineStr">
        <is>
          <t>EKSJÖ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44600</v>
      </c>
      <c r="E491" s="1" t="n">
        <v>46290</v>
      </c>
      <c r="F491" t="inlineStr">
        <is>
          <t>JÖNKÖPINGS LÄN</t>
        </is>
      </c>
      <c r="G491" t="inlineStr">
        <is>
          <t>EKSJÖ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45715</v>
      </c>
      <c r="E492" s="1" t="n">
        <v>46290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17030-2024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45411</v>
      </c>
      <c r="E493" s="1" t="n">
        <v>46290</v>
      </c>
      <c r="F493" t="inlineStr">
        <is>
          <t>JÖNKÖPINGS LÄN</t>
        </is>
      </c>
      <c r="G493" t="inlineStr">
        <is>
          <t>EKSJÖ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49919-2023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45214</v>
      </c>
      <c r="E494" s="1" t="n">
        <v>46290</v>
      </c>
      <c r="F494" t="inlineStr">
        <is>
          <t>JÖNKÖPINGS LÄN</t>
        </is>
      </c>
      <c r="G494" t="inlineStr">
        <is>
          <t>EKSJÖ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45300</v>
      </c>
      <c r="E495" s="1" t="n">
        <v>46290</v>
      </c>
      <c r="F495" t="inlineStr">
        <is>
          <t>JÖNKÖPINGS LÄN</t>
        </is>
      </c>
      <c r="G495" t="inlineStr">
        <is>
          <t>EKSJÖ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28024-2022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44746</v>
      </c>
      <c r="E496" s="1" t="n">
        <v>46290</v>
      </c>
      <c r="F496" t="inlineStr">
        <is>
          <t>JÖNKÖPINGS LÄN</t>
        </is>
      </c>
      <c r="G496" t="inlineStr">
        <is>
          <t>EKSJÖ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45300</v>
      </c>
      <c r="E497" s="1" t="n">
        <v>46290</v>
      </c>
      <c r="F497" t="inlineStr">
        <is>
          <t>JÖNKÖPINGS LÄN</t>
        </is>
      </c>
      <c r="G497" t="inlineStr">
        <is>
          <t>EKSJÖ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58095-2024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45632</v>
      </c>
      <c r="E498" s="1" t="n">
        <v>46290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48740-2023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45208</v>
      </c>
      <c r="E499" s="1" t="n">
        <v>46290</v>
      </c>
      <c r="F499" t="inlineStr">
        <is>
          <t>JÖNKÖPINGS LÄN</t>
        </is>
      </c>
      <c r="G499" t="inlineStr">
        <is>
          <t>EKSJÖ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51020-2023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46290</v>
      </c>
      <c r="F500" t="inlineStr">
        <is>
          <t>JÖNKÖPINGS LÄN</t>
        </is>
      </c>
      <c r="G500" t="inlineStr">
        <is>
          <t>EKSJÖ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37074-2026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46273</v>
      </c>
      <c r="E501" s="1" t="n">
        <v>46290</v>
      </c>
      <c r="F501" t="inlineStr">
        <is>
          <t>JÖNKÖPINGS LÄN</t>
        </is>
      </c>
      <c r="G501" t="inlineStr">
        <is>
          <t>EKSJÖ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45334</v>
      </c>
      <c r="E502" s="1" t="n">
        <v>46290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46577-2022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44848</v>
      </c>
      <c r="E503" s="1" t="n">
        <v>46290</v>
      </c>
      <c r="F503" t="inlineStr">
        <is>
          <t>JÖNKÖPINGS LÄN</t>
        </is>
      </c>
      <c r="G503" t="inlineStr">
        <is>
          <t>EKSJÖ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36503-2024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45537</v>
      </c>
      <c r="E504" s="1" t="n">
        <v>46290</v>
      </c>
      <c r="F504" t="inlineStr">
        <is>
          <t>JÖNKÖPINGS LÄN</t>
        </is>
      </c>
      <c r="G504" t="inlineStr">
        <is>
          <t>EKSJÖ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46272</v>
      </c>
      <c r="E505" s="1" t="n">
        <v>46290</v>
      </c>
      <c r="F505" t="inlineStr">
        <is>
          <t>JÖNKÖPINGS LÄN</t>
        </is>
      </c>
      <c r="G505" t="inlineStr">
        <is>
          <t>EKSJÖ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9292-2025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46290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45714</v>
      </c>
      <c r="E507" s="1" t="n">
        <v>46290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46290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46290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9404-2025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46290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47204-2022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44851</v>
      </c>
      <c r="E511" s="1" t="n">
        <v>46290</v>
      </c>
      <c r="F511" t="inlineStr">
        <is>
          <t>JÖNKÖPINGS LÄN</t>
        </is>
      </c>
      <c r="G511" t="inlineStr">
        <is>
          <t>EKSJÖ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46290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37270-2026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46274</v>
      </c>
      <c r="E513" s="1" t="n">
        <v>46290</v>
      </c>
      <c r="F513" t="inlineStr">
        <is>
          <t>JÖNKÖPINGS LÄN</t>
        </is>
      </c>
      <c r="G513" t="inlineStr">
        <is>
          <t>EKSJÖ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4929-2024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45329</v>
      </c>
      <c r="E514" s="1" t="n">
        <v>46290</v>
      </c>
      <c r="F514" t="inlineStr">
        <is>
          <t>JÖNKÖPINGS LÄN</t>
        </is>
      </c>
      <c r="G514" t="inlineStr">
        <is>
          <t>EKSJÖ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45635</v>
      </c>
      <c r="E515" s="1" t="n">
        <v>46290</v>
      </c>
      <c r="F515" t="inlineStr">
        <is>
          <t>JÖNKÖPINGS LÄN</t>
        </is>
      </c>
      <c r="G515" t="inlineStr">
        <is>
          <t>EKSJÖ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46290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46290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44939</v>
      </c>
      <c r="E518" s="1" t="n">
        <v>46290</v>
      </c>
      <c r="F518" t="inlineStr">
        <is>
          <t>JÖNKÖPINGS LÄN</t>
        </is>
      </c>
      <c r="G518" t="inlineStr">
        <is>
          <t>EKSJÖ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41816-2024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45561</v>
      </c>
      <c r="E519" s="1" t="n">
        <v>46290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23183-2022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44719</v>
      </c>
      <c r="E520" s="1" t="n">
        <v>46290</v>
      </c>
      <c r="F520" t="inlineStr">
        <is>
          <t>JÖNKÖPINGS LÄN</t>
        </is>
      </c>
      <c r="G520" t="inlineStr">
        <is>
          <t>EKSJÖ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38207-2026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46281</v>
      </c>
      <c r="E521" s="1" t="n">
        <v>46290</v>
      </c>
      <c r="F521" t="inlineStr">
        <is>
          <t>JÖNKÖPINGS LÄN</t>
        </is>
      </c>
      <c r="G521" t="inlineStr">
        <is>
          <t>EKSJÖ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18337-2025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45762</v>
      </c>
      <c r="E522" s="1" t="n">
        <v>46290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45671</v>
      </c>
      <c r="E523" s="1" t="n">
        <v>46290</v>
      </c>
      <c r="F523" t="inlineStr">
        <is>
          <t>JÖNKÖPINGS LÄN</t>
        </is>
      </c>
      <c r="G523" t="inlineStr">
        <is>
          <t>EKSJÖ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8165-2022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44609</v>
      </c>
      <c r="E524" s="1" t="n">
        <v>46290</v>
      </c>
      <c r="F524" t="inlineStr">
        <is>
          <t>JÖNKÖPINGS LÄN</t>
        </is>
      </c>
      <c r="G524" t="inlineStr">
        <is>
          <t>EKSJÖ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12399-2023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44999</v>
      </c>
      <c r="E525" s="1" t="n">
        <v>46290</v>
      </c>
      <c r="F525" t="inlineStr">
        <is>
          <t>JÖNKÖPINGS LÄN</t>
        </is>
      </c>
      <c r="G525" t="inlineStr">
        <is>
          <t>EKSJÖ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44999</v>
      </c>
      <c r="E526" s="1" t="n">
        <v>46290</v>
      </c>
      <c r="F526" t="inlineStr">
        <is>
          <t>JÖNKÖPINGS LÄN</t>
        </is>
      </c>
      <c r="G526" t="inlineStr">
        <is>
          <t>EKSJÖ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50275-2023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45209</v>
      </c>
      <c r="E527" s="1" t="n">
        <v>46290</v>
      </c>
      <c r="F527" t="inlineStr">
        <is>
          <t>JÖNKÖPINGS LÄN</t>
        </is>
      </c>
      <c r="G527" t="inlineStr">
        <is>
          <t>EKSJÖ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38707-2026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46281</v>
      </c>
      <c r="E528" s="1" t="n">
        <v>46290</v>
      </c>
      <c r="F528" t="inlineStr">
        <is>
          <t>JÖNKÖPINGS LÄN</t>
        </is>
      </c>
      <c r="G528" t="inlineStr">
        <is>
          <t>EKSJÖ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45777</v>
      </c>
      <c r="E529" s="1" t="n">
        <v>46290</v>
      </c>
      <c r="F529" t="inlineStr">
        <is>
          <t>JÖNKÖPINGS LÄN</t>
        </is>
      </c>
      <c r="G529" t="inlineStr">
        <is>
          <t>EKSJÖ</t>
        </is>
      </c>
      <c r="H529" t="inlineStr">
        <is>
          <t>Kommuner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45777</v>
      </c>
      <c r="E530" s="1" t="n">
        <v>46290</v>
      </c>
      <c r="F530" t="inlineStr">
        <is>
          <t>JÖNKÖPINGS LÄN</t>
        </is>
      </c>
      <c r="G530" t="inlineStr">
        <is>
          <t>EKSJÖ</t>
        </is>
      </c>
      <c r="H530" t="inlineStr">
        <is>
          <t>Kommuner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45779</v>
      </c>
      <c r="E531" s="1" t="n">
        <v>46290</v>
      </c>
      <c r="F531" t="inlineStr">
        <is>
          <t>JÖNKÖPINGS LÄN</t>
        </is>
      </c>
      <c r="G531" t="inlineStr">
        <is>
          <t>EKSJÖ</t>
        </is>
      </c>
      <c r="H531" t="inlineStr">
        <is>
          <t>Kommuner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46290</v>
      </c>
      <c r="F532" t="inlineStr">
        <is>
          <t>JÖNKÖPINGS LÄN</t>
        </is>
      </c>
      <c r="G532" t="inlineStr">
        <is>
          <t>EKSJÖ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59234-2024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45637</v>
      </c>
      <c r="E533" s="1" t="n">
        <v>46290</v>
      </c>
      <c r="F533" t="inlineStr">
        <is>
          <t>JÖNKÖPINGS LÄN</t>
        </is>
      </c>
      <c r="G533" t="inlineStr">
        <is>
          <t>EKSJÖ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46290</v>
      </c>
      <c r="F534" t="inlineStr">
        <is>
          <t>JÖNKÖPINGS LÄN</t>
        </is>
      </c>
      <c r="G534" t="inlineStr">
        <is>
          <t>EKSJÖ</t>
        </is>
      </c>
      <c r="I534" t="n">
        <v>7.1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46290</v>
      </c>
      <c r="F535" t="inlineStr">
        <is>
          <t>JÖNKÖPINGS LÄN</t>
        </is>
      </c>
      <c r="G535" t="inlineStr">
        <is>
          <t>EKSJÖ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22574-2025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46290</v>
      </c>
      <c r="F536" t="inlineStr">
        <is>
          <t>JÖNKÖPINGS LÄN</t>
        </is>
      </c>
      <c r="G536" t="inlineStr">
        <is>
          <t>EKSJÖ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7585-2025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45705</v>
      </c>
      <c r="E537" s="1" t="n">
        <v>46290</v>
      </c>
      <c r="F537" t="inlineStr">
        <is>
          <t>JÖNKÖPINGS LÄN</t>
        </is>
      </c>
      <c r="G537" t="inlineStr">
        <is>
          <t>EKSJÖ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42469-2023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45175</v>
      </c>
      <c r="E538" s="1" t="n">
        <v>46290</v>
      </c>
      <c r="F538" t="inlineStr">
        <is>
          <t>JÖNKÖPINGS LÄN</t>
        </is>
      </c>
      <c r="G538" t="inlineStr">
        <is>
          <t>EKSJÖ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45530</v>
      </c>
      <c r="E539" s="1" t="n">
        <v>46290</v>
      </c>
      <c r="F539" t="inlineStr">
        <is>
          <t>JÖNKÖPINGS LÄN</t>
        </is>
      </c>
      <c r="G539" t="inlineStr">
        <is>
          <t>EKSJÖ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22987-2025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45790</v>
      </c>
      <c r="E540" s="1" t="n">
        <v>46290</v>
      </c>
      <c r="F540" t="inlineStr">
        <is>
          <t>JÖNKÖPINGS LÄN</t>
        </is>
      </c>
      <c r="G540" t="inlineStr">
        <is>
          <t>EKSJÖ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46034</v>
      </c>
      <c r="E541" s="1" t="n">
        <v>46290</v>
      </c>
      <c r="F541" t="inlineStr">
        <is>
          <t>JÖNKÖPINGS LÄN</t>
        </is>
      </c>
      <c r="G541" t="inlineStr">
        <is>
          <t>EKSJÖ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46290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46290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46290</v>
      </c>
      <c r="F544" t="inlineStr">
        <is>
          <t>JÖNKÖPINGS LÄN</t>
        </is>
      </c>
      <c r="G544" t="inlineStr">
        <is>
          <t>EKSJÖ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45579</v>
      </c>
      <c r="E545" s="1" t="n">
        <v>46290</v>
      </c>
      <c r="F545" t="inlineStr">
        <is>
          <t>JÖNKÖPINGS LÄN</t>
        </is>
      </c>
      <c r="G545" t="inlineStr">
        <is>
          <t>EKSJÖ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46290</v>
      </c>
      <c r="F546" t="inlineStr">
        <is>
          <t>JÖNKÖPINGS LÄN</t>
        </is>
      </c>
      <c r="G546" t="inlineStr">
        <is>
          <t>EKSJÖ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46289</v>
      </c>
      <c r="E547" s="1" t="n">
        <v>46290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46289</v>
      </c>
      <c r="E548" s="1" t="n">
        <v>46290</v>
      </c>
      <c r="F548" t="inlineStr">
        <is>
          <t>JÖNKÖPINGS LÄN</t>
        </is>
      </c>
      <c r="G548" t="inlineStr">
        <is>
          <t>EKSJÖ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23386-2025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45791</v>
      </c>
      <c r="E549" s="1" t="n">
        <v>46290</v>
      </c>
      <c r="F549" t="inlineStr">
        <is>
          <t>JÖNKÖPINGS LÄN</t>
        </is>
      </c>
      <c r="G549" t="inlineStr">
        <is>
          <t>EKSJÖ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14817-2025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45743</v>
      </c>
      <c r="E550" s="1" t="n">
        <v>46290</v>
      </c>
      <c r="F550" t="inlineStr">
        <is>
          <t>JÖNKÖPINGS LÄN</t>
        </is>
      </c>
      <c r="G550" t="inlineStr">
        <is>
          <t>EKSJÖ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56039-2024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45624</v>
      </c>
      <c r="E551" s="1" t="n">
        <v>46290</v>
      </c>
      <c r="F551" t="inlineStr">
        <is>
          <t>JÖNKÖPINGS LÄN</t>
        </is>
      </c>
      <c r="G551" t="inlineStr">
        <is>
          <t>EKSJÖ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14813-2025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45743</v>
      </c>
      <c r="E552" s="1" t="n">
        <v>46290</v>
      </c>
      <c r="F552" t="inlineStr">
        <is>
          <t>JÖNKÖPINGS LÄN</t>
        </is>
      </c>
      <c r="G552" t="inlineStr">
        <is>
          <t>EKSJÖ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14382-2025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45741</v>
      </c>
      <c r="E553" s="1" t="n">
        <v>46290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46290</v>
      </c>
      <c r="F554" t="inlineStr">
        <is>
          <t>JÖNKÖPINGS LÄN</t>
        </is>
      </c>
      <c r="G554" t="inlineStr">
        <is>
          <t>EKSJÖ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14355-2025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46290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14376-2025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45741</v>
      </c>
      <c r="E556" s="1" t="n">
        <v>46290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11957-2025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46290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45741</v>
      </c>
      <c r="E558" s="1" t="n">
        <v>46290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39477-2026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46289</v>
      </c>
      <c r="E559" s="1" t="n">
        <v>46290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11669-2025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46290</v>
      </c>
      <c r="F560" t="inlineStr">
        <is>
          <t>JÖNKÖPINGS LÄN</t>
        </is>
      </c>
      <c r="G560" t="inlineStr">
        <is>
          <t>EKSJÖ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46290</v>
      </c>
      <c r="F561" t="inlineStr">
        <is>
          <t>JÖNKÖPINGS LÄN</t>
        </is>
      </c>
      <c r="G561" t="inlineStr">
        <is>
          <t>EKSJÖ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33436-2026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46290</v>
      </c>
      <c r="F562" t="inlineStr">
        <is>
          <t>JÖNKÖPINGS LÄN</t>
        </is>
      </c>
      <c r="G562" t="inlineStr">
        <is>
          <t>EKSJÖ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13735-2025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46290</v>
      </c>
      <c r="F563" t="inlineStr">
        <is>
          <t>JÖNKÖPINGS LÄN</t>
        </is>
      </c>
      <c r="G563" t="inlineStr">
        <is>
          <t>EKSJÖ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45524</v>
      </c>
      <c r="E564" s="1" t="n">
        <v>46290</v>
      </c>
      <c r="F564" t="inlineStr">
        <is>
          <t>JÖNKÖPINGS LÄN</t>
        </is>
      </c>
      <c r="G564" t="inlineStr">
        <is>
          <t>EKSJÖ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27089-2025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46290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46290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45771</v>
      </c>
      <c r="E567" s="1" t="n">
        <v>46290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46290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45819</v>
      </c>
      <c r="E569" s="1" t="n">
        <v>46290</v>
      </c>
      <c r="F569" t="inlineStr">
        <is>
          <t>JÖNKÖPINGS LÄN</t>
        </is>
      </c>
      <c r="G569" t="inlineStr">
        <is>
          <t>EKSJÖ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30137-2025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46290</v>
      </c>
      <c r="F570" t="inlineStr">
        <is>
          <t>JÖNKÖPINGS LÄN</t>
        </is>
      </c>
      <c r="G570" t="inlineStr">
        <is>
          <t>EKSJÖ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41440-2024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45560</v>
      </c>
      <c r="E571" s="1" t="n">
        <v>46290</v>
      </c>
      <c r="F571" t="inlineStr">
        <is>
          <t>JÖNKÖPINGS LÄN</t>
        </is>
      </c>
      <c r="G571" t="inlineStr">
        <is>
          <t>EKSJÖ</t>
        </is>
      </c>
      <c r="H571" t="inlineStr">
        <is>
          <t>Kyrkan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45839</v>
      </c>
      <c r="E572" s="1" t="n">
        <v>46290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46290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33614-2025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45841</v>
      </c>
      <c r="E574" s="1" t="n">
        <v>46290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46290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46290</v>
      </c>
      <c r="F576" t="inlineStr">
        <is>
          <t>JÖNKÖPINGS LÄN</t>
        </is>
      </c>
      <c r="G576" t="inlineStr">
        <is>
          <t>EKSJÖ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33970-2025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46290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45785</v>
      </c>
      <c r="E578" s="1" t="n">
        <v>46290</v>
      </c>
      <c r="F578" t="inlineStr">
        <is>
          <t>JÖNKÖPINGS LÄN</t>
        </is>
      </c>
      <c r="G578" t="inlineStr">
        <is>
          <t>EKSJÖ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44974</v>
      </c>
      <c r="E579" s="1" t="n">
        <v>46290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46290</v>
      </c>
      <c r="F580" t="inlineStr">
        <is>
          <t>JÖNKÖPINGS LÄN</t>
        </is>
      </c>
      <c r="G580" t="inlineStr">
        <is>
          <t>EKSJÖ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24928-2024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45461</v>
      </c>
      <c r="E581" s="1" t="n">
        <v>46290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45860</v>
      </c>
      <c r="E582" s="1" t="n">
        <v>46290</v>
      </c>
      <c r="F582" t="inlineStr">
        <is>
          <t>JÖNKÖPINGS LÄN</t>
        </is>
      </c>
      <c r="G582" t="inlineStr">
        <is>
          <t>EKSJÖ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45860</v>
      </c>
      <c r="E583" s="1" t="n">
        <v>46290</v>
      </c>
      <c r="F583" t="inlineStr">
        <is>
          <t>JÖNKÖPINGS LÄN</t>
        </is>
      </c>
      <c r="G583" t="inlineStr">
        <is>
          <t>EKSJÖ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45866</v>
      </c>
      <c r="E584" s="1" t="n">
        <v>46290</v>
      </c>
      <c r="F584" t="inlineStr">
        <is>
          <t>JÖNKÖPINGS LÄN</t>
        </is>
      </c>
      <c r="G584" t="inlineStr">
        <is>
          <t>EKSJÖ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46290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46290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46290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46290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46290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46290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46290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46290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46290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46290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46290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46290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46290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46290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46290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46290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46290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46290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46290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46290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46290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46290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46290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46290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46290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46290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46290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1825-2026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46290</v>
      </c>
      <c r="F612" t="inlineStr">
        <is>
          <t>JÖNKÖPINGS LÄN</t>
        </is>
      </c>
      <c r="G612" t="inlineStr">
        <is>
          <t>EKSJÖ</t>
        </is>
      </c>
      <c r="I612" t="n">
        <v>14.8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46290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46290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2026-09-25T02:04:35Z</dcterms:created>
  <dcterms:modified xmlns:dcterms="http://purl.org/dc/terms/" xmlns:xsi="http://www.w3.org/2001/XMLSchema-instance" xsi:type="dcterms:W3CDTF">2026-09-25T02:04:35Z</dcterms:modified>
</cp:coreProperties>
</file>