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46238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46238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46238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46238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46238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46238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46238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46238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46238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46238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46238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46238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46238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10726-2024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46238</v>
      </c>
      <c r="F34" t="inlineStr">
        <is>
          <t>JÖNKÖPINGS LÄN</t>
        </is>
      </c>
      <c r="G34" t="inlineStr">
        <is>
          <t>EKSJÖ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HYPERLINK("https://klasma.github.io/Logging_0686/artfynd/A 10726-2024 artfynd.xlsx", "A 10726-2024")</f>
        <v/>
      </c>
      <c r="X34">
        <f>HYPERLINK("https://klasma.github.io/Logging_0686/kartor/A 10726-2024 karta.png", "A 10726-2024")</f>
        <v/>
      </c>
      <c r="Y34">
        <f>HYPERLINK("https://klasma.github.io/Logging_0686/kartor_geotiff/A 10726-2024 georefererad karta.tif", "A 10726-2024")</f>
        <v/>
      </c>
      <c r="AA34">
        <f>HYPERLINK("https://klasma.github.io/Logging_0686/klagomål/A 10726-2024 FSC-klagomål.docx", "A 10726-2024")</f>
        <v/>
      </c>
      <c r="AB34">
        <f>HYPERLINK("https://klasma.github.io/Logging_0686/klagomålsmail/A 10726-2024 FSC-klagomål mail.docx", "A 10726-2024")</f>
        <v/>
      </c>
      <c r="AC34">
        <f>HYPERLINK("https://klasma.github.io/Logging_0686/tillsyn/A 10726-2024 tillsynsbegäran.docx", "A 10726-2024")</f>
        <v/>
      </c>
      <c r="AD34">
        <f>HYPERLINK("https://klasma.github.io/Logging_0686/tillsynsmail/A 10726-2024 tillsynsbegäran mail.docx", "A 10726-2024")</f>
        <v/>
      </c>
    </row>
    <row r="35" ht="15" customHeight="1">
      <c r="A35" t="inlineStr">
        <is>
          <t>A 38224-2023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46238</v>
      </c>
      <c r="F35" t="inlineStr">
        <is>
          <t>JÖNKÖPINGS LÄN</t>
        </is>
      </c>
      <c r="G35" t="inlineStr">
        <is>
          <t>EKSJÖ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HYPERLINK("https://klasma.github.io/Logging_0686/artfynd/A 38224-2023 artfynd.xlsx", "A 38224-2023")</f>
        <v/>
      </c>
      <c r="X35">
        <f>HYPERLINK("https://klasma.github.io/Logging_0686/kartor/A 38224-2023 karta.png", "A 38224-2023")</f>
        <v/>
      </c>
      <c r="Y35">
        <f>HYPERLINK("https://klasma.github.io/Logging_0686/kartor_geotiff/A 38224-2023 georefererad karta.tif", "A 38224-2023")</f>
        <v/>
      </c>
      <c r="AA35">
        <f>HYPERLINK("https://klasma.github.io/Logging_0686/klagomål/A 38224-2023 FSC-klagomål.docx", "A 38224-2023")</f>
        <v/>
      </c>
      <c r="AB35">
        <f>HYPERLINK("https://klasma.github.io/Logging_0686/klagomålsmail/A 38224-2023 FSC-klagomål mail.docx", "A 38224-2023")</f>
        <v/>
      </c>
      <c r="AC35">
        <f>HYPERLINK("https://klasma.github.io/Logging_0686/tillsyn/A 38224-2023 tillsynsbegäran.docx", "A 38224-2023")</f>
        <v/>
      </c>
      <c r="AD35">
        <f>HYPERLINK("https://klasma.github.io/Logging_0686/tillsynsmail/A 38224-2023 tillsynsbegäran mail.docx", "A 38224-2023")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46238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46238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46238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46238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46238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46238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46238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46238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46238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46238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46238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46238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46238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46238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44431</v>
      </c>
      <c r="E61" s="1" t="n">
        <v>46238</v>
      </c>
      <c r="F61" t="inlineStr">
        <is>
          <t>JÖNKÖPINGS LÄN</t>
        </is>
      </c>
      <c r="G61" t="inlineStr">
        <is>
          <t>EKSJÖ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46238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46238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46238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46238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46238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46238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46238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46238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46238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46238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46238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46238</v>
      </c>
      <c r="F76" t="inlineStr">
        <is>
          <t>JÖNKÖPINGS LÄN</t>
        </is>
      </c>
      <c r="G76" t="inlineStr">
        <is>
          <t>EKSJÖ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46238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46238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46238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46238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46238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46238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46238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46238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46238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46238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46238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46238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46238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46238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46238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46238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46238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46238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46238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46238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46238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46238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46238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46238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46238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46238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46238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46238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46238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46238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46238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46238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46238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46238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46238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46238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46238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46238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46238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46238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46238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46238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46238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44942</v>
      </c>
      <c r="E120" s="1" t="n">
        <v>46238</v>
      </c>
      <c r="F120" t="inlineStr">
        <is>
          <t>JÖNKÖPINGS LÄN</t>
        </is>
      </c>
      <c r="G120" t="inlineStr">
        <is>
          <t>EKSJÖ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46238</v>
      </c>
      <c r="F121" t="inlineStr">
        <is>
          <t>JÖNKÖPINGS LÄN</t>
        </is>
      </c>
      <c r="G121" t="inlineStr">
        <is>
          <t>EKSJÖ</t>
        </is>
      </c>
      <c r="H121" t="inlineStr">
        <is>
          <t>Övriga Aktiebolag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46238</v>
      </c>
      <c r="F122" t="inlineStr">
        <is>
          <t>JÖNKÖPINGS LÄN</t>
        </is>
      </c>
      <c r="G122" t="inlineStr">
        <is>
          <t>EKSJÖ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46238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46238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45152</v>
      </c>
      <c r="E125" s="1" t="n">
        <v>46238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46238</v>
      </c>
      <c r="F126" t="inlineStr">
        <is>
          <t>JÖNKÖPINGS LÄN</t>
        </is>
      </c>
      <c r="G126" t="inlineStr">
        <is>
          <t>EKSJÖ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46238</v>
      </c>
      <c r="F127" t="inlineStr">
        <is>
          <t>JÖNKÖPINGS LÄN</t>
        </is>
      </c>
      <c r="G127" t="inlineStr">
        <is>
          <t>EKSJÖ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46238</v>
      </c>
      <c r="F128" t="inlineStr">
        <is>
          <t>JÖNKÖPINGS LÄN</t>
        </is>
      </c>
      <c r="G128" t="inlineStr">
        <is>
          <t>EKSJÖ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39049-2021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44412</v>
      </c>
      <c r="E129" s="1" t="n">
        <v>46238</v>
      </c>
      <c r="F129" t="inlineStr">
        <is>
          <t>JÖNKÖPINGS LÄN</t>
        </is>
      </c>
      <c r="G129" t="inlineStr">
        <is>
          <t>EKSJÖ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44940</v>
      </c>
      <c r="E130" s="1" t="n">
        <v>46238</v>
      </c>
      <c r="F130" t="inlineStr">
        <is>
          <t>JÖNKÖPINGS LÄN</t>
        </is>
      </c>
      <c r="G130" t="inlineStr">
        <is>
          <t>EKSJÖ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44941</v>
      </c>
      <c r="E131" s="1" t="n">
        <v>46238</v>
      </c>
      <c r="F131" t="inlineStr">
        <is>
          <t>JÖNKÖPINGS LÄN</t>
        </is>
      </c>
      <c r="G131" t="inlineStr">
        <is>
          <t>EKSJÖ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46238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46238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45057</v>
      </c>
      <c r="E134" s="1" t="n">
        <v>46238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46238</v>
      </c>
      <c r="F135" t="inlineStr">
        <is>
          <t>JÖNKÖPINGS LÄN</t>
        </is>
      </c>
      <c r="G135" t="inlineStr">
        <is>
          <t>EKSJÖ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46238</v>
      </c>
      <c r="F136" t="inlineStr">
        <is>
          <t>JÖNKÖPINGS LÄN</t>
        </is>
      </c>
      <c r="G136" t="inlineStr">
        <is>
          <t>EKSJÖ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46238</v>
      </c>
      <c r="F137" t="inlineStr">
        <is>
          <t>JÖNKÖPINGS LÄN</t>
        </is>
      </c>
      <c r="G137" t="inlineStr">
        <is>
          <t>EKSJÖ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45345</v>
      </c>
      <c r="E138" s="1" t="n">
        <v>46238</v>
      </c>
      <c r="F138" t="inlineStr">
        <is>
          <t>JÖNKÖPINGS LÄN</t>
        </is>
      </c>
      <c r="G138" t="inlineStr">
        <is>
          <t>EKSJÖ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46238</v>
      </c>
      <c r="F139" t="inlineStr">
        <is>
          <t>JÖNKÖPINGS LÄN</t>
        </is>
      </c>
      <c r="G139" t="inlineStr">
        <is>
          <t>EKSJÖ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46238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46238</v>
      </c>
      <c r="F141" t="inlineStr">
        <is>
          <t>JÖNKÖPINGS LÄN</t>
        </is>
      </c>
      <c r="G141" t="inlineStr">
        <is>
          <t>EKSJÖ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46238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46238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46238</v>
      </c>
      <c r="F144" t="inlineStr">
        <is>
          <t>JÖNKÖPINGS LÄN</t>
        </is>
      </c>
      <c r="G144" t="inlineStr">
        <is>
          <t>EKSJÖ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46238</v>
      </c>
      <c r="F145" t="inlineStr">
        <is>
          <t>JÖNKÖPINGS LÄN</t>
        </is>
      </c>
      <c r="G145" t="inlineStr">
        <is>
          <t>EKSJÖ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46238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46238</v>
      </c>
      <c r="F147" t="inlineStr">
        <is>
          <t>JÖNKÖPINGS LÄN</t>
        </is>
      </c>
      <c r="G147" t="inlineStr">
        <is>
          <t>EKSJÖ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46238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46238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9385-2025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46238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46238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46238</v>
      </c>
      <c r="F152" t="inlineStr">
        <is>
          <t>JÖNKÖPINGS LÄN</t>
        </is>
      </c>
      <c r="G152" t="inlineStr">
        <is>
          <t>EKSJÖ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46238</v>
      </c>
      <c r="F153" t="inlineStr">
        <is>
          <t>JÖNKÖPINGS LÄN</t>
        </is>
      </c>
      <c r="G153" t="inlineStr">
        <is>
          <t>EKSJÖ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46238</v>
      </c>
      <c r="F154" t="inlineStr">
        <is>
          <t>JÖNKÖPINGS LÄN</t>
        </is>
      </c>
      <c r="G154" t="inlineStr">
        <is>
          <t>EKSJÖ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46238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46238</v>
      </c>
      <c r="F156" t="inlineStr">
        <is>
          <t>JÖNKÖPINGS LÄN</t>
        </is>
      </c>
      <c r="G156" t="inlineStr">
        <is>
          <t>EKSJÖ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46238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46238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46238</v>
      </c>
      <c r="F159" t="inlineStr">
        <is>
          <t>JÖNKÖPINGS LÄN</t>
        </is>
      </c>
      <c r="G159" t="inlineStr">
        <is>
          <t>EKSJÖ</t>
        </is>
      </c>
      <c r="H159" t="inlineStr">
        <is>
          <t>Övriga Aktiebolag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46238</v>
      </c>
      <c r="F160" t="inlineStr">
        <is>
          <t>JÖNKÖPINGS LÄN</t>
        </is>
      </c>
      <c r="G160" t="inlineStr">
        <is>
          <t>EKSJÖ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46238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46238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46238</v>
      </c>
      <c r="F163" t="inlineStr">
        <is>
          <t>JÖNKÖPINGS LÄN</t>
        </is>
      </c>
      <c r="G163" t="inlineStr">
        <is>
          <t>EKSJÖ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46238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46238</v>
      </c>
      <c r="F165" t="inlineStr">
        <is>
          <t>JÖNKÖPINGS LÄN</t>
        </is>
      </c>
      <c r="G165" t="inlineStr">
        <is>
          <t>EKSJÖ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46238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46238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45601</v>
      </c>
      <c r="E168" s="1" t="n">
        <v>46238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46238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46238</v>
      </c>
      <c r="F170" t="inlineStr">
        <is>
          <t>JÖNKÖPINGS LÄN</t>
        </is>
      </c>
      <c r="G170" t="inlineStr">
        <is>
          <t>EKSJÖ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44574</v>
      </c>
      <c r="E171" s="1" t="n">
        <v>46238</v>
      </c>
      <c r="F171" t="inlineStr">
        <is>
          <t>JÖNKÖPINGS LÄN</t>
        </is>
      </c>
      <c r="G171" t="inlineStr">
        <is>
          <t>EKSJÖ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45686</v>
      </c>
      <c r="E172" s="1" t="n">
        <v>46238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46238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43411-2022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44834</v>
      </c>
      <c r="E174" s="1" t="n">
        <v>46238</v>
      </c>
      <c r="F174" t="inlineStr">
        <is>
          <t>JÖNKÖPINGS LÄN</t>
        </is>
      </c>
      <c r="G174" t="inlineStr">
        <is>
          <t>EKSJÖ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46238</v>
      </c>
      <c r="F175" t="inlineStr">
        <is>
          <t>JÖNKÖPINGS LÄN</t>
        </is>
      </c>
      <c r="G175" t="inlineStr">
        <is>
          <t>EKSJÖ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45418</v>
      </c>
      <c r="E176" s="1" t="n">
        <v>46238</v>
      </c>
      <c r="F176" t="inlineStr">
        <is>
          <t>JÖNKÖPINGS LÄN</t>
        </is>
      </c>
      <c r="G176" t="inlineStr">
        <is>
          <t>EKSJÖ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46238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46238</v>
      </c>
      <c r="F178" t="inlineStr">
        <is>
          <t>JÖNKÖPINGS LÄN</t>
        </is>
      </c>
      <c r="G178" t="inlineStr">
        <is>
          <t>EKSJÖ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46238</v>
      </c>
      <c r="F179" t="inlineStr">
        <is>
          <t>JÖNKÖPINGS LÄN</t>
        </is>
      </c>
      <c r="G179" t="inlineStr">
        <is>
          <t>EKSJÖ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46238</v>
      </c>
      <c r="F180" t="inlineStr">
        <is>
          <t>JÖNKÖPINGS LÄN</t>
        </is>
      </c>
      <c r="G180" t="inlineStr">
        <is>
          <t>EKSJÖ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42929-2021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44431</v>
      </c>
      <c r="E181" s="1" t="n">
        <v>46238</v>
      </c>
      <c r="F181" t="inlineStr">
        <is>
          <t>JÖNKÖPINGS LÄN</t>
        </is>
      </c>
      <c r="G181" t="inlineStr">
        <is>
          <t>EKSJÖ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44953</v>
      </c>
      <c r="E182" s="1" t="n">
        <v>46238</v>
      </c>
      <c r="F182" t="inlineStr">
        <is>
          <t>JÖNKÖPINGS LÄN</t>
        </is>
      </c>
      <c r="G182" t="inlineStr">
        <is>
          <t>EKSJÖ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44803</v>
      </c>
      <c r="E183" s="1" t="n">
        <v>46238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46238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46238</v>
      </c>
      <c r="F185" t="inlineStr">
        <is>
          <t>JÖNKÖPINGS LÄN</t>
        </is>
      </c>
      <c r="G185" t="inlineStr">
        <is>
          <t>EKSJÖ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41744-2023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46238</v>
      </c>
      <c r="F186" t="inlineStr">
        <is>
          <t>JÖNKÖPINGS LÄN</t>
        </is>
      </c>
      <c r="G186" t="inlineStr">
        <is>
          <t>EKSJÖ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46238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46238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45358</v>
      </c>
      <c r="E189" s="1" t="n">
        <v>46238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46238</v>
      </c>
      <c r="F190" t="inlineStr">
        <is>
          <t>JÖNKÖPINGS LÄN</t>
        </is>
      </c>
      <c r="G190" t="inlineStr">
        <is>
          <t>EKSJÖ</t>
        </is>
      </c>
      <c r="H190" t="inlineStr">
        <is>
          <t>Övriga Aktiebolag</t>
        </is>
      </c>
      <c r="I190" t="n">
        <v>17.5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46238</v>
      </c>
      <c r="F191" t="inlineStr">
        <is>
          <t>JÖNKÖPINGS LÄN</t>
        </is>
      </c>
      <c r="G191" t="inlineStr">
        <is>
          <t>EKSJÖ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45866</v>
      </c>
      <c r="E192" s="1" t="n">
        <v>46238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46238</v>
      </c>
      <c r="F193" t="inlineStr">
        <is>
          <t>JÖNKÖPINGS LÄN</t>
        </is>
      </c>
      <c r="G193" t="inlineStr">
        <is>
          <t>EKSJÖ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46238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46238</v>
      </c>
      <c r="F195" t="inlineStr">
        <is>
          <t>JÖNKÖPINGS LÄN</t>
        </is>
      </c>
      <c r="G195" t="inlineStr">
        <is>
          <t>EKSJÖ</t>
        </is>
      </c>
      <c r="H195" t="inlineStr">
        <is>
          <t>Övriga Aktiebolag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44580</v>
      </c>
      <c r="E196" s="1" t="n">
        <v>46238</v>
      </c>
      <c r="F196" t="inlineStr">
        <is>
          <t>JÖNKÖPINGS LÄN</t>
        </is>
      </c>
      <c r="G196" t="inlineStr">
        <is>
          <t>EKSJÖ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46238</v>
      </c>
      <c r="F197" t="inlineStr">
        <is>
          <t>JÖNKÖPINGS LÄN</t>
        </is>
      </c>
      <c r="G197" t="inlineStr">
        <is>
          <t>EKSJÖ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46238</v>
      </c>
      <c r="F198" t="inlineStr">
        <is>
          <t>JÖNKÖPINGS LÄN</t>
        </is>
      </c>
      <c r="G198" t="inlineStr">
        <is>
          <t>EKSJÖ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46238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46238</v>
      </c>
      <c r="F200" t="inlineStr">
        <is>
          <t>JÖNKÖPINGS LÄN</t>
        </is>
      </c>
      <c r="G200" t="inlineStr">
        <is>
          <t>EKSJÖ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46238</v>
      </c>
      <c r="F201" t="inlineStr">
        <is>
          <t>JÖNKÖPINGS LÄN</t>
        </is>
      </c>
      <c r="G201" t="inlineStr">
        <is>
          <t>EKSJÖ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46238</v>
      </c>
      <c r="F202" t="inlineStr">
        <is>
          <t>JÖNKÖPINGS LÄN</t>
        </is>
      </c>
      <c r="G202" t="inlineStr">
        <is>
          <t>EKSJÖ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46238</v>
      </c>
      <c r="F203" t="inlineStr">
        <is>
          <t>JÖNKÖPINGS LÄN</t>
        </is>
      </c>
      <c r="G203" t="inlineStr">
        <is>
          <t>EKSJÖ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45008</v>
      </c>
      <c r="E204" s="1" t="n">
        <v>46238</v>
      </c>
      <c r="F204" t="inlineStr">
        <is>
          <t>JÖNKÖPINGS LÄN</t>
        </is>
      </c>
      <c r="G204" t="inlineStr">
        <is>
          <t>EKSJÖ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45837</v>
      </c>
      <c r="E205" s="1" t="n">
        <v>46238</v>
      </c>
      <c r="F205" t="inlineStr">
        <is>
          <t>JÖNKÖPINGS LÄN</t>
        </is>
      </c>
      <c r="G205" t="inlineStr">
        <is>
          <t>EKSJÖ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46238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46238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46238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46238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46238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46238</v>
      </c>
      <c r="F211" t="inlineStr">
        <is>
          <t>JÖNKÖPINGS LÄN</t>
        </is>
      </c>
      <c r="G211" t="inlineStr">
        <is>
          <t>EKSJÖ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46238</v>
      </c>
      <c r="F212" t="inlineStr">
        <is>
          <t>JÖNKÖPINGS LÄN</t>
        </is>
      </c>
      <c r="G212" t="inlineStr">
        <is>
          <t>EKSJÖ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29653-2025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46238</v>
      </c>
      <c r="F213" t="inlineStr">
        <is>
          <t>JÖNKÖPINGS LÄN</t>
        </is>
      </c>
      <c r="G213" t="inlineStr">
        <is>
          <t>EKSJÖ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45036</v>
      </c>
      <c r="E214" s="1" t="n">
        <v>46238</v>
      </c>
      <c r="F214" t="inlineStr">
        <is>
          <t>JÖNKÖPINGS LÄN</t>
        </is>
      </c>
      <c r="G214" t="inlineStr">
        <is>
          <t>EKSJÖ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45328</v>
      </c>
      <c r="E215" s="1" t="n">
        <v>46238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46238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45232</v>
      </c>
      <c r="E217" s="1" t="n">
        <v>46238</v>
      </c>
      <c r="F217" t="inlineStr">
        <is>
          <t>JÖNKÖPINGS LÄN</t>
        </is>
      </c>
      <c r="G217" t="inlineStr">
        <is>
          <t>EKSJÖ</t>
        </is>
      </c>
      <c r="I217" t="n">
        <v>18.3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64419-2021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44511</v>
      </c>
      <c r="E218" s="1" t="n">
        <v>46238</v>
      </c>
      <c r="F218" t="inlineStr">
        <is>
          <t>JÖNKÖPINGS LÄN</t>
        </is>
      </c>
      <c r="G218" t="inlineStr">
        <is>
          <t>EKSJÖ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46238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45195</v>
      </c>
      <c r="E220" s="1" t="n">
        <v>46238</v>
      </c>
      <c r="F220" t="inlineStr">
        <is>
          <t>JÖNKÖPINGS LÄN</t>
        </is>
      </c>
      <c r="G220" t="inlineStr">
        <is>
          <t>EKSJÖ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56322-2021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44477</v>
      </c>
      <c r="E221" s="1" t="n">
        <v>46238</v>
      </c>
      <c r="F221" t="inlineStr">
        <is>
          <t>JÖNKÖPINGS LÄN</t>
        </is>
      </c>
      <c r="G221" t="inlineStr">
        <is>
          <t>EKSJÖ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45837</v>
      </c>
      <c r="E222" s="1" t="n">
        <v>46238</v>
      </c>
      <c r="F222" t="inlineStr">
        <is>
          <t>JÖNKÖPINGS LÄN</t>
        </is>
      </c>
      <c r="G222" t="inlineStr">
        <is>
          <t>EKSJÖ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46238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44781</v>
      </c>
      <c r="E224" s="1" t="n">
        <v>46238</v>
      </c>
      <c r="F224" t="inlineStr">
        <is>
          <t>JÖNKÖPINGS LÄN</t>
        </is>
      </c>
      <c r="G224" t="inlineStr">
        <is>
          <t>EKSJÖ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44781</v>
      </c>
      <c r="E225" s="1" t="n">
        <v>46238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46238</v>
      </c>
      <c r="F226" t="inlineStr">
        <is>
          <t>JÖNKÖPINGS LÄN</t>
        </is>
      </c>
      <c r="G226" t="inlineStr">
        <is>
          <t>EKSJÖ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46238</v>
      </c>
      <c r="F227" t="inlineStr">
        <is>
          <t>JÖNKÖPINGS LÄN</t>
        </is>
      </c>
      <c r="G227" t="inlineStr">
        <is>
          <t>EKSJÖ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46238</v>
      </c>
      <c r="F228" t="inlineStr">
        <is>
          <t>JÖNKÖPINGS LÄN</t>
        </is>
      </c>
      <c r="G228" t="inlineStr">
        <is>
          <t>EKSJÖ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46238</v>
      </c>
      <c r="F229" t="inlineStr">
        <is>
          <t>JÖNKÖPINGS LÄN</t>
        </is>
      </c>
      <c r="G229" t="inlineStr">
        <is>
          <t>EKSJÖ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46238</v>
      </c>
      <c r="F230" t="inlineStr">
        <is>
          <t>JÖNKÖPINGS LÄN</t>
        </is>
      </c>
      <c r="G230" t="inlineStr">
        <is>
          <t>EKSJÖ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46238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46238</v>
      </c>
      <c r="F232" t="inlineStr">
        <is>
          <t>JÖNKÖPINGS LÄN</t>
        </is>
      </c>
      <c r="G232" t="inlineStr">
        <is>
          <t>EKSJÖ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19469-2025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45770</v>
      </c>
      <c r="E233" s="1" t="n">
        <v>46238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46238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46238</v>
      </c>
      <c r="F235" t="inlineStr">
        <is>
          <t>JÖNKÖPINGS LÄN</t>
        </is>
      </c>
      <c r="G235" t="inlineStr">
        <is>
          <t>EKSJÖ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46238</v>
      </c>
      <c r="F236" t="inlineStr">
        <is>
          <t>JÖNKÖPINGS LÄN</t>
        </is>
      </c>
      <c r="G236" t="inlineStr">
        <is>
          <t>EKSJÖ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44526-2025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45916</v>
      </c>
      <c r="E237" s="1" t="n">
        <v>46238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54292-2023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45232</v>
      </c>
      <c r="E238" s="1" t="n">
        <v>46238</v>
      </c>
      <c r="F238" t="inlineStr">
        <is>
          <t>JÖNKÖPINGS LÄN</t>
        </is>
      </c>
      <c r="G238" t="inlineStr">
        <is>
          <t>EKSJÖ</t>
        </is>
      </c>
      <c r="I238" t="n">
        <v>18.3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46238</v>
      </c>
      <c r="F239" t="inlineStr">
        <is>
          <t>JÖNKÖPINGS LÄN</t>
        </is>
      </c>
      <c r="G239" t="inlineStr">
        <is>
          <t>EKSJÖ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45201</v>
      </c>
      <c r="E240" s="1" t="n">
        <v>46238</v>
      </c>
      <c r="F240" t="inlineStr">
        <is>
          <t>JÖNKÖPINGS LÄN</t>
        </is>
      </c>
      <c r="G240" t="inlineStr">
        <is>
          <t>EKSJÖ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46238</v>
      </c>
      <c r="F241" t="inlineStr">
        <is>
          <t>JÖNKÖPINGS LÄN</t>
        </is>
      </c>
      <c r="G241" t="inlineStr">
        <is>
          <t>EKSJÖ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46238</v>
      </c>
      <c r="F242" t="inlineStr">
        <is>
          <t>JÖNKÖPINGS LÄN</t>
        </is>
      </c>
      <c r="G242" t="inlineStr">
        <is>
          <t>EKSJÖ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46238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16.1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45334</v>
      </c>
      <c r="E244" s="1" t="n">
        <v>46238</v>
      </c>
      <c r="F244" t="inlineStr">
        <is>
          <t>JÖNKÖPINGS LÄN</t>
        </is>
      </c>
      <c r="G244" t="inlineStr">
        <is>
          <t>EKSJÖ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46238</v>
      </c>
      <c r="F245" t="inlineStr">
        <is>
          <t>JÖNKÖPINGS LÄN</t>
        </is>
      </c>
      <c r="G245" t="inlineStr">
        <is>
          <t>EKSJÖ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10926-2023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44991</v>
      </c>
      <c r="E246" s="1" t="n">
        <v>46238</v>
      </c>
      <c r="F246" t="inlineStr">
        <is>
          <t>JÖNKÖPINGS LÄN</t>
        </is>
      </c>
      <c r="G246" t="inlineStr">
        <is>
          <t>EKSJÖ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46238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45364</v>
      </c>
      <c r="E248" s="1" t="n">
        <v>46238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46238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45338</v>
      </c>
      <c r="E250" s="1" t="n">
        <v>46238</v>
      </c>
      <c r="F250" t="inlineStr">
        <is>
          <t>JÖNKÖPINGS LÄN</t>
        </is>
      </c>
      <c r="G250" t="inlineStr">
        <is>
          <t>EKSJÖ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46238</v>
      </c>
      <c r="F251" t="inlineStr">
        <is>
          <t>JÖNKÖPINGS LÄN</t>
        </is>
      </c>
      <c r="G251" t="inlineStr">
        <is>
          <t>EKSJÖ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46238</v>
      </c>
      <c r="F252" t="inlineStr">
        <is>
          <t>JÖNKÖPINGS LÄN</t>
        </is>
      </c>
      <c r="G252" t="inlineStr">
        <is>
          <t>EKSJÖ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46238</v>
      </c>
      <c r="F253" t="inlineStr">
        <is>
          <t>JÖNKÖPINGS LÄN</t>
        </is>
      </c>
      <c r="G253" t="inlineStr">
        <is>
          <t>EKSJÖ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45391</v>
      </c>
      <c r="E254" s="1" t="n">
        <v>46238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45334</v>
      </c>
      <c r="E255" s="1" t="n">
        <v>46238</v>
      </c>
      <c r="F255" t="inlineStr">
        <is>
          <t>JÖNKÖPINGS LÄN</t>
        </is>
      </c>
      <c r="G255" t="inlineStr">
        <is>
          <t>EKSJÖ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46238</v>
      </c>
      <c r="F256" t="inlineStr">
        <is>
          <t>JÖNKÖPINGS LÄN</t>
        </is>
      </c>
      <c r="G256" t="inlineStr">
        <is>
          <t>EKSJÖ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46238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46238</v>
      </c>
      <c r="F258" t="inlineStr">
        <is>
          <t>JÖNKÖPINGS LÄN</t>
        </is>
      </c>
      <c r="G258" t="inlineStr">
        <is>
          <t>EKSJÖ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46238</v>
      </c>
      <c r="F259" t="inlineStr">
        <is>
          <t>JÖNKÖPINGS LÄN</t>
        </is>
      </c>
      <c r="G259" t="inlineStr">
        <is>
          <t>EKSJÖ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46238</v>
      </c>
      <c r="F260" t="inlineStr">
        <is>
          <t>JÖNKÖPINGS LÄN</t>
        </is>
      </c>
      <c r="G260" t="inlineStr">
        <is>
          <t>EKSJÖ</t>
        </is>
      </c>
      <c r="H260" t="inlineStr">
        <is>
          <t>Kommuner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46238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46238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46238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46238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43100-2021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44431</v>
      </c>
      <c r="E265" s="1" t="n">
        <v>46238</v>
      </c>
      <c r="F265" t="inlineStr">
        <is>
          <t>JÖNKÖPINGS LÄN</t>
        </is>
      </c>
      <c r="G265" t="inlineStr">
        <is>
          <t>EKSJÖ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45940</v>
      </c>
      <c r="E266" s="1" t="n">
        <v>46238</v>
      </c>
      <c r="F266" t="inlineStr">
        <is>
          <t>JÖNKÖPINGS LÄN</t>
        </is>
      </c>
      <c r="G266" t="inlineStr">
        <is>
          <t>EKSJÖ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46238</v>
      </c>
      <c r="F267" t="inlineStr">
        <is>
          <t>JÖNKÖPINGS LÄN</t>
        </is>
      </c>
      <c r="G267" t="inlineStr">
        <is>
          <t>EKSJÖ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46238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46238</v>
      </c>
      <c r="F269" t="inlineStr">
        <is>
          <t>JÖNKÖPINGS LÄN</t>
        </is>
      </c>
      <c r="G269" t="inlineStr">
        <is>
          <t>EKSJÖ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45946</v>
      </c>
      <c r="E270" s="1" t="n">
        <v>46238</v>
      </c>
      <c r="F270" t="inlineStr">
        <is>
          <t>JÖNKÖPINGS LÄN</t>
        </is>
      </c>
      <c r="G270" t="inlineStr">
        <is>
          <t>EKSJÖ</t>
        </is>
      </c>
      <c r="H270" t="inlineStr">
        <is>
          <t>Övriga Aktiebolag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46238</v>
      </c>
      <c r="F271" t="inlineStr">
        <is>
          <t>JÖNKÖPINGS LÄN</t>
        </is>
      </c>
      <c r="G271" t="inlineStr">
        <is>
          <t>EKSJÖ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46238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46238</v>
      </c>
      <c r="F273" t="inlineStr">
        <is>
          <t>JÖNKÖPINGS LÄN</t>
        </is>
      </c>
      <c r="G273" t="inlineStr">
        <is>
          <t>EKSJÖ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46238</v>
      </c>
      <c r="F274" t="inlineStr">
        <is>
          <t>JÖNKÖPINGS LÄN</t>
        </is>
      </c>
      <c r="G274" t="inlineStr">
        <is>
          <t>EKSJÖ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46238</v>
      </c>
      <c r="F275" t="inlineStr">
        <is>
          <t>JÖNKÖPINGS LÄN</t>
        </is>
      </c>
      <c r="G275" t="inlineStr">
        <is>
          <t>EKSJÖ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46238</v>
      </c>
      <c r="F276" t="inlineStr">
        <is>
          <t>JÖNKÖPINGS LÄN</t>
        </is>
      </c>
      <c r="G276" t="inlineStr">
        <is>
          <t>EKSJÖ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45334</v>
      </c>
      <c r="E277" s="1" t="n">
        <v>46238</v>
      </c>
      <c r="F277" t="inlineStr">
        <is>
          <t>JÖNKÖPINGS LÄN</t>
        </is>
      </c>
      <c r="G277" t="inlineStr">
        <is>
          <t>EKSJÖ</t>
        </is>
      </c>
      <c r="H277" t="inlineStr">
        <is>
          <t>Kommuner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46238</v>
      </c>
      <c r="F278" t="inlineStr">
        <is>
          <t>JÖNKÖPINGS LÄN</t>
        </is>
      </c>
      <c r="G278" t="inlineStr">
        <is>
          <t>EKSJÖ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46238</v>
      </c>
      <c r="F279" t="inlineStr">
        <is>
          <t>JÖNKÖPINGS LÄN</t>
        </is>
      </c>
      <c r="G279" t="inlineStr">
        <is>
          <t>EKSJÖ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46238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46238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46238</v>
      </c>
      <c r="F282" t="inlineStr">
        <is>
          <t>JÖNKÖPINGS LÄN</t>
        </is>
      </c>
      <c r="G282" t="inlineStr">
        <is>
          <t>EKSJÖ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44987</v>
      </c>
      <c r="E283" s="1" t="n">
        <v>46238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46238</v>
      </c>
      <c r="F284" t="inlineStr">
        <is>
          <t>JÖNKÖPINGS LÄN</t>
        </is>
      </c>
      <c r="G284" t="inlineStr">
        <is>
          <t>EKSJÖ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46238</v>
      </c>
      <c r="F285" t="inlineStr">
        <is>
          <t>JÖNKÖPINGS LÄN</t>
        </is>
      </c>
      <c r="G285" t="inlineStr">
        <is>
          <t>EKSJÖ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45666</v>
      </c>
      <c r="E286" s="1" t="n">
        <v>46238</v>
      </c>
      <c r="F286" t="inlineStr">
        <is>
          <t>JÖNKÖPINGS LÄN</t>
        </is>
      </c>
      <c r="G286" t="inlineStr">
        <is>
          <t>EKSJÖ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45680</v>
      </c>
      <c r="E287" s="1" t="n">
        <v>46238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44630</v>
      </c>
      <c r="E288" s="1" t="n">
        <v>46238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64993-2023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45286</v>
      </c>
      <c r="E289" s="1" t="n">
        <v>46238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45512</v>
      </c>
      <c r="E290" s="1" t="n">
        <v>46238</v>
      </c>
      <c r="F290" t="inlineStr">
        <is>
          <t>JÖNKÖPINGS LÄN</t>
        </is>
      </c>
      <c r="G290" t="inlineStr">
        <is>
          <t>EKSJÖ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25140-2023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45086</v>
      </c>
      <c r="E291" s="1" t="n">
        <v>46238</v>
      </c>
      <c r="F291" t="inlineStr">
        <is>
          <t>JÖNKÖPINGS LÄN</t>
        </is>
      </c>
      <c r="G291" t="inlineStr">
        <is>
          <t>EKSJÖ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46238</v>
      </c>
      <c r="F292" t="inlineStr">
        <is>
          <t>JÖNKÖPINGS LÄN</t>
        </is>
      </c>
      <c r="G292" t="inlineStr">
        <is>
          <t>EKSJÖ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46238</v>
      </c>
      <c r="F293" t="inlineStr">
        <is>
          <t>JÖNKÖPINGS LÄN</t>
        </is>
      </c>
      <c r="G293" t="inlineStr">
        <is>
          <t>EKSJÖ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46238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12821-2024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45384</v>
      </c>
      <c r="E295" s="1" t="n">
        <v>46238</v>
      </c>
      <c r="F295" t="inlineStr">
        <is>
          <t>JÖNKÖPINGS LÄN</t>
        </is>
      </c>
      <c r="G295" t="inlineStr">
        <is>
          <t>EKSJÖ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46238</v>
      </c>
      <c r="F296" t="inlineStr">
        <is>
          <t>JÖNKÖPINGS LÄN</t>
        </is>
      </c>
      <c r="G296" t="inlineStr">
        <is>
          <t>EKSJÖ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46238</v>
      </c>
      <c r="F297" t="inlineStr">
        <is>
          <t>JÖNKÖPINGS LÄN</t>
        </is>
      </c>
      <c r="G297" t="inlineStr">
        <is>
          <t>EKSJÖ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46238</v>
      </c>
      <c r="F298" t="inlineStr">
        <is>
          <t>JÖNKÖPINGS LÄN</t>
        </is>
      </c>
      <c r="G298" t="inlineStr">
        <is>
          <t>EKSJÖ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46238</v>
      </c>
      <c r="F299" t="inlineStr">
        <is>
          <t>JÖNKÖPINGS LÄN</t>
        </is>
      </c>
      <c r="G299" t="inlineStr">
        <is>
          <t>EKSJÖ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46238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46238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45513</v>
      </c>
      <c r="E302" s="1" t="n">
        <v>46238</v>
      </c>
      <c r="F302" t="inlineStr">
        <is>
          <t>JÖNKÖPINGS LÄN</t>
        </is>
      </c>
      <c r="G302" t="inlineStr">
        <is>
          <t>EKSJÖ</t>
        </is>
      </c>
      <c r="H302" t="inlineStr">
        <is>
          <t>Kyrkan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45882</v>
      </c>
      <c r="E303" s="1" t="n">
        <v>46238</v>
      </c>
      <c r="F303" t="inlineStr">
        <is>
          <t>JÖNKÖPINGS LÄN</t>
        </is>
      </c>
      <c r="G303" t="inlineStr">
        <is>
          <t>EKSJÖ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46238</v>
      </c>
      <c r="F304" t="inlineStr">
        <is>
          <t>JÖNKÖPINGS LÄN</t>
        </is>
      </c>
      <c r="G304" t="inlineStr">
        <is>
          <t>EKSJÖ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46238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45617</v>
      </c>
      <c r="E306" s="1" t="n">
        <v>46238</v>
      </c>
      <c r="F306" t="inlineStr">
        <is>
          <t>JÖNKÖPINGS LÄN</t>
        </is>
      </c>
      <c r="G306" t="inlineStr">
        <is>
          <t>EKSJÖ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46238</v>
      </c>
      <c r="F307" t="inlineStr">
        <is>
          <t>JÖNKÖPINGS LÄN</t>
        </is>
      </c>
      <c r="G307" t="inlineStr">
        <is>
          <t>EKSJÖ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46238</v>
      </c>
      <c r="F308" t="inlineStr">
        <is>
          <t>JÖNKÖPINGS LÄN</t>
        </is>
      </c>
      <c r="G308" t="inlineStr">
        <is>
          <t>EKSJÖ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46238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46238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65554-2021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46238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45576</v>
      </c>
      <c r="E312" s="1" t="n">
        <v>46238</v>
      </c>
      <c r="F312" t="inlineStr">
        <is>
          <t>JÖNKÖPINGS LÄN</t>
        </is>
      </c>
      <c r="G312" t="inlineStr">
        <is>
          <t>EKSJÖ</t>
        </is>
      </c>
      <c r="H312" t="inlineStr">
        <is>
          <t>Övriga Aktiebolag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46238</v>
      </c>
      <c r="F313" t="inlineStr">
        <is>
          <t>JÖNKÖPINGS LÄN</t>
        </is>
      </c>
      <c r="G313" t="inlineStr">
        <is>
          <t>EKSJÖ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44846</v>
      </c>
      <c r="E314" s="1" t="n">
        <v>46238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46238</v>
      </c>
      <c r="F315" t="inlineStr">
        <is>
          <t>JÖNKÖPINGS LÄN</t>
        </is>
      </c>
      <c r="G315" t="inlineStr">
        <is>
          <t>EKSJÖ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45365</v>
      </c>
      <c r="E316" s="1" t="n">
        <v>46238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46238</v>
      </c>
      <c r="F317" t="inlineStr">
        <is>
          <t>JÖNKÖPINGS LÄN</t>
        </is>
      </c>
      <c r="G317" t="inlineStr">
        <is>
          <t>EKSJÖ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46238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46238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45991</v>
      </c>
      <c r="E320" s="1" t="n">
        <v>46238</v>
      </c>
      <c r="F320" t="inlineStr">
        <is>
          <t>JÖNKÖPINGS LÄN</t>
        </is>
      </c>
      <c r="G320" t="inlineStr">
        <is>
          <t>EKSJÖ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46238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44925</v>
      </c>
      <c r="E322" s="1" t="n">
        <v>46238</v>
      </c>
      <c r="F322" t="inlineStr">
        <is>
          <t>JÖNKÖPINGS LÄN</t>
        </is>
      </c>
      <c r="G322" t="inlineStr">
        <is>
          <t>EKSJÖ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45239</v>
      </c>
      <c r="E323" s="1" t="n">
        <v>46238</v>
      </c>
      <c r="F323" t="inlineStr">
        <is>
          <t>JÖNKÖPINGS LÄN</t>
        </is>
      </c>
      <c r="G323" t="inlineStr">
        <is>
          <t>EKSJÖ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46238</v>
      </c>
      <c r="F324" t="inlineStr">
        <is>
          <t>JÖNKÖPINGS LÄN</t>
        </is>
      </c>
      <c r="G324" t="inlineStr">
        <is>
          <t>EKSJÖ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45114</v>
      </c>
      <c r="E325" s="1" t="n">
        <v>46238</v>
      </c>
      <c r="F325" t="inlineStr">
        <is>
          <t>JÖNKÖPINGS LÄN</t>
        </is>
      </c>
      <c r="G325" t="inlineStr">
        <is>
          <t>EKSJÖ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45402</v>
      </c>
      <c r="E326" s="1" t="n">
        <v>46238</v>
      </c>
      <c r="F326" t="inlineStr">
        <is>
          <t>JÖNKÖPINGS LÄN</t>
        </is>
      </c>
      <c r="G326" t="inlineStr">
        <is>
          <t>EKSJÖ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46238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45176</v>
      </c>
      <c r="E328" s="1" t="n">
        <v>46238</v>
      </c>
      <c r="F328" t="inlineStr">
        <is>
          <t>JÖNKÖPINGS LÄN</t>
        </is>
      </c>
      <c r="G328" t="inlineStr">
        <is>
          <t>EKSJÖ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46238</v>
      </c>
      <c r="F329" t="inlineStr">
        <is>
          <t>JÖNKÖPINGS LÄN</t>
        </is>
      </c>
      <c r="G329" t="inlineStr">
        <is>
          <t>EKSJÖ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45314</v>
      </c>
      <c r="E330" s="1" t="n">
        <v>46238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46238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46238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46238</v>
      </c>
      <c r="F333" t="inlineStr">
        <is>
          <t>JÖNKÖPINGS LÄN</t>
        </is>
      </c>
      <c r="G333" t="inlineStr">
        <is>
          <t>EKSJÖ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62958-2025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46238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45659</v>
      </c>
      <c r="E335" s="1" t="n">
        <v>46238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34772-2023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45141</v>
      </c>
      <c r="E336" s="1" t="n">
        <v>46238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62892-2025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46238</v>
      </c>
      <c r="F337" t="inlineStr">
        <is>
          <t>JÖNKÖPINGS LÄN</t>
        </is>
      </c>
      <c r="G337" t="inlineStr">
        <is>
          <t>EKSJÖ</t>
        </is>
      </c>
      <c r="H337" t="inlineStr">
        <is>
          <t>Kommuner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44991</v>
      </c>
      <c r="E338" s="1" t="n">
        <v>46238</v>
      </c>
      <c r="F338" t="inlineStr">
        <is>
          <t>JÖNKÖPINGS LÄN</t>
        </is>
      </c>
      <c r="G338" t="inlineStr">
        <is>
          <t>EKSJÖ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46013</v>
      </c>
      <c r="E339" s="1" t="n">
        <v>46238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46238</v>
      </c>
      <c r="F340" t="inlineStr">
        <is>
          <t>JÖNKÖPINGS LÄN</t>
        </is>
      </c>
      <c r="G340" t="inlineStr">
        <is>
          <t>EKSJÖ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63643-2025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46014</v>
      </c>
      <c r="E341" s="1" t="n">
        <v>46238</v>
      </c>
      <c r="F341" t="inlineStr">
        <is>
          <t>JÖNKÖPINGS LÄN</t>
        </is>
      </c>
      <c r="G341" t="inlineStr">
        <is>
          <t>EKSJÖ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46238</v>
      </c>
      <c r="F342" t="inlineStr">
        <is>
          <t>JÖNKÖPINGS LÄN</t>
        </is>
      </c>
      <c r="G342" t="inlineStr">
        <is>
          <t>EKSJÖ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45175</v>
      </c>
      <c r="E343" s="1" t="n">
        <v>46238</v>
      </c>
      <c r="F343" t="inlineStr">
        <is>
          <t>JÖNKÖPINGS LÄN</t>
        </is>
      </c>
      <c r="G343" t="inlineStr">
        <is>
          <t>EKSJÖ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45086</v>
      </c>
      <c r="E344" s="1" t="n">
        <v>46238</v>
      </c>
      <c r="F344" t="inlineStr">
        <is>
          <t>JÖNKÖPINGS LÄN</t>
        </is>
      </c>
      <c r="G344" t="inlineStr">
        <is>
          <t>EKSJÖ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46031</v>
      </c>
      <c r="E345" s="1" t="n">
        <v>46238</v>
      </c>
      <c r="F345" t="inlineStr">
        <is>
          <t>JÖNKÖPINGS LÄN</t>
        </is>
      </c>
      <c r="G345" t="inlineStr">
        <is>
          <t>EKSJÖ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46238</v>
      </c>
      <c r="F346" t="inlineStr">
        <is>
          <t>JÖNKÖPINGS LÄN</t>
        </is>
      </c>
      <c r="G346" t="inlineStr">
        <is>
          <t>EKSJÖ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46238</v>
      </c>
      <c r="F347" t="inlineStr">
        <is>
          <t>JÖNKÖPINGS LÄN</t>
        </is>
      </c>
      <c r="G347" t="inlineStr">
        <is>
          <t>EKSJÖ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46238</v>
      </c>
      <c r="F348" t="inlineStr">
        <is>
          <t>JÖNKÖPINGS LÄN</t>
        </is>
      </c>
      <c r="G348" t="inlineStr">
        <is>
          <t>EKSJÖ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46238</v>
      </c>
      <c r="F349" t="inlineStr">
        <is>
          <t>JÖNKÖPINGS LÄN</t>
        </is>
      </c>
      <c r="G349" t="inlineStr">
        <is>
          <t>EKSJÖ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46238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46238</v>
      </c>
      <c r="F351" t="inlineStr">
        <is>
          <t>JÖNKÖPINGS LÄN</t>
        </is>
      </c>
      <c r="G351" t="inlineStr">
        <is>
          <t>EKSJÖ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46238</v>
      </c>
      <c r="F352" t="inlineStr">
        <is>
          <t>JÖNKÖPINGS LÄN</t>
        </is>
      </c>
      <c r="G352" t="inlineStr">
        <is>
          <t>EKSJÖ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46238</v>
      </c>
      <c r="F353" t="inlineStr">
        <is>
          <t>JÖNKÖPINGS LÄN</t>
        </is>
      </c>
      <c r="G353" t="inlineStr">
        <is>
          <t>EKSJÖ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46238</v>
      </c>
      <c r="F354" t="inlineStr">
        <is>
          <t>JÖNKÖPINGS LÄN</t>
        </is>
      </c>
      <c r="G354" t="inlineStr">
        <is>
          <t>EKSJÖ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46238</v>
      </c>
      <c r="F355" t="inlineStr">
        <is>
          <t>JÖNKÖPINGS LÄN</t>
        </is>
      </c>
      <c r="G355" t="inlineStr">
        <is>
          <t>EKSJÖ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46238</v>
      </c>
      <c r="F356" t="inlineStr">
        <is>
          <t>JÖNKÖPINGS LÄN</t>
        </is>
      </c>
      <c r="G356" t="inlineStr">
        <is>
          <t>EKSJÖ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46238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45741</v>
      </c>
      <c r="E358" s="1" t="n">
        <v>46238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46238</v>
      </c>
      <c r="F359" t="inlineStr">
        <is>
          <t>JÖNKÖPINGS LÄN</t>
        </is>
      </c>
      <c r="G359" t="inlineStr">
        <is>
          <t>EKSJÖ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46238</v>
      </c>
      <c r="F360" t="inlineStr">
        <is>
          <t>JÖNKÖPINGS LÄN</t>
        </is>
      </c>
      <c r="G360" t="inlineStr">
        <is>
          <t>EKSJÖ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46238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45533</v>
      </c>
      <c r="E362" s="1" t="n">
        <v>46238</v>
      </c>
      <c r="F362" t="inlineStr">
        <is>
          <t>JÖNKÖPINGS LÄN</t>
        </is>
      </c>
      <c r="G362" t="inlineStr">
        <is>
          <t>EKSJÖ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32623-2022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44783</v>
      </c>
      <c r="E363" s="1" t="n">
        <v>46238</v>
      </c>
      <c r="F363" t="inlineStr">
        <is>
          <t>JÖNKÖPINGS LÄN</t>
        </is>
      </c>
      <c r="G363" t="inlineStr">
        <is>
          <t>EKSJÖ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46238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45533</v>
      </c>
      <c r="E365" s="1" t="n">
        <v>46238</v>
      </c>
      <c r="F365" t="inlineStr">
        <is>
          <t>JÖNKÖPINGS LÄN</t>
        </is>
      </c>
      <c r="G365" t="inlineStr">
        <is>
          <t>EKSJÖ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46238</v>
      </c>
      <c r="F366" t="inlineStr">
        <is>
          <t>JÖNKÖPINGS LÄN</t>
        </is>
      </c>
      <c r="G366" t="inlineStr">
        <is>
          <t>EKSJÖ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46238</v>
      </c>
      <c r="F367" t="inlineStr">
        <is>
          <t>JÖNKÖPINGS LÄN</t>
        </is>
      </c>
      <c r="G367" t="inlineStr">
        <is>
          <t>EKSJÖ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46238</v>
      </c>
      <c r="F368" t="inlineStr">
        <is>
          <t>JÖNKÖPINGS LÄN</t>
        </is>
      </c>
      <c r="G368" t="inlineStr">
        <is>
          <t>EKSJÖ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46238</v>
      </c>
      <c r="F369" t="inlineStr">
        <is>
          <t>JÖNKÖPINGS LÄN</t>
        </is>
      </c>
      <c r="G369" t="inlineStr">
        <is>
          <t>EKSJÖ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46238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56805-2024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45628</v>
      </c>
      <c r="E371" s="1" t="n">
        <v>46238</v>
      </c>
      <c r="F371" t="inlineStr">
        <is>
          <t>JÖNKÖPINGS LÄN</t>
        </is>
      </c>
      <c r="G371" t="inlineStr">
        <is>
          <t>EKSJÖ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26706-2022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46238</v>
      </c>
      <c r="F372" t="inlineStr">
        <is>
          <t>JÖNKÖPINGS LÄN</t>
        </is>
      </c>
      <c r="G372" t="inlineStr">
        <is>
          <t>EKSJÖ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30931-2023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45113</v>
      </c>
      <c r="E373" s="1" t="n">
        <v>46238</v>
      </c>
      <c r="F373" t="inlineStr">
        <is>
          <t>JÖNKÖPINGS LÄN</t>
        </is>
      </c>
      <c r="G373" t="inlineStr">
        <is>
          <t>EKSJÖ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46238</v>
      </c>
      <c r="F374" t="inlineStr">
        <is>
          <t>JÖNKÖPINGS LÄN</t>
        </is>
      </c>
      <c r="G374" t="inlineStr">
        <is>
          <t>EKSJÖ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46238</v>
      </c>
      <c r="F375" t="inlineStr">
        <is>
          <t>JÖNKÖPINGS LÄN</t>
        </is>
      </c>
      <c r="G375" t="inlineStr">
        <is>
          <t>EKSJÖ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50287-2024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45600</v>
      </c>
      <c r="E376" s="1" t="n">
        <v>46238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46238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46238</v>
      </c>
      <c r="F378" t="inlineStr">
        <is>
          <t>JÖNKÖPINGS LÄN</t>
        </is>
      </c>
      <c r="G378" t="inlineStr">
        <is>
          <t>EKSJÖ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45049</v>
      </c>
      <c r="E379" s="1" t="n">
        <v>46238</v>
      </c>
      <c r="F379" t="inlineStr">
        <is>
          <t>JÖNKÖPINGS LÄN</t>
        </is>
      </c>
      <c r="G379" t="inlineStr">
        <is>
          <t>EKSJÖ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46238</v>
      </c>
      <c r="F380" t="inlineStr">
        <is>
          <t>JÖNKÖPINGS LÄN</t>
        </is>
      </c>
      <c r="G380" t="inlineStr">
        <is>
          <t>EKSJÖ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44853</v>
      </c>
      <c r="E381" s="1" t="n">
        <v>46238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28401-2026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46197</v>
      </c>
      <c r="E382" s="1" t="n">
        <v>46238</v>
      </c>
      <c r="F382" t="inlineStr">
        <is>
          <t>JÖNKÖPINGS LÄN</t>
        </is>
      </c>
      <c r="G382" t="inlineStr">
        <is>
          <t>EKSJÖ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46197</v>
      </c>
      <c r="E383" s="1" t="n">
        <v>46238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46238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46238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46238</v>
      </c>
      <c r="F386" t="inlineStr">
        <is>
          <t>JÖNKÖPINGS LÄN</t>
        </is>
      </c>
      <c r="G386" t="inlineStr">
        <is>
          <t>EKSJÖ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44925</v>
      </c>
      <c r="E387" s="1" t="n">
        <v>46238</v>
      </c>
      <c r="F387" t="inlineStr">
        <is>
          <t>JÖNKÖPINGS LÄN</t>
        </is>
      </c>
      <c r="G387" t="inlineStr">
        <is>
          <t>EKSJÖ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46238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45212</v>
      </c>
      <c r="E389" s="1" t="n">
        <v>46238</v>
      </c>
      <c r="F389" t="inlineStr">
        <is>
          <t>JÖNKÖPINGS LÄN</t>
        </is>
      </c>
      <c r="G389" t="inlineStr">
        <is>
          <t>EKSJÖ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46238</v>
      </c>
      <c r="F390" t="inlineStr">
        <is>
          <t>JÖNKÖPINGS LÄN</t>
        </is>
      </c>
      <c r="G390" t="inlineStr">
        <is>
          <t>EKSJÖ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8984-2026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46069</v>
      </c>
      <c r="E391" s="1" t="n">
        <v>46238</v>
      </c>
      <c r="F391" t="inlineStr">
        <is>
          <t>JÖNKÖPINGS LÄN</t>
        </is>
      </c>
      <c r="G391" t="inlineStr">
        <is>
          <t>EKSJÖ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46238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46238</v>
      </c>
      <c r="F393" t="inlineStr">
        <is>
          <t>JÖNKÖPINGS LÄN</t>
        </is>
      </c>
      <c r="G393" t="inlineStr">
        <is>
          <t>EKSJÖ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46238</v>
      </c>
      <c r="F394" t="inlineStr">
        <is>
          <t>JÖNKÖPINGS LÄN</t>
        </is>
      </c>
      <c r="G394" t="inlineStr">
        <is>
          <t>EKSJÖ</t>
        </is>
      </c>
      <c r="H394" t="inlineStr">
        <is>
          <t>Kommuner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44685</v>
      </c>
      <c r="E395" s="1" t="n">
        <v>46238</v>
      </c>
      <c r="F395" t="inlineStr">
        <is>
          <t>JÖNKÖPINGS LÄN</t>
        </is>
      </c>
      <c r="G395" t="inlineStr">
        <is>
          <t>EKSJÖ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44846</v>
      </c>
      <c r="E396" s="1" t="n">
        <v>46238</v>
      </c>
      <c r="F396" t="inlineStr">
        <is>
          <t>JÖNKÖPINGS LÄN</t>
        </is>
      </c>
      <c r="G396" t="inlineStr">
        <is>
          <t>EKSJÖ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38592-2022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44813</v>
      </c>
      <c r="E397" s="1" t="n">
        <v>46238</v>
      </c>
      <c r="F397" t="inlineStr">
        <is>
          <t>JÖNKÖPINGS LÄN</t>
        </is>
      </c>
      <c r="G397" t="inlineStr">
        <is>
          <t>EKSJÖ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45420</v>
      </c>
      <c r="E398" s="1" t="n">
        <v>46238</v>
      </c>
      <c r="F398" t="inlineStr">
        <is>
          <t>JÖNKÖPINGS LÄN</t>
        </is>
      </c>
      <c r="G398" t="inlineStr">
        <is>
          <t>EKSJÖ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45426</v>
      </c>
      <c r="E399" s="1" t="n">
        <v>46238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44803</v>
      </c>
      <c r="E400" s="1" t="n">
        <v>46238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29043-2026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46238</v>
      </c>
      <c r="F401" t="inlineStr">
        <is>
          <t>JÖNKÖPINGS LÄN</t>
        </is>
      </c>
      <c r="G401" t="inlineStr">
        <is>
          <t>EKSJÖ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46238</v>
      </c>
      <c r="F402" t="inlineStr">
        <is>
          <t>JÖNKÖPINGS LÄN</t>
        </is>
      </c>
      <c r="G402" t="inlineStr">
        <is>
          <t>EKSJÖ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45251</v>
      </c>
      <c r="E403" s="1" t="n">
        <v>46238</v>
      </c>
      <c r="F403" t="inlineStr">
        <is>
          <t>JÖNKÖPINGS LÄN</t>
        </is>
      </c>
      <c r="G403" t="inlineStr">
        <is>
          <t>EKSJÖ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45677</v>
      </c>
      <c r="E404" s="1" t="n">
        <v>46238</v>
      </c>
      <c r="F404" t="inlineStr">
        <is>
          <t>JÖNKÖPINGS LÄN</t>
        </is>
      </c>
      <c r="G404" t="inlineStr">
        <is>
          <t>EKSJÖ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45075</v>
      </c>
      <c r="E405" s="1" t="n">
        <v>46238</v>
      </c>
      <c r="F405" t="inlineStr">
        <is>
          <t>JÖNKÖPINGS LÄN</t>
        </is>
      </c>
      <c r="G405" t="inlineStr">
        <is>
          <t>EKSJÖ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8172-2023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44974</v>
      </c>
      <c r="E406" s="1" t="n">
        <v>46238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46238</v>
      </c>
      <c r="F407" t="inlineStr">
        <is>
          <t>JÖNKÖPINGS LÄN</t>
        </is>
      </c>
      <c r="G407" t="inlineStr">
        <is>
          <t>EKSJÖ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60920-2025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45996</v>
      </c>
      <c r="E408" s="1" t="n">
        <v>46238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46013-2022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44846</v>
      </c>
      <c r="E409" s="1" t="n">
        <v>46238</v>
      </c>
      <c r="F409" t="inlineStr">
        <is>
          <t>JÖNKÖPINGS LÄN</t>
        </is>
      </c>
      <c r="G409" t="inlineStr">
        <is>
          <t>EKSJÖ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46014-2022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44846</v>
      </c>
      <c r="E410" s="1" t="n">
        <v>46238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46238</v>
      </c>
      <c r="F411" t="inlineStr">
        <is>
          <t>JÖNKÖPINGS LÄN</t>
        </is>
      </c>
      <c r="G411" t="inlineStr">
        <is>
          <t>EKSJÖ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46238</v>
      </c>
      <c r="F412" t="inlineStr">
        <is>
          <t>JÖNKÖPINGS LÄN</t>
        </is>
      </c>
      <c r="G412" t="inlineStr">
        <is>
          <t>EKSJÖ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46238</v>
      </c>
      <c r="F413" t="inlineStr">
        <is>
          <t>JÖNKÖPINGS LÄN</t>
        </is>
      </c>
      <c r="G413" t="inlineStr">
        <is>
          <t>EKSJÖ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46238</v>
      </c>
      <c r="F414" t="inlineStr">
        <is>
          <t>JÖNKÖPINGS LÄN</t>
        </is>
      </c>
      <c r="G414" t="inlineStr">
        <is>
          <t>EKSJÖ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46238</v>
      </c>
      <c r="F415" t="inlineStr">
        <is>
          <t>JÖNKÖPINGS LÄN</t>
        </is>
      </c>
      <c r="G415" t="inlineStr">
        <is>
          <t>EKSJÖ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46238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44713</v>
      </c>
      <c r="E417" s="1" t="n">
        <v>46238</v>
      </c>
      <c r="F417" t="inlineStr">
        <is>
          <t>JÖNKÖPINGS LÄN</t>
        </is>
      </c>
      <c r="G417" t="inlineStr">
        <is>
          <t>EKSJÖ</t>
        </is>
      </c>
      <c r="H417" t="inlineStr">
        <is>
          <t>Kyrkan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46238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46238</v>
      </c>
      <c r="F419" t="inlineStr">
        <is>
          <t>JÖNKÖPINGS LÄN</t>
        </is>
      </c>
      <c r="G419" t="inlineStr">
        <is>
          <t>EKSJÖ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46238</v>
      </c>
      <c r="F420" t="inlineStr">
        <is>
          <t>JÖNKÖPINGS LÄN</t>
        </is>
      </c>
      <c r="G420" t="inlineStr">
        <is>
          <t>EKSJÖ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49403-2021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44454</v>
      </c>
      <c r="E421" s="1" t="n">
        <v>46238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15403-2026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46238</v>
      </c>
      <c r="F422" t="inlineStr">
        <is>
          <t>JÖNKÖPINGS LÄN</t>
        </is>
      </c>
      <c r="G422" t="inlineStr">
        <is>
          <t>EKSJÖ</t>
        </is>
      </c>
      <c r="H422" t="inlineStr">
        <is>
          <t>Kommuner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46238</v>
      </c>
      <c r="F423" t="inlineStr">
        <is>
          <t>JÖNKÖPINGS LÄN</t>
        </is>
      </c>
      <c r="G423" t="inlineStr">
        <is>
          <t>EKSJÖ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46238</v>
      </c>
      <c r="F424" t="inlineStr">
        <is>
          <t>JÖNKÖPINGS LÄN</t>
        </is>
      </c>
      <c r="G424" t="inlineStr">
        <is>
          <t>EKSJÖ</t>
        </is>
      </c>
      <c r="H424" t="inlineStr">
        <is>
          <t>Kommuner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46238</v>
      </c>
      <c r="F425" t="inlineStr">
        <is>
          <t>JÖNKÖPINGS LÄN</t>
        </is>
      </c>
      <c r="G425" t="inlineStr">
        <is>
          <t>EKSJÖ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45723</v>
      </c>
      <c r="E426" s="1" t="n">
        <v>46238</v>
      </c>
      <c r="F426" t="inlineStr">
        <is>
          <t>JÖNKÖPINGS LÄN</t>
        </is>
      </c>
      <c r="G426" t="inlineStr">
        <is>
          <t>EKSJÖ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46238</v>
      </c>
      <c r="F427" t="inlineStr">
        <is>
          <t>JÖNKÖPINGS LÄN</t>
        </is>
      </c>
      <c r="G427" t="inlineStr">
        <is>
          <t>EKSJÖ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46238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46238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46238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46238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46238</v>
      </c>
      <c r="F432" t="inlineStr">
        <is>
          <t>JÖNKÖPINGS LÄN</t>
        </is>
      </c>
      <c r="G432" t="inlineStr">
        <is>
          <t>EKSJÖ</t>
        </is>
      </c>
      <c r="H432" t="inlineStr">
        <is>
          <t>Sveaskog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46238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46238</v>
      </c>
      <c r="F434" t="inlineStr">
        <is>
          <t>JÖNKÖPINGS LÄN</t>
        </is>
      </c>
      <c r="G434" t="inlineStr">
        <is>
          <t>EKSJÖ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44908</v>
      </c>
      <c r="E435" s="1" t="n">
        <v>46238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46238</v>
      </c>
      <c r="F436" t="inlineStr">
        <is>
          <t>JÖNKÖPINGS LÄN</t>
        </is>
      </c>
      <c r="G436" t="inlineStr">
        <is>
          <t>EKSJÖ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9058-2022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44615</v>
      </c>
      <c r="E437" s="1" t="n">
        <v>46238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46238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46238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53053-2021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46238</v>
      </c>
      <c r="F440" t="inlineStr">
        <is>
          <t>JÖNKÖPINGS LÄN</t>
        </is>
      </c>
      <c r="G440" t="inlineStr">
        <is>
          <t>EKSJÖ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45161</v>
      </c>
      <c r="E441" s="1" t="n">
        <v>46238</v>
      </c>
      <c r="F441" t="inlineStr">
        <is>
          <t>JÖNKÖPINGS LÄN</t>
        </is>
      </c>
      <c r="G441" t="inlineStr">
        <is>
          <t>EKSJÖ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46238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46238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46238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46238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52200-2023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45224</v>
      </c>
      <c r="E446" s="1" t="n">
        <v>46238</v>
      </c>
      <c r="F446" t="inlineStr">
        <is>
          <t>JÖNKÖPINGS LÄN</t>
        </is>
      </c>
      <c r="G446" t="inlineStr">
        <is>
          <t>EKSJÖ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56689-2021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44481</v>
      </c>
      <c r="E447" s="1" t="n">
        <v>46238</v>
      </c>
      <c r="F447" t="inlineStr">
        <is>
          <t>JÖNKÖPINGS LÄN</t>
        </is>
      </c>
      <c r="G447" t="inlineStr">
        <is>
          <t>EKSJÖ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46238</v>
      </c>
      <c r="F448" t="inlineStr">
        <is>
          <t>JÖNKÖPINGS LÄN</t>
        </is>
      </c>
      <c r="G448" t="inlineStr">
        <is>
          <t>EKSJÖ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7728-2025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45706</v>
      </c>
      <c r="E449" s="1" t="n">
        <v>46238</v>
      </c>
      <c r="F449" t="inlineStr">
        <is>
          <t>JÖNKÖPINGS LÄN</t>
        </is>
      </c>
      <c r="G449" t="inlineStr">
        <is>
          <t>EKSJÖ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45719</v>
      </c>
      <c r="E450" s="1" t="n">
        <v>46238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46238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46238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45082</v>
      </c>
      <c r="E453" s="1" t="n">
        <v>46238</v>
      </c>
      <c r="F453" t="inlineStr">
        <is>
          <t>JÖNKÖPINGS LÄN</t>
        </is>
      </c>
      <c r="G453" t="inlineStr">
        <is>
          <t>EKSJÖ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45649</v>
      </c>
      <c r="E454" s="1" t="n">
        <v>46238</v>
      </c>
      <c r="F454" t="inlineStr">
        <is>
          <t>JÖNKÖPINGS LÄN</t>
        </is>
      </c>
      <c r="G454" t="inlineStr">
        <is>
          <t>EKSJÖ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46238</v>
      </c>
      <c r="F455" t="inlineStr">
        <is>
          <t>JÖNKÖPINGS LÄN</t>
        </is>
      </c>
      <c r="G455" t="inlineStr">
        <is>
          <t>EKSJÖ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45096</v>
      </c>
      <c r="E456" s="1" t="n">
        <v>46238</v>
      </c>
      <c r="F456" t="inlineStr">
        <is>
          <t>JÖNKÖPINGS LÄN</t>
        </is>
      </c>
      <c r="G456" t="inlineStr">
        <is>
          <t>EKSJÖ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46238</v>
      </c>
      <c r="F457" t="inlineStr">
        <is>
          <t>JÖNKÖPINGS LÄN</t>
        </is>
      </c>
      <c r="G457" t="inlineStr">
        <is>
          <t>EKSJÖ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46238</v>
      </c>
      <c r="F458" t="inlineStr">
        <is>
          <t>JÖNKÖPINGS LÄN</t>
        </is>
      </c>
      <c r="G458" t="inlineStr">
        <is>
          <t>EKSJÖ</t>
        </is>
      </c>
      <c r="H458" t="inlineStr">
        <is>
          <t>Övriga Aktiebolag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36505-2024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46238</v>
      </c>
      <c r="F459" t="inlineStr">
        <is>
          <t>JÖNKÖPINGS LÄN</t>
        </is>
      </c>
      <c r="G459" t="inlineStr">
        <is>
          <t>EKSJÖ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46238</v>
      </c>
      <c r="F460" t="inlineStr">
        <is>
          <t>JÖNKÖPINGS LÄN</t>
        </is>
      </c>
      <c r="G460" t="inlineStr">
        <is>
          <t>EKSJÖ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46238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46238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46238</v>
      </c>
      <c r="F463" t="inlineStr">
        <is>
          <t>JÖNKÖPINGS LÄN</t>
        </is>
      </c>
      <c r="G463" t="inlineStr">
        <is>
          <t>EKSJÖ</t>
        </is>
      </c>
      <c r="H463" t="inlineStr">
        <is>
          <t>Kyrkan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45160</v>
      </c>
      <c r="E464" s="1" t="n">
        <v>46238</v>
      </c>
      <c r="F464" t="inlineStr">
        <is>
          <t>JÖNKÖPINGS LÄN</t>
        </is>
      </c>
      <c r="G464" t="inlineStr">
        <is>
          <t>EKSJÖ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46238</v>
      </c>
      <c r="F465" t="inlineStr">
        <is>
          <t>JÖNKÖPINGS LÄN</t>
        </is>
      </c>
      <c r="G465" t="inlineStr">
        <is>
          <t>EKSJÖ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46238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46238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46238</v>
      </c>
      <c r="F468" t="inlineStr">
        <is>
          <t>JÖNKÖPINGS LÄN</t>
        </is>
      </c>
      <c r="G468" t="inlineStr">
        <is>
          <t>EKSJÖ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45068</v>
      </c>
      <c r="E469" s="1" t="n">
        <v>46238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46238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46238</v>
      </c>
      <c r="F471" t="inlineStr">
        <is>
          <t>JÖNKÖPINGS LÄN</t>
        </is>
      </c>
      <c r="G471" t="inlineStr">
        <is>
          <t>EKSJÖ</t>
        </is>
      </c>
      <c r="H471" t="inlineStr">
        <is>
          <t>Kyrkan</t>
        </is>
      </c>
      <c r="I471" t="n">
        <v>15.2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46238</v>
      </c>
      <c r="F472" t="inlineStr">
        <is>
          <t>JÖNKÖPINGS LÄN</t>
        </is>
      </c>
      <c r="G472" t="inlineStr">
        <is>
          <t>EKSJÖ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45253</v>
      </c>
      <c r="E473" s="1" t="n">
        <v>46238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46238</v>
      </c>
      <c r="F474" t="inlineStr">
        <is>
          <t>JÖNKÖPINGS LÄN</t>
        </is>
      </c>
      <c r="G474" t="inlineStr">
        <is>
          <t>EKSJÖ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45493-2022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44845</v>
      </c>
      <c r="E475" s="1" t="n">
        <v>46238</v>
      </c>
      <c r="F475" t="inlineStr">
        <is>
          <t>JÖNKÖPINGS LÄN</t>
        </is>
      </c>
      <c r="G475" t="inlineStr">
        <is>
          <t>EKSJÖ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46184</v>
      </c>
      <c r="E476" s="1" t="n">
        <v>46238</v>
      </c>
      <c r="F476" t="inlineStr">
        <is>
          <t>JÖNKÖPINGS LÄN</t>
        </is>
      </c>
      <c r="G476" t="inlineStr">
        <is>
          <t>EKSJÖ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46238</v>
      </c>
      <c r="F477" t="inlineStr">
        <is>
          <t>JÖNKÖPINGS LÄN</t>
        </is>
      </c>
      <c r="G477" t="inlineStr">
        <is>
          <t>EKSJÖ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44789</v>
      </c>
      <c r="E478" s="1" t="n">
        <v>46238</v>
      </c>
      <c r="F478" t="inlineStr">
        <is>
          <t>JÖNKÖPINGS LÄN</t>
        </is>
      </c>
      <c r="G478" t="inlineStr">
        <is>
          <t>EKSJÖ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46238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55817-2023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45239</v>
      </c>
      <c r="E480" s="1" t="n">
        <v>46238</v>
      </c>
      <c r="F480" t="inlineStr">
        <is>
          <t>JÖNKÖPINGS LÄN</t>
        </is>
      </c>
      <c r="G480" t="inlineStr">
        <is>
          <t>EKSJÖ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45370</v>
      </c>
      <c r="E481" s="1" t="n">
        <v>46238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45334</v>
      </c>
      <c r="E482" s="1" t="n">
        <v>46238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45334</v>
      </c>
      <c r="E483" s="1" t="n">
        <v>46238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50165-2022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44865</v>
      </c>
      <c r="E484" s="1" t="n">
        <v>46238</v>
      </c>
      <c r="F484" t="inlineStr">
        <is>
          <t>JÖNKÖPINGS LÄN</t>
        </is>
      </c>
      <c r="G484" t="inlineStr">
        <is>
          <t>EKSJÖ</t>
        </is>
      </c>
      <c r="H484" t="inlineStr">
        <is>
          <t>Övriga Aktiebolag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46238</v>
      </c>
      <c r="F485" t="inlineStr">
        <is>
          <t>JÖNKÖPINGS LÄN</t>
        </is>
      </c>
      <c r="G485" t="inlineStr">
        <is>
          <t>EKSJÖ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46238</v>
      </c>
      <c r="F486" t="inlineStr">
        <is>
          <t>JÖNKÖPINGS LÄN</t>
        </is>
      </c>
      <c r="G486" t="inlineStr">
        <is>
          <t>EKSJÖ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46238</v>
      </c>
      <c r="F487" t="inlineStr">
        <is>
          <t>JÖNKÖPINGS LÄN</t>
        </is>
      </c>
      <c r="G487" t="inlineStr">
        <is>
          <t>EKSJÖ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9294-2025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46238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46238</v>
      </c>
      <c r="F489" t="inlineStr">
        <is>
          <t>JÖNKÖPINGS LÄN</t>
        </is>
      </c>
      <c r="G489" t="inlineStr">
        <is>
          <t>EKSJÖ</t>
        </is>
      </c>
      <c r="I489" t="n">
        <v>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8183-2023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46238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41397-2024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46238</v>
      </c>
      <c r="F491" t="inlineStr">
        <is>
          <t>JÖNKÖPINGS LÄN</t>
        </is>
      </c>
      <c r="G491" t="inlineStr">
        <is>
          <t>EKSJÖ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45367-2024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45576</v>
      </c>
      <c r="E492" s="1" t="n">
        <v>46238</v>
      </c>
      <c r="F492" t="inlineStr">
        <is>
          <t>JÖNKÖPINGS LÄN</t>
        </is>
      </c>
      <c r="G492" t="inlineStr">
        <is>
          <t>EKSJÖ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59050-2021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44490</v>
      </c>
      <c r="E493" s="1" t="n">
        <v>46238</v>
      </c>
      <c r="F493" t="inlineStr">
        <is>
          <t>JÖNKÖPINGS LÄN</t>
        </is>
      </c>
      <c r="G493" t="inlineStr">
        <is>
          <t>EKSJÖ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45076</v>
      </c>
      <c r="E494" s="1" t="n">
        <v>46238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45096</v>
      </c>
      <c r="E495" s="1" t="n">
        <v>46238</v>
      </c>
      <c r="F495" t="inlineStr">
        <is>
          <t>JÖNKÖPINGS LÄN</t>
        </is>
      </c>
      <c r="G495" t="inlineStr">
        <is>
          <t>EKSJÖ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46238</v>
      </c>
      <c r="F496" t="inlineStr">
        <is>
          <t>JÖNKÖPINGS LÄN</t>
        </is>
      </c>
      <c r="G496" t="inlineStr">
        <is>
          <t>EKSJÖ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44623</v>
      </c>
      <c r="E497" s="1" t="n">
        <v>46238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45156</v>
      </c>
      <c r="E498" s="1" t="n">
        <v>46238</v>
      </c>
      <c r="F498" t="inlineStr">
        <is>
          <t>JÖNKÖPINGS LÄN</t>
        </is>
      </c>
      <c r="G498" t="inlineStr">
        <is>
          <t>EKSJÖ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22670-2023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45071</v>
      </c>
      <c r="E499" s="1" t="n">
        <v>46238</v>
      </c>
      <c r="F499" t="inlineStr">
        <is>
          <t>JÖNKÖPINGS LÄN</t>
        </is>
      </c>
      <c r="G499" t="inlineStr">
        <is>
          <t>EKSJÖ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45741</v>
      </c>
      <c r="E500" s="1" t="n">
        <v>46238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59905-2022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44908</v>
      </c>
      <c r="E501" s="1" t="n">
        <v>46238</v>
      </c>
      <c r="F501" t="inlineStr">
        <is>
          <t>JÖNKÖPINGS LÄN</t>
        </is>
      </c>
      <c r="G501" t="inlineStr">
        <is>
          <t>EKSJÖ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45391</v>
      </c>
      <c r="E502" s="1" t="n">
        <v>46238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44581</v>
      </c>
      <c r="E503" s="1" t="n">
        <v>46238</v>
      </c>
      <c r="F503" t="inlineStr">
        <is>
          <t>JÖNKÖPINGS LÄN</t>
        </is>
      </c>
      <c r="G503" t="inlineStr">
        <is>
          <t>EKSJÖ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45111</v>
      </c>
      <c r="E504" s="1" t="n">
        <v>46238</v>
      </c>
      <c r="F504" t="inlineStr">
        <is>
          <t>JÖNKÖPINGS LÄN</t>
        </is>
      </c>
      <c r="G504" t="inlineStr">
        <is>
          <t>EKSJÖ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6236-2022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46238</v>
      </c>
      <c r="F505" t="inlineStr">
        <is>
          <t>JÖNKÖPINGS LÄN</t>
        </is>
      </c>
      <c r="G505" t="inlineStr">
        <is>
          <t>EKSJÖ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46238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45411</v>
      </c>
      <c r="E507" s="1" t="n">
        <v>46238</v>
      </c>
      <c r="F507" t="inlineStr">
        <is>
          <t>JÖNKÖPINGS LÄN</t>
        </is>
      </c>
      <c r="G507" t="inlineStr">
        <is>
          <t>EKSJÖ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49919-2023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45214</v>
      </c>
      <c r="E508" s="1" t="n">
        <v>46238</v>
      </c>
      <c r="F508" t="inlineStr">
        <is>
          <t>JÖNKÖPINGS LÄN</t>
        </is>
      </c>
      <c r="G508" t="inlineStr">
        <is>
          <t>EKSJÖ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45300</v>
      </c>
      <c r="E509" s="1" t="n">
        <v>46238</v>
      </c>
      <c r="F509" t="inlineStr">
        <is>
          <t>JÖNKÖPINGS LÄN</t>
        </is>
      </c>
      <c r="G509" t="inlineStr">
        <is>
          <t>EKSJÖ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44746</v>
      </c>
      <c r="E510" s="1" t="n">
        <v>46238</v>
      </c>
      <c r="F510" t="inlineStr">
        <is>
          <t>JÖNKÖPINGS LÄN</t>
        </is>
      </c>
      <c r="G510" t="inlineStr">
        <is>
          <t>EKSJÖ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46238</v>
      </c>
      <c r="F511" t="inlineStr">
        <is>
          <t>JÖNKÖPINGS LÄN</t>
        </is>
      </c>
      <c r="G511" t="inlineStr">
        <is>
          <t>EKSJÖ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45632</v>
      </c>
      <c r="E512" s="1" t="n">
        <v>46238</v>
      </c>
      <c r="F512" t="inlineStr">
        <is>
          <t>JÖNKÖPINGS LÄN</t>
        </is>
      </c>
      <c r="G512" t="inlineStr">
        <is>
          <t>EKSJÖ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45208</v>
      </c>
      <c r="E513" s="1" t="n">
        <v>46238</v>
      </c>
      <c r="F513" t="inlineStr">
        <is>
          <t>JÖNKÖPINGS LÄN</t>
        </is>
      </c>
      <c r="G513" t="inlineStr">
        <is>
          <t>EKSJÖ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46238</v>
      </c>
      <c r="F514" t="inlineStr">
        <is>
          <t>JÖNKÖPINGS LÄN</t>
        </is>
      </c>
      <c r="G514" t="inlineStr">
        <is>
          <t>EKSJÖ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45334</v>
      </c>
      <c r="E515" s="1" t="n">
        <v>46238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46577-2022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44848</v>
      </c>
      <c r="E516" s="1" t="n">
        <v>46238</v>
      </c>
      <c r="F516" t="inlineStr">
        <is>
          <t>JÖNKÖPINGS LÄN</t>
        </is>
      </c>
      <c r="G516" t="inlineStr">
        <is>
          <t>EKSJÖ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45537</v>
      </c>
      <c r="E517" s="1" t="n">
        <v>46238</v>
      </c>
      <c r="F517" t="inlineStr">
        <is>
          <t>JÖNKÖPINGS LÄN</t>
        </is>
      </c>
      <c r="G517" t="inlineStr">
        <is>
          <t>EKSJÖ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46238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46238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46238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9400-2025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46238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46238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47204-2022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44851</v>
      </c>
      <c r="E523" s="1" t="n">
        <v>46238</v>
      </c>
      <c r="F523" t="inlineStr">
        <is>
          <t>JÖNKÖPINGS LÄN</t>
        </is>
      </c>
      <c r="G523" t="inlineStr">
        <is>
          <t>EKSJÖ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45707</v>
      </c>
      <c r="E524" s="1" t="n">
        <v>46238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45329</v>
      </c>
      <c r="E525" s="1" t="n">
        <v>46238</v>
      </c>
      <c r="F525" t="inlineStr">
        <is>
          <t>JÖNKÖPINGS LÄN</t>
        </is>
      </c>
      <c r="G525" t="inlineStr">
        <is>
          <t>EKSJÖ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58490-2024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45635</v>
      </c>
      <c r="E526" s="1" t="n">
        <v>46238</v>
      </c>
      <c r="F526" t="inlineStr">
        <is>
          <t>JÖNKÖPINGS LÄN</t>
        </is>
      </c>
      <c r="G526" t="inlineStr">
        <is>
          <t>EKSJÖ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46238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5640-2024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45334</v>
      </c>
      <c r="E528" s="1" t="n">
        <v>46238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46238</v>
      </c>
      <c r="F529" t="inlineStr">
        <is>
          <t>JÖNKÖPINGS LÄN</t>
        </is>
      </c>
      <c r="G529" t="inlineStr">
        <is>
          <t>EKSJÖ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41816-2024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46238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44719</v>
      </c>
      <c r="E531" s="1" t="n">
        <v>46238</v>
      </c>
      <c r="F531" t="inlineStr">
        <is>
          <t>JÖNKÖPINGS LÄN</t>
        </is>
      </c>
      <c r="G531" t="inlineStr">
        <is>
          <t>EKSJÖ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45762</v>
      </c>
      <c r="E532" s="1" t="n">
        <v>46238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45671</v>
      </c>
      <c r="E533" s="1" t="n">
        <v>46238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8165-2022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44609</v>
      </c>
      <c r="E534" s="1" t="n">
        <v>46238</v>
      </c>
      <c r="F534" t="inlineStr">
        <is>
          <t>JÖNKÖPINGS LÄN</t>
        </is>
      </c>
      <c r="G534" t="inlineStr">
        <is>
          <t>EKSJÖ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12399-2023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44999</v>
      </c>
      <c r="E535" s="1" t="n">
        <v>46238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46238</v>
      </c>
      <c r="F536" t="inlineStr">
        <is>
          <t>JÖNKÖPINGS LÄN</t>
        </is>
      </c>
      <c r="G536" t="inlineStr">
        <is>
          <t>EKSJÖ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46238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46238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46238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46238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9.6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45779</v>
      </c>
      <c r="E541" s="1" t="n">
        <v>46238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46238</v>
      </c>
      <c r="F542" t="inlineStr">
        <is>
          <t>JÖNKÖPINGS LÄN</t>
        </is>
      </c>
      <c r="G542" t="inlineStr">
        <is>
          <t>EKSJÖ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7723-2025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45706</v>
      </c>
      <c r="E543" s="1" t="n">
        <v>46238</v>
      </c>
      <c r="F543" t="inlineStr">
        <is>
          <t>JÖNKÖPINGS LÄN</t>
        </is>
      </c>
      <c r="G543" t="inlineStr">
        <is>
          <t>EKSJÖ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22574-2025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46238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46238</v>
      </c>
      <c r="F545" t="inlineStr">
        <is>
          <t>JÖNKÖPINGS LÄN</t>
        </is>
      </c>
      <c r="G545" t="inlineStr">
        <is>
          <t>EKSJÖ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42469-2023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46238</v>
      </c>
      <c r="F546" t="inlineStr">
        <is>
          <t>JÖNKÖPINGS LÄN</t>
        </is>
      </c>
      <c r="G546" t="inlineStr">
        <is>
          <t>EKSJÖ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45530</v>
      </c>
      <c r="E547" s="1" t="n">
        <v>46238</v>
      </c>
      <c r="F547" t="inlineStr">
        <is>
          <t>JÖNKÖPINGS LÄN</t>
        </is>
      </c>
      <c r="G547" t="inlineStr">
        <is>
          <t>EKSJÖ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22987-2025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45790</v>
      </c>
      <c r="E548" s="1" t="n">
        <v>46238</v>
      </c>
      <c r="F548" t="inlineStr">
        <is>
          <t>JÖNKÖPINGS LÄN</t>
        </is>
      </c>
      <c r="G548" t="inlineStr">
        <is>
          <t>EKSJÖ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45579</v>
      </c>
      <c r="E549" s="1" t="n">
        <v>46238</v>
      </c>
      <c r="F549" t="inlineStr">
        <is>
          <t>JÖNKÖPINGS LÄN</t>
        </is>
      </c>
      <c r="G549" t="inlineStr">
        <is>
          <t>EKSJÖ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46238</v>
      </c>
      <c r="F550" t="inlineStr">
        <is>
          <t>JÖNKÖPINGS LÄN</t>
        </is>
      </c>
      <c r="G550" t="inlineStr">
        <is>
          <t>EKSJÖ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46238</v>
      </c>
      <c r="F551" t="inlineStr">
        <is>
          <t>JÖNKÖPINGS LÄN</t>
        </is>
      </c>
      <c r="G551" t="inlineStr">
        <is>
          <t>EKSJÖ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45743</v>
      </c>
      <c r="E552" s="1" t="n">
        <v>46238</v>
      </c>
      <c r="F552" t="inlineStr">
        <is>
          <t>JÖNKÖPINGS LÄN</t>
        </is>
      </c>
      <c r="G552" t="inlineStr">
        <is>
          <t>EKSJÖ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56039-2024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45624</v>
      </c>
      <c r="E553" s="1" t="n">
        <v>46238</v>
      </c>
      <c r="F553" t="inlineStr">
        <is>
          <t>JÖNKÖPINGS LÄN</t>
        </is>
      </c>
      <c r="G553" t="inlineStr">
        <is>
          <t>EKSJÖ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46238</v>
      </c>
      <c r="F554" t="inlineStr">
        <is>
          <t>JÖNKÖPINGS LÄN</t>
        </is>
      </c>
      <c r="G554" t="inlineStr">
        <is>
          <t>EKSJÖ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14382-2025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45741</v>
      </c>
      <c r="E555" s="1" t="n">
        <v>46238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45726</v>
      </c>
      <c r="E556" s="1" t="n">
        <v>46238</v>
      </c>
      <c r="F556" t="inlineStr">
        <is>
          <t>JÖNKÖPINGS LÄN</t>
        </is>
      </c>
      <c r="G556" t="inlineStr">
        <is>
          <t>EKSJÖ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46238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46238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11957-2025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45728</v>
      </c>
      <c r="E559" s="1" t="n">
        <v>46238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46238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11669-2025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45727</v>
      </c>
      <c r="E561" s="1" t="n">
        <v>46238</v>
      </c>
      <c r="F561" t="inlineStr">
        <is>
          <t>JÖNKÖPINGS LÄN</t>
        </is>
      </c>
      <c r="G561" t="inlineStr">
        <is>
          <t>EKSJÖ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13735-2025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45737</v>
      </c>
      <c r="E562" s="1" t="n">
        <v>46238</v>
      </c>
      <c r="F562" t="inlineStr">
        <is>
          <t>JÖNKÖPINGS LÄN</t>
        </is>
      </c>
      <c r="G562" t="inlineStr">
        <is>
          <t>EKSJÖ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34173-2024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46238</v>
      </c>
      <c r="F563" t="inlineStr">
        <is>
          <t>JÖNKÖPINGS LÄN</t>
        </is>
      </c>
      <c r="G563" t="inlineStr">
        <is>
          <t>EKSJÖ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46238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45091</v>
      </c>
      <c r="E565" s="1" t="n">
        <v>46238</v>
      </c>
      <c r="F565" t="inlineStr">
        <is>
          <t>JÖNKÖPINGS LÄN</t>
        </is>
      </c>
      <c r="G565" t="inlineStr">
        <is>
          <t>EKSJÖ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46238</v>
      </c>
      <c r="F566" t="inlineStr">
        <is>
          <t>JÖNKÖPINGS LÄN</t>
        </is>
      </c>
      <c r="G566" t="inlineStr">
        <is>
          <t>EKSJÖ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46238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46238</v>
      </c>
      <c r="F568" t="inlineStr">
        <is>
          <t>JÖNKÖPINGS LÄN</t>
        </is>
      </c>
      <c r="G568" t="inlineStr">
        <is>
          <t>EKSJÖ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45826</v>
      </c>
      <c r="E569" s="1" t="n">
        <v>46238</v>
      </c>
      <c r="F569" t="inlineStr">
        <is>
          <t>JÖNKÖPINGS LÄN</t>
        </is>
      </c>
      <c r="G569" t="inlineStr">
        <is>
          <t>EKSJÖ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41440-2024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45560</v>
      </c>
      <c r="E570" s="1" t="n">
        <v>46238</v>
      </c>
      <c r="F570" t="inlineStr">
        <is>
          <t>JÖNKÖPINGS LÄN</t>
        </is>
      </c>
      <c r="G570" t="inlineStr">
        <is>
          <t>EKSJÖ</t>
        </is>
      </c>
      <c r="H570" t="inlineStr">
        <is>
          <t>Kyrkan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45839</v>
      </c>
      <c r="E571" s="1" t="n">
        <v>46238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46238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46238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46238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46238</v>
      </c>
      <c r="F575" t="inlineStr">
        <is>
          <t>JÖNKÖPINGS LÄN</t>
        </is>
      </c>
      <c r="G575" t="inlineStr">
        <is>
          <t>EKSJÖ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33970-2025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46238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22176-2025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45785</v>
      </c>
      <c r="E577" s="1" t="n">
        <v>46238</v>
      </c>
      <c r="F577" t="inlineStr">
        <is>
          <t>JÖNKÖPINGS LÄN</t>
        </is>
      </c>
      <c r="G577" t="inlineStr">
        <is>
          <t>EKSJÖ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8057-2023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44974</v>
      </c>
      <c r="E578" s="1" t="n">
        <v>46238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45695</v>
      </c>
      <c r="E579" s="1" t="n">
        <v>46238</v>
      </c>
      <c r="F579" t="inlineStr">
        <is>
          <t>JÖNKÖPINGS LÄN</t>
        </is>
      </c>
      <c r="G579" t="inlineStr">
        <is>
          <t>EKSJÖ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46238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46238</v>
      </c>
      <c r="F581" t="inlineStr">
        <is>
          <t>JÖNKÖPINGS LÄN</t>
        </is>
      </c>
      <c r="G581" t="inlineStr">
        <is>
          <t>EKSJÖ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46238</v>
      </c>
      <c r="F582" t="inlineStr">
        <is>
          <t>JÖNKÖPINGS LÄN</t>
        </is>
      </c>
      <c r="G582" t="inlineStr">
        <is>
          <t>EKSJÖ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46238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46238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46238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46238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46238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46238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46238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46238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46238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46238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46238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46238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46238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46238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46238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46238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46238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46238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46238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46238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46238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46238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46238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46238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1412-2026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46154</v>
      </c>
      <c r="E607" s="1" t="n">
        <v>46238</v>
      </c>
      <c r="F607" t="inlineStr">
        <is>
          <t>JÖNKÖPINGS LÄN</t>
        </is>
      </c>
      <c r="G607" t="inlineStr">
        <is>
          <t>EKSJÖ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1521-2026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46166</v>
      </c>
      <c r="E608" s="1" t="n">
        <v>46238</v>
      </c>
      <c r="F608" t="inlineStr">
        <is>
          <t>JÖNKÖPINGS LÄN</t>
        </is>
      </c>
      <c r="G608" t="inlineStr">
        <is>
          <t>EKSJÖ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46238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46238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46238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2026-08-04T01:53:39Z</dcterms:created>
  <dcterms:modified xmlns:dcterms="http://purl.org/dc/terms/" xmlns:xsi="http://www.w3.org/2001/XMLSchema-instance" xsi:type="dcterms:W3CDTF">2026-08-04T01:53:40Z</dcterms:modified>
</cp:coreProperties>
</file>