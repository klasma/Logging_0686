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55636-2022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44888</v>
      </c>
      <c r="E11" s="1" t="n">
        <v>46311</v>
      </c>
      <c r="F11" t="inlineStr">
        <is>
          <t>JÖNKÖPINGS LÄN</t>
        </is>
      </c>
      <c r="G11" t="inlineStr">
        <is>
          <t>EKSJÖ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Dvärghäxört
Springkorn</t>
        </is>
      </c>
      <c r="W11">
        <f>HYPERLINK("https://klasma.github.io/Logging_0686/artfynd/A 55636-2022 artfynd.xlsx", "A 55636-2022")</f>
        <v/>
      </c>
      <c r="X11">
        <f>HYPERLINK("https://klasma.github.io/Logging_0686/kartor/A 55636-2022 karta.png", "A 55636-2022")</f>
        <v/>
      </c>
      <c r="Y11">
        <f>HYPERLINK("https://klasma.github.io/Logging_0686/kartor_geotiff/A 55636-2022 georefererad karta.tif", "A 55636-2022")</f>
        <v/>
      </c>
      <c r="AA11">
        <f>HYPERLINK("https://klasma.github.io/Logging_0686/klagomål/A 55636-2022 FSC-klagomål.docx", "A 55636-2022")</f>
        <v/>
      </c>
      <c r="AB11">
        <f>HYPERLINK("https://klasma.github.io/Logging_0686/klagomålsmail/A 55636-2022 FSC-klagomål mail.docx", "A 55636-2022")</f>
        <v/>
      </c>
      <c r="AC11">
        <f>HYPERLINK("https://klasma.github.io/Logging_0686/tillsyn/A 55636-2022 tillsynsbegäran.docx", "A 55636-2022")</f>
        <v/>
      </c>
      <c r="AD11">
        <f>HYPERLINK("https://klasma.github.io/Logging_0686/tillsynsmail/A 55636-2022 tillsynsbegäran mail.docx", "A 55636-2022")</f>
        <v/>
      </c>
    </row>
    <row r="12" ht="15" customHeight="1">
      <c r="A12" t="inlineStr">
        <is>
          <t>A 16876-2024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45411</v>
      </c>
      <c r="E12" s="1" t="n">
        <v>46311</v>
      </c>
      <c r="F12" t="inlineStr">
        <is>
          <t>JÖNKÖPINGS LÄN</t>
        </is>
      </c>
      <c r="G12" t="inlineStr">
        <is>
          <t>EKSJÖ</t>
        </is>
      </c>
      <c r="I12" t="n">
        <v>1.8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Gulsparv
Björksplintborre</t>
        </is>
      </c>
      <c r="W12">
        <f>HYPERLINK("https://klasma.github.io/Logging_0686/artfynd/A 16876-2024 artfynd.xlsx", "A 16876-2024")</f>
        <v/>
      </c>
      <c r="X12">
        <f>HYPERLINK("https://klasma.github.io/Logging_0686/kartor/A 16876-2024 karta.png", "A 16876-2024")</f>
        <v/>
      </c>
      <c r="Y12">
        <f>HYPERLINK("https://klasma.github.io/Logging_0686/kartor_geotiff/A 16876-2024 georefererad karta.tif", "A 16876-2024")</f>
        <v/>
      </c>
      <c r="AA12">
        <f>HYPERLINK("https://klasma.github.io/Logging_0686/klagomål/A 16876-2024 FSC-klagomål.docx", "A 16876-2024")</f>
        <v/>
      </c>
      <c r="AB12">
        <f>HYPERLINK("https://klasma.github.io/Logging_0686/klagomålsmail/A 16876-2024 FSC-klagomål mail.docx", "A 16876-2024")</f>
        <v/>
      </c>
      <c r="AC12">
        <f>HYPERLINK("https://klasma.github.io/Logging_0686/tillsyn/A 16876-2024 tillsynsbegäran.docx", "A 16876-2024")</f>
        <v/>
      </c>
      <c r="AD12">
        <f>HYPERLINK("https://klasma.github.io/Logging_0686/tillsynsmail/A 16876-2024 tillsynsbegäran mail.docx", "A 16876-2024")</f>
        <v/>
      </c>
      <c r="AE12">
        <f>HYPERLINK("https://klasma.github.io/Logging_0686/fåglar/A 16876-2024 prioriterade fågelarter.docx", "A 16876-2024")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46311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46311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46311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46311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46311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46311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46311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46311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46311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58083-2021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46311</v>
      </c>
      <c r="F23" t="inlineStr">
        <is>
          <t>JÖNKÖPINGS LÄN</t>
        </is>
      </c>
      <c r="G23" t="inlineStr">
        <is>
          <t>EKSJÖ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Ladusvala</t>
        </is>
      </c>
      <c r="W23">
        <f>HYPERLINK("https://klasma.github.io/Logging_0686/artfynd/A 58083-2021 artfynd.xlsx", "A 58083-2021")</f>
        <v/>
      </c>
      <c r="X23">
        <f>HYPERLINK("https://klasma.github.io/Logging_0686/kartor/A 58083-2021 karta.png", "A 58083-2021")</f>
        <v/>
      </c>
      <c r="Y23">
        <f>HYPERLINK("https://klasma.github.io/Logging_0686/kartor_geotiff/A 58083-2021 georefererad karta.tif", "A 58083-2021")</f>
        <v/>
      </c>
      <c r="AA23">
        <f>HYPERLINK("https://klasma.github.io/Logging_0686/klagomål/A 58083-2021 FSC-klagomål.docx", "A 58083-2021")</f>
        <v/>
      </c>
      <c r="AB23">
        <f>HYPERLINK("https://klasma.github.io/Logging_0686/klagomålsmail/A 58083-2021 FSC-klagomål mail.docx", "A 58083-2021")</f>
        <v/>
      </c>
      <c r="AC23">
        <f>HYPERLINK("https://klasma.github.io/Logging_0686/tillsyn/A 58083-2021 tillsynsbegäran.docx", "A 58083-2021")</f>
        <v/>
      </c>
      <c r="AD23">
        <f>HYPERLINK("https://klasma.github.io/Logging_0686/tillsynsmail/A 58083-2021 tillsynsbegäran mail.docx", "A 58083-2021")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46311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46852-2022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46311</v>
      </c>
      <c r="F25" t="inlineStr">
        <is>
          <t>JÖNKÖPINGS LÄN</t>
        </is>
      </c>
      <c r="G25" t="inlineStr">
        <is>
          <t>EKSJÖ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Fjällig taggsvamp s.str.</t>
        </is>
      </c>
      <c r="W25">
        <f>HYPERLINK("https://klasma.github.io/Logging_0686/artfynd/A 46852-2022 artfynd.xlsx", "A 46852-2022")</f>
        <v/>
      </c>
      <c r="X25">
        <f>HYPERLINK("https://klasma.github.io/Logging_0686/kartor/A 46852-2022 karta.png", "A 46852-2022")</f>
        <v/>
      </c>
      <c r="Y25">
        <f>HYPERLINK("https://klasma.github.io/Logging_0686/kartor_geotiff/A 46852-2022 georefererad karta.tif", "A 46852-2022")</f>
        <v/>
      </c>
      <c r="AA25">
        <f>HYPERLINK("https://klasma.github.io/Logging_0686/klagomål/A 46852-2022 FSC-klagomål.docx", "A 46852-2022")</f>
        <v/>
      </c>
      <c r="AB25">
        <f>HYPERLINK("https://klasma.github.io/Logging_0686/klagomålsmail/A 46852-2022 FSC-klagomål mail.docx", "A 46852-2022")</f>
        <v/>
      </c>
      <c r="AC25">
        <f>HYPERLINK("https://klasma.github.io/Logging_0686/tillsyn/A 46852-2022 tillsynsbegäran.docx", "A 46852-2022")</f>
        <v/>
      </c>
      <c r="AD25">
        <f>HYPERLINK("https://klasma.github.io/Logging_0686/tillsynsmail/A 46852-2022 tillsynsbegäran mail.docx", "A 46852-2022")</f>
        <v/>
      </c>
    </row>
    <row r="26" ht="15" customHeight="1">
      <c r="A26" t="inlineStr">
        <is>
          <t>A 72037-2021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44544</v>
      </c>
      <c r="E26" s="1" t="n">
        <v>46311</v>
      </c>
      <c r="F26" t="inlineStr">
        <is>
          <t>JÖNKÖPINGS LÄN</t>
        </is>
      </c>
      <c r="G26" t="inlineStr">
        <is>
          <t>EKSJÖ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HYPERLINK("https://klasma.github.io/Logging_0686/artfynd/A 72037-2021 artfynd.xlsx", "A 72037-2021")</f>
        <v/>
      </c>
      <c r="X26">
        <f>HYPERLINK("https://klasma.github.io/Logging_0686/kartor/A 72037-2021 karta.png", "A 72037-2021")</f>
        <v/>
      </c>
      <c r="Y26">
        <f>HYPERLINK("https://klasma.github.io/Logging_0686/kartor_geotiff/A 72037-2021 georefererad karta.tif", "A 72037-2021")</f>
        <v/>
      </c>
      <c r="AA26">
        <f>HYPERLINK("https://klasma.github.io/Logging_0686/klagomål/A 72037-2021 FSC-klagomål.docx", "A 72037-2021")</f>
        <v/>
      </c>
      <c r="AB26">
        <f>HYPERLINK("https://klasma.github.io/Logging_0686/klagomålsmail/A 72037-2021 FSC-klagomål mail.docx", "A 72037-2021")</f>
        <v/>
      </c>
      <c r="AC26">
        <f>HYPERLINK("https://klasma.github.io/Logging_0686/tillsyn/A 72037-2021 tillsynsbegäran.docx", "A 72037-2021")</f>
        <v/>
      </c>
      <c r="AD26">
        <f>HYPERLINK("https://klasma.github.io/Logging_0686/tillsynsmail/A 72037-2021 tillsynsbegäran mail.docx", "A 72037-2021")</f>
        <v/>
      </c>
    </row>
    <row r="27" ht="15" customHeight="1">
      <c r="A27" t="inlineStr">
        <is>
          <t>A 5519-2024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45334</v>
      </c>
      <c r="E27" s="1" t="n">
        <v>46311</v>
      </c>
      <c r="F27" t="inlineStr">
        <is>
          <t>JÖNKÖPINGS LÄN</t>
        </is>
      </c>
      <c r="G27" t="inlineStr">
        <is>
          <t>EKSJÖ</t>
        </is>
      </c>
      <c r="H27" t="inlineStr">
        <is>
          <t>Kommuner</t>
        </is>
      </c>
      <c r="I27" t="n">
        <v>7.2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HYPERLINK("https://klasma.github.io/Logging_0686/artfynd/A 5519-2024 artfynd.xlsx", "A 5519-2024")</f>
        <v/>
      </c>
      <c r="X27">
        <f>HYPERLINK("https://klasma.github.io/Logging_0686/kartor/A 5519-2024 karta.png", "A 5519-2024")</f>
        <v/>
      </c>
      <c r="Y27">
        <f>HYPERLINK("https://klasma.github.io/Logging_0686/kartor_geotiff/A 5519-2024 georefererad karta.tif", "A 5519-2024")</f>
        <v/>
      </c>
      <c r="AA27">
        <f>HYPERLINK("https://klasma.github.io/Logging_0686/klagomål/A 5519-2024 FSC-klagomål.docx", "A 5519-2024")</f>
        <v/>
      </c>
      <c r="AB27">
        <f>HYPERLINK("https://klasma.github.io/Logging_0686/klagomålsmail/A 5519-2024 FSC-klagomål mail.docx", "A 5519-2024")</f>
        <v/>
      </c>
      <c r="AC27">
        <f>HYPERLINK("https://klasma.github.io/Logging_0686/tillsyn/A 5519-2024 tillsynsbegäran.docx", "A 5519-2024")</f>
        <v/>
      </c>
      <c r="AD27">
        <f>HYPERLINK("https://klasma.github.io/Logging_0686/tillsynsmail/A 5519-2024 tillsynsbegäran mail.docx", "A 5519-2024")</f>
        <v/>
      </c>
    </row>
    <row r="28" ht="15" customHeight="1">
      <c r="A28" t="inlineStr">
        <is>
          <t>A 47729-2022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46311</v>
      </c>
      <c r="F28" t="inlineStr">
        <is>
          <t>JÖNKÖPINGS LÄN</t>
        </is>
      </c>
      <c r="G28" t="inlineStr">
        <is>
          <t>EKSJÖ</t>
        </is>
      </c>
      <c r="H28" t="inlineStr">
        <is>
          <t>Övriga Aktiebolag</t>
        </is>
      </c>
      <c r="I28" t="n">
        <v>4.8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Tibast</t>
        </is>
      </c>
      <c r="W28">
        <f>HYPERLINK("https://klasma.github.io/Logging_0686/artfynd/A 47729-2022 artfynd.xlsx", "A 47729-2022")</f>
        <v/>
      </c>
      <c r="X28">
        <f>HYPERLINK("https://klasma.github.io/Logging_0686/kartor/A 47729-2022 karta.png", "A 47729-2022")</f>
        <v/>
      </c>
      <c r="Y28">
        <f>HYPERLINK("https://klasma.github.io/Logging_0686/kartor_geotiff/A 47729-2022 georefererad karta.tif", "A 47729-2022")</f>
        <v/>
      </c>
      <c r="AA28">
        <f>HYPERLINK("https://klasma.github.io/Logging_0686/klagomål/A 47729-2022 FSC-klagomål.docx", "A 47729-2022")</f>
        <v/>
      </c>
      <c r="AB28">
        <f>HYPERLINK("https://klasma.github.io/Logging_0686/klagomålsmail/A 47729-2022 FSC-klagomål mail.docx", "A 47729-2022")</f>
        <v/>
      </c>
      <c r="AC28">
        <f>HYPERLINK("https://klasma.github.io/Logging_0686/tillsyn/A 47729-2022 tillsynsbegäran.docx", "A 47729-2022")</f>
        <v/>
      </c>
      <c r="AD28">
        <f>HYPERLINK("https://klasma.github.io/Logging_0686/tillsynsmail/A 47729-2022 tillsynsbegäran mail.docx", "A 47729-2022")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46311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Sotvaxskivling</t>
        </is>
      </c>
      <c r="W29">
        <f>HYPERLINK("https://klasma.github.io/Logging_0686/artfynd/A 10726-2024 artfynd.xlsx", "A 10726-2024")</f>
        <v/>
      </c>
      <c r="X29">
        <f>HYPERLINK("https://klasma.github.io/Logging_0686/kartor/A 10726-2024 karta.png", "A 10726-2024")</f>
        <v/>
      </c>
      <c r="Y29">
        <f>HYPERLINK("https://klasma.github.io/Logging_0686/kartor_geotiff/A 10726-2024 georefererad karta.tif", "A 10726-2024")</f>
        <v/>
      </c>
      <c r="AA29">
        <f>HYPERLINK("https://klasma.github.io/Logging_0686/klagomål/A 10726-2024 FSC-klagomål.docx", "A 10726-2024")</f>
        <v/>
      </c>
      <c r="AB29">
        <f>HYPERLINK("https://klasma.github.io/Logging_0686/klagomålsmail/A 10726-2024 FSC-klagomål mail.docx", "A 10726-2024")</f>
        <v/>
      </c>
      <c r="AC29">
        <f>HYPERLINK("https://klasma.github.io/Logging_0686/tillsyn/A 10726-2024 tillsynsbegäran.docx", "A 10726-2024")</f>
        <v/>
      </c>
      <c r="AD29">
        <f>HYPERLINK("https://klasma.github.io/Logging_0686/tillsynsmail/A 10726-2024 tillsynsbegäran mail.docx", "A 10726-2024")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46311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4786-2024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45328</v>
      </c>
      <c r="E31" s="1" t="n">
        <v>46311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HYPERLINK("https://klasma.github.io/Logging_0686/artfynd/A 4786-2024 artfynd.xlsx", "A 4786-2024")</f>
        <v/>
      </c>
      <c r="X31">
        <f>HYPERLINK("https://klasma.github.io/Logging_0686/kartor/A 4786-2024 karta.png", "A 4786-2024")</f>
        <v/>
      </c>
      <c r="Y31">
        <f>HYPERLINK("https://klasma.github.io/Logging_0686/kartor_geotiff/A 4786-2024 georefererad karta.tif", "A 4786-2024")</f>
        <v/>
      </c>
      <c r="AA31">
        <f>HYPERLINK("https://klasma.github.io/Logging_0686/klagomål/A 4786-2024 FSC-klagomål.docx", "A 4786-2024")</f>
        <v/>
      </c>
      <c r="AB31">
        <f>HYPERLINK("https://klasma.github.io/Logging_0686/klagomålsmail/A 4786-2024 FSC-klagomål mail.docx", "A 4786-2024")</f>
        <v/>
      </c>
      <c r="AC31">
        <f>HYPERLINK("https://klasma.github.io/Logging_0686/tillsyn/A 4786-2024 tillsynsbegäran.docx", "A 4786-2024")</f>
        <v/>
      </c>
      <c r="AD31">
        <f>HYPERLINK("https://klasma.github.io/Logging_0686/tillsynsmail/A 4786-2024 tillsynsbegäran mail.docx", "A 4786-2024")</f>
        <v/>
      </c>
    </row>
    <row r="32" ht="15" customHeight="1">
      <c r="A32" t="inlineStr">
        <is>
          <t>A 41029-2025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45898</v>
      </c>
      <c r="E32" s="1" t="n">
        <v>46311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4.4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HYPERLINK("https://klasma.github.io/Logging_0686/artfynd/A 41029-2025 artfynd.xlsx", "A 41029-2025")</f>
        <v/>
      </c>
      <c r="X32">
        <f>HYPERLINK("https://klasma.github.io/Logging_0686/kartor/A 41029-2025 karta.png", "A 41029-2025")</f>
        <v/>
      </c>
      <c r="Y32">
        <f>HYPERLINK("https://klasma.github.io/Logging_0686/kartor_geotiff/A 41029-2025 georefererad karta.tif", "A 41029-2025")</f>
        <v/>
      </c>
      <c r="AA32">
        <f>HYPERLINK("https://klasma.github.io/Logging_0686/klagomål/A 41029-2025 FSC-klagomål.docx", "A 41029-2025")</f>
        <v/>
      </c>
      <c r="AB32">
        <f>HYPERLINK("https://klasma.github.io/Logging_0686/klagomålsmail/A 41029-2025 FSC-klagomål mail.docx", "A 41029-2025")</f>
        <v/>
      </c>
      <c r="AC32">
        <f>HYPERLINK("https://klasma.github.io/Logging_0686/tillsyn/A 41029-2025 tillsynsbegäran.docx", "A 41029-2025")</f>
        <v/>
      </c>
      <c r="AD32">
        <f>HYPERLINK("https://klasma.github.io/Logging_0686/tillsynsmail/A 41029-2025 tillsynsbegäran mail.docx", "A 41029-2025")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46311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18327-2024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45422</v>
      </c>
      <c r="E34" s="1" t="n">
        <v>46311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Dvärgbägarlav</t>
        </is>
      </c>
      <c r="W34">
        <f>HYPERLINK("https://klasma.github.io/Logging_0686/artfynd/A 18327-2024 artfynd.xlsx", "A 18327-2024")</f>
        <v/>
      </c>
      <c r="X34">
        <f>HYPERLINK("https://klasma.github.io/Logging_0686/kartor/A 18327-2024 karta.png", "A 18327-2024")</f>
        <v/>
      </c>
      <c r="Y34">
        <f>HYPERLINK("https://klasma.github.io/Logging_0686/kartor_geotiff/A 18327-2024 georefererad karta.tif", "A 18327-2024")</f>
        <v/>
      </c>
      <c r="AA34">
        <f>HYPERLINK("https://klasma.github.io/Logging_0686/klagomål/A 18327-2024 FSC-klagomål.docx", "A 18327-2024")</f>
        <v/>
      </c>
      <c r="AB34">
        <f>HYPERLINK("https://klasma.github.io/Logging_0686/klagomålsmail/A 18327-2024 FSC-klagomål mail.docx", "A 18327-2024")</f>
        <v/>
      </c>
      <c r="AC34">
        <f>HYPERLINK("https://klasma.github.io/Logging_0686/tillsyn/A 18327-2024 tillsynsbegäran.docx", "A 18327-2024")</f>
        <v/>
      </c>
      <c r="AD34">
        <f>HYPERLINK("https://klasma.github.io/Logging_0686/tillsynsmail/A 18327-2024 tillsynsbegäran mail.docx", "A 18327-2024")</f>
        <v/>
      </c>
    </row>
    <row r="35" ht="15" customHeight="1">
      <c r="A35" t="inlineStr">
        <is>
          <t>A 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44928</v>
      </c>
      <c r="E35" s="1" t="n">
        <v>46311</v>
      </c>
      <c r="F35" t="inlineStr">
        <is>
          <t>JÖNKÖPINGS LÄN</t>
        </is>
      </c>
      <c r="G35" t="inlineStr">
        <is>
          <t>EKSJÖ</t>
        </is>
      </c>
      <c r="I35" t="n">
        <v>3.4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HYPERLINK("https://klasma.github.io/Logging_0686/artfynd/A 58-2023 artfynd.xlsx", "A 58-2023")</f>
        <v/>
      </c>
      <c r="X35">
        <f>HYPERLINK("https://klasma.github.io/Logging_0686/kartor/A 58-2023 karta.png", "A 58-2023")</f>
        <v/>
      </c>
      <c r="Y35">
        <f>HYPERLINK("https://klasma.github.io/Logging_0686/kartor_geotiff/A 58-2023 georefererad karta.tif", "A 58-2023")</f>
        <v/>
      </c>
      <c r="AA35">
        <f>HYPERLINK("https://klasma.github.io/Logging_0686/klagomål/A 58-2023 FSC-klagomål.docx", "A 58-2023")</f>
        <v/>
      </c>
      <c r="AB35">
        <f>HYPERLINK("https://klasma.github.io/Logging_0686/klagomålsmail/A 58-2023 FSC-klagomål mail.docx", "A 58-2023")</f>
        <v/>
      </c>
      <c r="AC35">
        <f>HYPERLINK("https://klasma.github.io/Logging_0686/tillsyn/A 58-2023 tillsynsbegäran.docx", "A 58-2023")</f>
        <v/>
      </c>
      <c r="AD35">
        <f>HYPERLINK("https://klasma.github.io/Logging_0686/tillsynsmail/A 58-2023 tillsynsbegäran mail.docx", "A 58-2023")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46311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46311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HYPERLINK("https://klasma.github.io/Logging_0686/artfynd/A 4446-2023 artfynd.xlsx", "A 4446-2023")</f>
        <v/>
      </c>
      <c r="X37">
        <f>HYPERLINK("https://klasma.github.io/Logging_0686/kartor/A 4446-2023 karta.png", "A 4446-2023")</f>
        <v/>
      </c>
      <c r="Y37">
        <f>HYPERLINK("https://klasma.github.io/Logging_0686/kartor_geotiff/A 4446-2023 georefererad karta.tif", "A 4446-2023")</f>
        <v/>
      </c>
      <c r="AA37">
        <f>HYPERLINK("https://klasma.github.io/Logging_0686/klagomål/A 4446-2023 FSC-klagomål.docx", "A 4446-2023")</f>
        <v/>
      </c>
      <c r="AB37">
        <f>HYPERLINK("https://klasma.github.io/Logging_0686/klagomålsmail/A 4446-2023 FSC-klagomål mail.docx", "A 4446-2023")</f>
        <v/>
      </c>
      <c r="AC37">
        <f>HYPERLINK("https://klasma.github.io/Logging_0686/tillsyn/A 4446-2023 tillsynsbegäran.docx", "A 4446-2023")</f>
        <v/>
      </c>
      <c r="AD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46311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46311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46311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46311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46311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46311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52446-2025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45954</v>
      </c>
      <c r="E44" s="1" t="n">
        <v>46311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25</v>
      </c>
      <c r="U44" t="n">
        <v>0</v>
      </c>
      <c r="V44" s="2" t="inlineStr">
        <is>
          <t>Ask</t>
        </is>
      </c>
      <c r="W44">
        <f>HYPERLINK("https://klasma.github.io/Logging_0686/artfynd/A 52446-2025 artfynd.xlsx", "A 52446-2025")</f>
        <v/>
      </c>
      <c r="X44">
        <f>HYPERLINK("https://klasma.github.io/Logging_0686/kartor/A 52446-2025 karta.png", "A 52446-2025")</f>
        <v/>
      </c>
      <c r="Y44">
        <f>HYPERLINK("https://klasma.github.io/Logging_0686/kartor_geotiff/A 52446-2025 georefererad karta.tif", "A 52446-2025")</f>
        <v/>
      </c>
      <c r="AA44">
        <f>HYPERLINK("https://klasma.github.io/Logging_0686/klagomål/A 52446-2025 FSC-klagomål.docx", "A 52446-2025")</f>
        <v/>
      </c>
      <c r="AB44">
        <f>HYPERLINK("https://klasma.github.io/Logging_0686/klagomålsmail/A 52446-2025 FSC-klagomål mail.docx", "A 52446-2025")</f>
        <v/>
      </c>
      <c r="AC44">
        <f>HYPERLINK("https://klasma.github.io/Logging_0686/tillsyn/A 52446-2025 tillsynsbegäran.docx", "A 52446-2025")</f>
        <v/>
      </c>
      <c r="AD44">
        <f>HYPERLINK("https://klasma.github.io/Logging_0686/tillsynsmail/A 52446-2025 tillsynsbegäran mail.docx", "A 52446-2025")</f>
        <v/>
      </c>
    </row>
    <row r="45" ht="15" customHeight="1">
      <c r="A45" t="inlineStr">
        <is>
          <t>A 56410-2025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45975</v>
      </c>
      <c r="E45" s="1" t="n">
        <v>46311</v>
      </c>
      <c r="F45" t="inlineStr">
        <is>
          <t>JÖNKÖPINGS LÄN</t>
        </is>
      </c>
      <c r="G45" t="inlineStr">
        <is>
          <t>EKSJÖ</t>
        </is>
      </c>
      <c r="H45" t="inlineStr">
        <is>
          <t>Kyrkan</t>
        </is>
      </c>
      <c r="I45" t="n">
        <v>2.1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HYPERLINK("https://klasma.github.io/Logging_0686/artfynd/A 56410-2025 artfynd.xlsx", "A 56410-2025")</f>
        <v/>
      </c>
      <c r="X45">
        <f>HYPERLINK("https://klasma.github.io/Logging_0686/kartor/A 56410-2025 karta.png", "A 56410-2025")</f>
        <v/>
      </c>
      <c r="Y45">
        <f>HYPERLINK("https://klasma.github.io/Logging_0686/kartor_geotiff/A 56410-2025 georefererad karta.tif", "A 56410-2025")</f>
        <v/>
      </c>
      <c r="AA45">
        <f>HYPERLINK("https://klasma.github.io/Logging_0686/klagomål/A 56410-2025 FSC-klagomål.docx", "A 56410-2025")</f>
        <v/>
      </c>
      <c r="AB45">
        <f>HYPERLINK("https://klasma.github.io/Logging_0686/klagomålsmail/A 56410-2025 FSC-klagomål mail.docx", "A 56410-2025")</f>
        <v/>
      </c>
      <c r="AC45">
        <f>HYPERLINK("https://klasma.github.io/Logging_0686/tillsyn/A 56410-2025 tillsynsbegäran.docx", "A 56410-2025")</f>
        <v/>
      </c>
      <c r="AD45">
        <f>HYPERLINK("https://klasma.github.io/Logging_0686/tillsynsmail/A 56410-2025 tillsynsbegäran mail.docx", "A 56410-2025")</f>
        <v/>
      </c>
    </row>
    <row r="46" ht="15" customHeight="1">
      <c r="A46" t="inlineStr">
        <is>
          <t>A 40986-2026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46311</v>
      </c>
      <c r="F46" t="inlineStr">
        <is>
          <t>JÖNKÖPINGS LÄN</t>
        </is>
      </c>
      <c r="G46" t="inlineStr">
        <is>
          <t>EKSJÖ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Ask</t>
        </is>
      </c>
      <c r="W46">
        <f>HYPERLINK("https://klasma.github.io/Logging_0686/artfynd/A 40986-2026 artfynd.xlsx", "A 40986-2026")</f>
        <v/>
      </c>
      <c r="X46">
        <f>HYPERLINK("https://klasma.github.io/Logging_0686/kartor/A 40986-2026 karta.png", "A 40986-2026")</f>
        <v/>
      </c>
      <c r="Y46">
        <f>HYPERLINK("https://klasma.github.io/Logging_0686/kartor_geotiff/A 40986-2026 georefererad karta.tif", "A 40986-2026")</f>
        <v/>
      </c>
      <c r="AA46">
        <f>HYPERLINK("https://klasma.github.io/Logging_0686/klagomål/A 40986-2026 FSC-klagomål.docx", "A 40986-2026")</f>
        <v/>
      </c>
      <c r="AB46">
        <f>HYPERLINK("https://klasma.github.io/Logging_0686/klagomålsmail/A 40986-2026 FSC-klagomål mail.docx", "A 40986-2026")</f>
        <v/>
      </c>
      <c r="AC46">
        <f>HYPERLINK("https://klasma.github.io/Logging_0686/tillsyn/A 40986-2026 tillsynsbegäran.docx", "A 40986-2026")</f>
        <v/>
      </c>
      <c r="AD46">
        <f>HYPERLINK("https://klasma.github.io/Logging_0686/tillsynsmail/A 40986-2026 tillsynsbegäran mail.docx", "A 40986-2026")</f>
        <v/>
      </c>
    </row>
    <row r="47" ht="15" customHeight="1">
      <c r="A47" t="inlineStr">
        <is>
          <t>A 41670-2026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46302</v>
      </c>
      <c r="E47" s="1" t="n">
        <v>46311</v>
      </c>
      <c r="F47" t="inlineStr">
        <is>
          <t>JÖNKÖPINGS LÄN</t>
        </is>
      </c>
      <c r="G47" t="inlineStr">
        <is>
          <t>EKSJÖ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HYPERLINK("https://klasma.github.io/Logging_0686/artfynd/A 41670-2026 artfynd.xlsx", "A 41670-2026")</f>
        <v/>
      </c>
      <c r="X47">
        <f>HYPERLINK("https://klasma.github.io/Logging_0686/kartor/A 41670-2026 karta.png", "A 41670-2026")</f>
        <v/>
      </c>
      <c r="Y47">
        <f>HYPERLINK("https://klasma.github.io/Logging_0686/kartor_geotiff/A 41670-2026 georefererad karta.tif", "A 41670-2026")</f>
        <v/>
      </c>
      <c r="AA47">
        <f>HYPERLINK("https://klasma.github.io/Logging_0686/klagomål/A 41670-2026 FSC-klagomål.docx", "A 41670-2026")</f>
        <v/>
      </c>
      <c r="AB47">
        <f>HYPERLINK("https://klasma.github.io/Logging_0686/klagomålsmail/A 41670-2026 FSC-klagomål mail.docx", "A 41670-2026")</f>
        <v/>
      </c>
      <c r="AC47">
        <f>HYPERLINK("https://klasma.github.io/Logging_0686/tillsyn/A 41670-2026 tillsynsbegäran.docx", "A 41670-2026")</f>
        <v/>
      </c>
      <c r="AD47">
        <f>HYPERLINK("https://klasma.github.io/Logging_0686/tillsynsmail/A 41670-2026 tillsynsbegäran mail.docx", "A 41670-2026")</f>
        <v/>
      </c>
    </row>
    <row r="48" ht="15" customHeight="1">
      <c r="A48" t="inlineStr">
        <is>
          <t>A 5128-2024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46311</v>
      </c>
      <c r="F48" t="inlineStr">
        <is>
          <t>JÖNKÖPINGS LÄN</t>
        </is>
      </c>
      <c r="G48" t="inlineStr">
        <is>
          <t>EKSJÖ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5</v>
      </c>
      <c r="U48" t="n">
        <v>0</v>
      </c>
      <c r="V48" s="2" t="inlineStr">
        <is>
          <t>Ask</t>
        </is>
      </c>
      <c r="W48">
        <f>HYPERLINK("https://klasma.github.io/Logging_0686/artfynd/A 5128-2024 artfynd.xlsx", "A 5128-2024")</f>
        <v/>
      </c>
      <c r="X48">
        <f>HYPERLINK("https://klasma.github.io/Logging_0686/kartor/A 5128-2024 karta.png", "A 5128-2024")</f>
        <v/>
      </c>
      <c r="Y48">
        <f>HYPERLINK("https://klasma.github.io/Logging_0686/kartor_geotiff/A 5128-2024 georefererad karta.tif", "A 5128-2024")</f>
        <v/>
      </c>
      <c r="AA48">
        <f>HYPERLINK("https://klasma.github.io/Logging_0686/klagomål/A 5128-2024 FSC-klagomål.docx", "A 5128-2024")</f>
        <v/>
      </c>
      <c r="AB48">
        <f>HYPERLINK("https://klasma.github.io/Logging_0686/klagomålsmail/A 5128-2024 FSC-klagomål mail.docx", "A 5128-2024")</f>
        <v/>
      </c>
      <c r="AC48">
        <f>HYPERLINK("https://klasma.github.io/Logging_0686/tillsyn/A 5128-2024 tillsynsbegäran.docx", "A 5128-2024")</f>
        <v/>
      </c>
      <c r="AD48">
        <f>HYPERLINK("https://klasma.github.io/Logging_0686/tillsynsmail/A 5128-2024 tillsynsbegäran mail.docx", "A 5128-2024")</f>
        <v/>
      </c>
    </row>
    <row r="49" ht="15" customHeight="1">
      <c r="A49" t="inlineStr">
        <is>
          <t>A 42346-2026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46311</v>
      </c>
      <c r="F49" t="inlineStr">
        <is>
          <t>JÖNKÖPINGS LÄN</t>
        </is>
      </c>
      <c r="G49" t="inlineStr">
        <is>
          <t>EKSJÖ</t>
        </is>
      </c>
      <c r="I49" t="n">
        <v>0.7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Stoftfibbla</t>
        </is>
      </c>
      <c r="W49">
        <f>HYPERLINK("https://klasma.github.io/Logging_0686/artfynd/A 42346-2026 artfynd.xlsx", "A 42346-2026")</f>
        <v/>
      </c>
      <c r="X49">
        <f>HYPERLINK("https://klasma.github.io/Logging_0686/kartor/A 42346-2026 karta.png", "A 42346-2026")</f>
        <v/>
      </c>
      <c r="Y49">
        <f>HYPERLINK("https://klasma.github.io/Logging_0686/kartor_geotiff/A 42346-2026 georefererad karta.tif", "A 42346-2026")</f>
        <v/>
      </c>
      <c r="AA49">
        <f>HYPERLINK("https://klasma.github.io/Logging_0686/klagomål/A 42346-2026 FSC-klagomål.docx", "A 42346-2026")</f>
        <v/>
      </c>
      <c r="AB49">
        <f>HYPERLINK("https://klasma.github.io/Logging_0686/klagomålsmail/A 42346-2026 FSC-klagomål mail.docx", "A 42346-2026")</f>
        <v/>
      </c>
      <c r="AC49">
        <f>HYPERLINK("https://klasma.github.io/Logging_0686/tillsyn/A 42346-2026 tillsynsbegäran.docx", "A 42346-2026")</f>
        <v/>
      </c>
      <c r="AD49">
        <f>HYPERLINK("https://klasma.github.io/Logging_0686/tillsynsmail/A 42346-2026 tillsynsbegäran mail.docx", "A 42346-2026")</f>
        <v/>
      </c>
    </row>
    <row r="50" ht="15" customHeight="1">
      <c r="A50" t="inlineStr">
        <is>
          <t>A 38596-2026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46283</v>
      </c>
      <c r="E50" s="1" t="n">
        <v>46311</v>
      </c>
      <c r="F50" t="inlineStr">
        <is>
          <t>JÖNKÖPINGS LÄN</t>
        </is>
      </c>
      <c r="G50" t="inlineStr">
        <is>
          <t>EKSJÖ</t>
        </is>
      </c>
      <c r="I50" t="n">
        <v>10.8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Svart trolldruva</t>
        </is>
      </c>
      <c r="W50">
        <f>HYPERLINK("https://klasma.github.io/Logging_0686/artfynd/A 38596-2026 artfynd.xlsx", "A 38596-2026")</f>
        <v/>
      </c>
      <c r="X50">
        <f>HYPERLINK("https://klasma.github.io/Logging_0686/kartor/A 38596-2026 karta.png", "A 38596-2026")</f>
        <v/>
      </c>
      <c r="Y50">
        <f>HYPERLINK("https://klasma.github.io/Logging_0686/kartor_geotiff/A 38596-2026 georefererad karta.tif", "A 38596-2026")</f>
        <v/>
      </c>
      <c r="AA50">
        <f>HYPERLINK("https://klasma.github.io/Logging_0686/klagomål/A 38596-2026 FSC-klagomål.docx", "A 38596-2026")</f>
        <v/>
      </c>
      <c r="AB50">
        <f>HYPERLINK("https://klasma.github.io/Logging_0686/klagomålsmail/A 38596-2026 FSC-klagomål mail.docx", "A 38596-2026")</f>
        <v/>
      </c>
      <c r="AC50">
        <f>HYPERLINK("https://klasma.github.io/Logging_0686/tillsyn/A 38596-2026 tillsynsbegäran.docx", "A 38596-2026")</f>
        <v/>
      </c>
      <c r="AD50">
        <f>HYPERLINK("https://klasma.github.io/Logging_0686/tillsynsmail/A 38596-2026 tillsynsbegäran mail.docx", "A 38596-2026")</f>
        <v/>
      </c>
    </row>
    <row r="51" ht="15" customHeight="1">
      <c r="A51" t="inlineStr">
        <is>
          <t>S 3702-2024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45553</v>
      </c>
      <c r="E51" s="1" t="n">
        <v>46311</v>
      </c>
      <c r="F51" t="inlineStr">
        <is>
          <t>JÖNKÖPINGS LÄN</t>
        </is>
      </c>
      <c r="G51" t="inlineStr">
        <is>
          <t>EKSJÖ</t>
        </is>
      </c>
      <c r="I51" t="n">
        <v>3.6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Styvnate</t>
        </is>
      </c>
      <c r="W51">
        <f>HYPERLINK("https://klasma.github.io/Logging_0686/artfynd/S 3702-2024 artfynd.xlsx", "S 3702-2024")</f>
        <v/>
      </c>
      <c r="X51">
        <f>HYPERLINK("https://klasma.github.io/Logging_0686/kartor/S 3702-2024 karta.png", "S 3702-2024")</f>
        <v/>
      </c>
      <c r="Y51">
        <f>HYPERLINK("https://klasma.github.io/Logging_0686/kartor_geotiff/S 3702-2024 georefererad karta.tif", "S 3702-2024")</f>
        <v/>
      </c>
      <c r="AA51">
        <f>HYPERLINK("https://klasma.github.io/Logging_0686/klagomål/S 3702-2024 FSC-klagomål.docx", "S 3702-2024")</f>
        <v/>
      </c>
      <c r="AB51">
        <f>HYPERLINK("https://klasma.github.io/Logging_0686/klagomålsmail/S 3702-2024 FSC-klagomål mail.docx", "S 3702-2024")</f>
        <v/>
      </c>
      <c r="AC51">
        <f>HYPERLINK("https://klasma.github.io/Logging_0686/tillsyn/S 3702-2024 tillsynsbegäran.docx", "S 3702-2024")</f>
        <v/>
      </c>
      <c r="AD51">
        <f>HYPERLINK("https://klasma.github.io/Logging_0686/tillsynsmail/S 3702-2024 tillsynsbegäran mail.docx", "S 3702-2024")</f>
        <v/>
      </c>
    </row>
    <row r="52" ht="15" customHeight="1">
      <c r="A52" t="inlineStr">
        <is>
          <t>S 2100-2024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45453</v>
      </c>
      <c r="E52" s="1" t="n">
        <v>46311</v>
      </c>
      <c r="F52" t="inlineStr">
        <is>
          <t>JÖNKÖPINGS LÄN</t>
        </is>
      </c>
      <c r="G52" t="inlineStr">
        <is>
          <t>EKSJÖ</t>
        </is>
      </c>
      <c r="H52" t="inlineStr">
        <is>
          <t>Kyrkan</t>
        </is>
      </c>
      <c r="I52" t="n">
        <v>0.3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Brandticka</t>
        </is>
      </c>
      <c r="W52">
        <f>HYPERLINK("https://klasma.github.io/Logging_0686/artfynd/S 2100-2024 artfynd.xlsx", "S 2100-2024")</f>
        <v/>
      </c>
      <c r="X52">
        <f>HYPERLINK("https://klasma.github.io/Logging_0686/kartor/S 2100-2024 karta.png", "S 2100-2024")</f>
        <v/>
      </c>
      <c r="Y52">
        <f>HYPERLINK("https://klasma.github.io/Logging_0686/kartor_geotiff/S 2100-2024 georefererad karta.tif", "S 2100-2024")</f>
        <v/>
      </c>
      <c r="AA52">
        <f>HYPERLINK("https://klasma.github.io/Logging_0686/klagomål/S 2100-2024 FSC-klagomål.docx", "S 2100-2024")</f>
        <v/>
      </c>
      <c r="AB52">
        <f>HYPERLINK("https://klasma.github.io/Logging_0686/klagomålsmail/S 2100-2024 FSC-klagomål mail.docx", "S 2100-2024")</f>
        <v/>
      </c>
      <c r="AC52">
        <f>HYPERLINK("https://klasma.github.io/Logging_0686/tillsyn/S 2100-2024 tillsynsbegäran.docx", "S 2100-2024")</f>
        <v/>
      </c>
      <c r="AD52">
        <f>HYPERLINK("https://klasma.github.io/Logging_0686/tillsynsmail/S 2100-2024 tillsynsbegäran mail.docx", "S 2100-2024")</f>
        <v/>
      </c>
    </row>
    <row r="53" ht="15" customHeight="1">
      <c r="A53" t="inlineStr">
        <is>
          <t>S 3314-2023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45195</v>
      </c>
      <c r="E53" s="1" t="n">
        <v>46311</v>
      </c>
      <c r="F53" t="inlineStr">
        <is>
          <t>JÖNKÖPINGS LÄN</t>
        </is>
      </c>
      <c r="G53" t="inlineStr">
        <is>
          <t>EKSJÖ</t>
        </is>
      </c>
      <c r="I53" t="n">
        <v>16.3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3314-2023 artfynd.xlsx", "S 3314-2023")</f>
        <v/>
      </c>
      <c r="X53">
        <f>HYPERLINK("https://klasma.github.io/Logging_0686/kartor/S 3314-2023 karta.png", "S 3314-2023")</f>
        <v/>
      </c>
      <c r="Y53">
        <f>HYPERLINK("https://klasma.github.io/Logging_0686/kartor_geotiff/S 3314-2023 georefererad karta.tif", "S 3314-2023")</f>
        <v/>
      </c>
      <c r="AA53">
        <f>HYPERLINK("https://klasma.github.io/Logging_0686/klagomål/S 3314-2023 FSC-klagomål.docx", "S 3314-2023")</f>
        <v/>
      </c>
      <c r="AB53">
        <f>HYPERLINK("https://klasma.github.io/Logging_0686/klagomålsmail/S 3314-2023 FSC-klagomål mail.docx", "S 3314-2023")</f>
        <v/>
      </c>
      <c r="AC53">
        <f>HYPERLINK("https://klasma.github.io/Logging_0686/tillsyn/S 3314-2023 tillsynsbegäran.docx", "S 3314-2023")</f>
        <v/>
      </c>
      <c r="AD53">
        <f>HYPERLINK("https://klasma.github.io/Logging_0686/tillsynsmail/S 3314-2023 tillsynsbegäran mail.docx", "S 3314-2023")</f>
        <v/>
      </c>
    </row>
    <row r="54" ht="15" customHeight="1">
      <c r="A54" t="inlineStr">
        <is>
          <t>S 523-2025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45707</v>
      </c>
      <c r="E54" s="1" t="n">
        <v>46311</v>
      </c>
      <c r="F54" t="inlineStr">
        <is>
          <t>JÖNKÖPINGS LÄN</t>
        </is>
      </c>
      <c r="G54" t="inlineStr">
        <is>
          <t>EKSJÖ</t>
        </is>
      </c>
      <c r="I54" t="n">
        <v>22.9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Spindelört</t>
        </is>
      </c>
      <c r="W54">
        <f>HYPERLINK("https://klasma.github.io/Logging_0686/artfynd/S 523-2025 artfynd.xlsx", "S 523-2025")</f>
        <v/>
      </c>
      <c r="X54">
        <f>HYPERLINK("https://klasma.github.io/Logging_0686/kartor/S 523-2025 karta.png", "S 523-2025")</f>
        <v/>
      </c>
      <c r="Y54">
        <f>HYPERLINK("https://klasma.github.io/Logging_0686/kartor_geotiff/S 523-2025 georefererad karta.tif", "S 523-2025")</f>
        <v/>
      </c>
      <c r="AA54">
        <f>HYPERLINK("https://klasma.github.io/Logging_0686/klagomål/S 523-2025 FSC-klagomål.docx", "S 523-2025")</f>
        <v/>
      </c>
      <c r="AB54">
        <f>HYPERLINK("https://klasma.github.io/Logging_0686/klagomålsmail/S 523-2025 FSC-klagomål mail.docx", "S 523-2025")</f>
        <v/>
      </c>
      <c r="AC54">
        <f>HYPERLINK("https://klasma.github.io/Logging_0686/tillsyn/S 523-2025 tillsynsbegäran.docx", "S 523-2025")</f>
        <v/>
      </c>
      <c r="AD54">
        <f>HYPERLINK("https://klasma.github.io/Logging_0686/tillsynsmail/S 523-2025 tillsynsbegäran mail.docx", "S 523-2025")</f>
        <v/>
      </c>
    </row>
    <row r="55" ht="15" customHeight="1">
      <c r="A55" t="inlineStr">
        <is>
          <t>S 2968-2025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45954</v>
      </c>
      <c r="E55" s="1" t="n">
        <v>46311</v>
      </c>
      <c r="F55" t="inlineStr">
        <is>
          <t>JÖNKÖPINGS LÄN</t>
        </is>
      </c>
      <c r="G55" t="inlineStr">
        <is>
          <t>EKSJÖ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25</v>
      </c>
      <c r="U55" t="n">
        <v>0</v>
      </c>
      <c r="V55" s="2" t="inlineStr">
        <is>
          <t>Ask</t>
        </is>
      </c>
      <c r="W55">
        <f>HYPERLINK("https://klasma.github.io/Logging_0686/artfynd/S 2968-2025 artfynd.xlsx", "S 2968-2025")</f>
        <v/>
      </c>
      <c r="X55">
        <f>HYPERLINK("https://klasma.github.io/Logging_0686/kartor/S 2968-2025 karta.png", "S 2968-2025")</f>
        <v/>
      </c>
      <c r="Y55">
        <f>HYPERLINK("https://klasma.github.io/Logging_0686/kartor_geotiff/S 2968-2025 georefererad karta.tif", "S 2968-2025")</f>
        <v/>
      </c>
      <c r="AA55">
        <f>HYPERLINK("https://klasma.github.io/Logging_0686/klagomål/S 2968-2025 FSC-klagomål.docx", "S 2968-2025")</f>
        <v/>
      </c>
      <c r="AB55">
        <f>HYPERLINK("https://klasma.github.io/Logging_0686/klagomålsmail/S 2968-2025 FSC-klagomål mail.docx", "S 2968-2025")</f>
        <v/>
      </c>
      <c r="AC55">
        <f>HYPERLINK("https://klasma.github.io/Logging_0686/tillsyn/S 2968-2025 tillsynsbegäran.docx", "S 2968-2025")</f>
        <v/>
      </c>
      <c r="AD55">
        <f>HYPERLINK("https://klasma.github.io/Logging_0686/tillsynsmail/S 2968-2025 tillsynsbegäran mail.docx", "S 2968-2025")</f>
        <v/>
      </c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46311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56005-2022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46311</v>
      </c>
      <c r="F57" t="inlineStr">
        <is>
          <t>JÖNKÖPINGS LÄN</t>
        </is>
      </c>
      <c r="G57" t="inlineStr">
        <is>
          <t>EKSJÖ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44873</v>
      </c>
      <c r="E58" s="1" t="n">
        <v>46311</v>
      </c>
      <c r="F58" t="inlineStr">
        <is>
          <t>JÖNKÖPINGS LÄN</t>
        </is>
      </c>
      <c r="G58" t="inlineStr">
        <is>
          <t>EKSJÖ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41532-2022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44827</v>
      </c>
      <c r="E59" s="1" t="n">
        <v>46311</v>
      </c>
      <c r="F59" t="inlineStr">
        <is>
          <t>JÖNKÖPINGS LÄN</t>
        </is>
      </c>
      <c r="G59" t="inlineStr">
        <is>
          <t>EKSJÖ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46311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44753</v>
      </c>
      <c r="E61" s="1" t="n">
        <v>46311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9839-2022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46311</v>
      </c>
      <c r="F62" t="inlineStr">
        <is>
          <t>JÖNKÖPINGS LÄN</t>
        </is>
      </c>
      <c r="G62" t="inlineStr">
        <is>
          <t>EKSJÖ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46311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46311</v>
      </c>
      <c r="F64" t="inlineStr">
        <is>
          <t>JÖNKÖPINGS LÄN</t>
        </is>
      </c>
      <c r="G64" t="inlineStr">
        <is>
          <t>EKSJÖ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67951-2021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46311</v>
      </c>
      <c r="F65" t="inlineStr">
        <is>
          <t>JÖNKÖPINGS LÄN</t>
        </is>
      </c>
      <c r="G65" t="inlineStr">
        <is>
          <t>EKSJÖ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46311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46311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46311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46311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46311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46311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46311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46311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46311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46311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46311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46311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46311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46311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46311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46311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46311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46311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46311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46311</v>
      </c>
      <c r="F85" t="inlineStr">
        <is>
          <t>JÖNKÖPINGS LÄN</t>
        </is>
      </c>
      <c r="G85" t="inlineStr">
        <is>
          <t>EKSJÖ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46311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46311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46311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46311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46311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46311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46311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46311</v>
      </c>
      <c r="F93" t="inlineStr">
        <is>
          <t>JÖNKÖPINGS LÄN</t>
        </is>
      </c>
      <c r="G93" t="inlineStr">
        <is>
          <t>EKSJÖ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46311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46311</v>
      </c>
      <c r="F95" t="inlineStr">
        <is>
          <t>JÖNKÖPINGS LÄN</t>
        </is>
      </c>
      <c r="G95" t="inlineStr">
        <is>
          <t>EKSJÖ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66930-2021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46311</v>
      </c>
      <c r="F96" t="inlineStr">
        <is>
          <t>JÖNKÖPINGS LÄN</t>
        </is>
      </c>
      <c r="G96" t="inlineStr">
        <is>
          <t>EKSJÖ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8335-2022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44610</v>
      </c>
      <c r="E97" s="1" t="n">
        <v>46311</v>
      </c>
      <c r="F97" t="inlineStr">
        <is>
          <t>JÖNKÖPINGS LÄN</t>
        </is>
      </c>
      <c r="G97" t="inlineStr">
        <is>
          <t>EKSJÖ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46311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46311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46311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46311</v>
      </c>
      <c r="F101" t="inlineStr">
        <is>
          <t>JÖNKÖPINGS LÄN</t>
        </is>
      </c>
      <c r="G101" t="inlineStr">
        <is>
          <t>EKSJÖ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46311</v>
      </c>
      <c r="F102" t="inlineStr">
        <is>
          <t>JÖNKÖPINGS LÄN</t>
        </is>
      </c>
      <c r="G102" t="inlineStr">
        <is>
          <t>EKSJÖ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46311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45671</v>
      </c>
      <c r="E104" s="1" t="n">
        <v>46311</v>
      </c>
      <c r="F104" t="inlineStr">
        <is>
          <t>JÖNKÖPINGS LÄN</t>
        </is>
      </c>
      <c r="G104" t="inlineStr">
        <is>
          <t>EKSJÖ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46311</v>
      </c>
      <c r="F105" t="inlineStr">
        <is>
          <t>JÖNKÖPINGS LÄN</t>
        </is>
      </c>
      <c r="G105" t="inlineStr">
        <is>
          <t>EKSJÖ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46311</v>
      </c>
      <c r="F106" t="inlineStr">
        <is>
          <t>JÖNKÖPINGS LÄN</t>
        </is>
      </c>
      <c r="G106" t="inlineStr">
        <is>
          <t>EKSJÖ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45737</v>
      </c>
      <c r="E107" s="1" t="n">
        <v>46311</v>
      </c>
      <c r="F107" t="inlineStr">
        <is>
          <t>JÖNKÖPINGS LÄN</t>
        </is>
      </c>
      <c r="G107" t="inlineStr">
        <is>
          <t>EKSJÖ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46311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46311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46311</v>
      </c>
      <c r="F110" t="inlineStr">
        <is>
          <t>JÖNKÖPINGS LÄN</t>
        </is>
      </c>
      <c r="G110" t="inlineStr">
        <is>
          <t>EKSJÖ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45197</v>
      </c>
      <c r="E111" s="1" t="n">
        <v>46311</v>
      </c>
      <c r="F111" t="inlineStr">
        <is>
          <t>JÖNKÖPINGS LÄN</t>
        </is>
      </c>
      <c r="G111" t="inlineStr">
        <is>
          <t>EKSJÖ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46311</v>
      </c>
      <c r="F112" t="inlineStr">
        <is>
          <t>JÖNKÖPINGS LÄN</t>
        </is>
      </c>
      <c r="G112" t="inlineStr">
        <is>
          <t>EKSJÖ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46311</v>
      </c>
      <c r="F113" t="inlineStr">
        <is>
          <t>JÖNKÖPINGS LÄN</t>
        </is>
      </c>
      <c r="G113" t="inlineStr">
        <is>
          <t>EKSJÖ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46311</v>
      </c>
      <c r="F114" t="inlineStr">
        <is>
          <t>JÖNKÖPINGS LÄN</t>
        </is>
      </c>
      <c r="G114" t="inlineStr">
        <is>
          <t>EKSJÖ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55553-2023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46311</v>
      </c>
      <c r="F115" t="inlineStr">
        <is>
          <t>JÖNKÖPINGS LÄN</t>
        </is>
      </c>
      <c r="G115" t="inlineStr">
        <is>
          <t>EKSJÖ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45524</v>
      </c>
      <c r="E116" s="1" t="n">
        <v>46311</v>
      </c>
      <c r="F116" t="inlineStr">
        <is>
          <t>JÖNKÖPINGS LÄN</t>
        </is>
      </c>
      <c r="G116" t="inlineStr">
        <is>
          <t>EKSJÖ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44817</v>
      </c>
      <c r="E117" s="1" t="n">
        <v>46311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45072</v>
      </c>
      <c r="E118" s="1" t="n">
        <v>46311</v>
      </c>
      <c r="F118" t="inlineStr">
        <is>
          <t>JÖNKÖPINGS LÄN</t>
        </is>
      </c>
      <c r="G118" t="inlineStr">
        <is>
          <t>EKSJÖ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45418</v>
      </c>
      <c r="E119" s="1" t="n">
        <v>46311</v>
      </c>
      <c r="F119" t="inlineStr">
        <is>
          <t>JÖNKÖPINGS LÄN</t>
        </is>
      </c>
      <c r="G119" t="inlineStr">
        <is>
          <t>EKSJÖ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46311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44582</v>
      </c>
      <c r="E121" s="1" t="n">
        <v>46311</v>
      </c>
      <c r="F121" t="inlineStr">
        <is>
          <t>JÖNKÖPINGS LÄN</t>
        </is>
      </c>
      <c r="G121" t="inlineStr">
        <is>
          <t>EKSJÖ</t>
        </is>
      </c>
      <c r="H121" t="inlineStr">
        <is>
          <t>Kommuner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54292-2023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45232</v>
      </c>
      <c r="E122" s="1" t="n">
        <v>46311</v>
      </c>
      <c r="F122" t="inlineStr">
        <is>
          <t>JÖNKÖPINGS LÄN</t>
        </is>
      </c>
      <c r="G122" t="inlineStr">
        <is>
          <t>EKSJÖ</t>
        </is>
      </c>
      <c r="I122" t="n">
        <v>18.3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45091</v>
      </c>
      <c r="E123" s="1" t="n">
        <v>46311</v>
      </c>
      <c r="F123" t="inlineStr">
        <is>
          <t>JÖNKÖPINGS LÄN</t>
        </is>
      </c>
      <c r="G123" t="inlineStr">
        <is>
          <t>EKSJÖ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46311</v>
      </c>
      <c r="F124" t="inlineStr">
        <is>
          <t>JÖNKÖPINGS LÄN</t>
        </is>
      </c>
      <c r="G124" t="inlineStr">
        <is>
          <t>EKSJÖ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46311</v>
      </c>
      <c r="F125" t="inlineStr">
        <is>
          <t>JÖNKÖPINGS LÄN</t>
        </is>
      </c>
      <c r="G125" t="inlineStr">
        <is>
          <t>EKSJÖ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46311</v>
      </c>
      <c r="F126" t="inlineStr">
        <is>
          <t>JÖNKÖPINGS LÄN</t>
        </is>
      </c>
      <c r="G126" t="inlineStr">
        <is>
          <t>EKSJÖ</t>
        </is>
      </c>
      <c r="H126" t="inlineStr">
        <is>
          <t>Kommuner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46311</v>
      </c>
      <c r="F127" t="inlineStr">
        <is>
          <t>JÖNKÖPINGS LÄN</t>
        </is>
      </c>
      <c r="G127" t="inlineStr">
        <is>
          <t>EKSJÖ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45741</v>
      </c>
      <c r="E128" s="1" t="n">
        <v>46311</v>
      </c>
      <c r="F128" t="inlineStr">
        <is>
          <t>JÖNKÖPINGS LÄN</t>
        </is>
      </c>
      <c r="G128" t="inlineStr">
        <is>
          <t>EKSJÖ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46311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46311</v>
      </c>
      <c r="F130" t="inlineStr">
        <is>
          <t>JÖNKÖPINGS LÄN</t>
        </is>
      </c>
      <c r="G130" t="inlineStr">
        <is>
          <t>EKSJÖ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45076</v>
      </c>
      <c r="E131" s="1" t="n">
        <v>46311</v>
      </c>
      <c r="F131" t="inlineStr">
        <is>
          <t>JÖNKÖPINGS LÄN</t>
        </is>
      </c>
      <c r="G131" t="inlineStr">
        <is>
          <t>EKSJÖ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46311</v>
      </c>
      <c r="F132" t="inlineStr">
        <is>
          <t>JÖNKÖPINGS LÄN</t>
        </is>
      </c>
      <c r="G132" t="inlineStr">
        <is>
          <t>EKSJÖ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46311</v>
      </c>
      <c r="F133" t="inlineStr">
        <is>
          <t>JÖNKÖPINGS LÄN</t>
        </is>
      </c>
      <c r="G133" t="inlineStr">
        <is>
          <t>EKSJÖ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46311</v>
      </c>
      <c r="F134" t="inlineStr">
        <is>
          <t>JÖNKÖPINGS LÄN</t>
        </is>
      </c>
      <c r="G134" t="inlineStr">
        <is>
          <t>EKSJÖ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46311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46311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46311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46311</v>
      </c>
      <c r="F138" t="inlineStr">
        <is>
          <t>JÖNKÖPINGS LÄN</t>
        </is>
      </c>
      <c r="G138" t="inlineStr">
        <is>
          <t>EKSJÖ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46311</v>
      </c>
      <c r="F139" t="inlineStr">
        <is>
          <t>JÖNKÖPINGS LÄN</t>
        </is>
      </c>
      <c r="G139" t="inlineStr">
        <is>
          <t>EKSJÖ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46311</v>
      </c>
      <c r="F140" t="inlineStr">
        <is>
          <t>JÖNKÖPINGS LÄN</t>
        </is>
      </c>
      <c r="G140" t="inlineStr">
        <is>
          <t>EKSJÖ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46311</v>
      </c>
      <c r="F141" t="inlineStr">
        <is>
          <t>JÖNKÖPINGS LÄN</t>
        </is>
      </c>
      <c r="G141" t="inlineStr">
        <is>
          <t>EKSJÖ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46311</v>
      </c>
      <c r="F142" t="inlineStr">
        <is>
          <t>JÖNKÖPINGS LÄN</t>
        </is>
      </c>
      <c r="G142" t="inlineStr">
        <is>
          <t>EKSJÖ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46311</v>
      </c>
      <c r="F143" t="inlineStr">
        <is>
          <t>JÖNKÖPINGS LÄN</t>
        </is>
      </c>
      <c r="G143" t="inlineStr">
        <is>
          <t>EKSJÖ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46311</v>
      </c>
      <c r="F144" t="inlineStr">
        <is>
          <t>JÖNKÖPINGS LÄN</t>
        </is>
      </c>
      <c r="G144" t="inlineStr">
        <is>
          <t>EKSJÖ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51527-2023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46311</v>
      </c>
      <c r="F145" t="inlineStr">
        <is>
          <t>JÖNKÖPINGS LÄN</t>
        </is>
      </c>
      <c r="G145" t="inlineStr">
        <is>
          <t>EKSJÖ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45300</v>
      </c>
      <c r="E146" s="1" t="n">
        <v>46311</v>
      </c>
      <c r="F146" t="inlineStr">
        <is>
          <t>JÖNKÖPINGS LÄN</t>
        </is>
      </c>
      <c r="G146" t="inlineStr">
        <is>
          <t>EKSJÖ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41440-2024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45560</v>
      </c>
      <c r="E147" s="1" t="n">
        <v>46311</v>
      </c>
      <c r="F147" t="inlineStr">
        <is>
          <t>JÖNKÖPINGS LÄN</t>
        </is>
      </c>
      <c r="G147" t="inlineStr">
        <is>
          <t>EKSJÖ</t>
        </is>
      </c>
      <c r="H147" t="inlineStr">
        <is>
          <t>Kyrkan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45837</v>
      </c>
      <c r="E148" s="1" t="n">
        <v>46311</v>
      </c>
      <c r="F148" t="inlineStr">
        <is>
          <t>JÖNKÖPINGS LÄN</t>
        </is>
      </c>
      <c r="G148" t="inlineStr">
        <is>
          <t>EKSJÖ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11007-2024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45370</v>
      </c>
      <c r="E149" s="1" t="n">
        <v>46311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44846</v>
      </c>
      <c r="E150" s="1" t="n">
        <v>46311</v>
      </c>
      <c r="F150" t="inlineStr">
        <is>
          <t>JÖNKÖPINGS LÄN</t>
        </is>
      </c>
      <c r="G150" t="inlineStr">
        <is>
          <t>EKSJÖ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46311</v>
      </c>
      <c r="F151" t="inlineStr">
        <is>
          <t>JÖNKÖPINGS LÄN</t>
        </is>
      </c>
      <c r="G151" t="inlineStr">
        <is>
          <t>EKSJÖ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45097</v>
      </c>
      <c r="E152" s="1" t="n">
        <v>46311</v>
      </c>
      <c r="F152" t="inlineStr">
        <is>
          <t>JÖNKÖPINGS LÄN</t>
        </is>
      </c>
      <c r="G152" t="inlineStr">
        <is>
          <t>EKSJÖ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46311</v>
      </c>
      <c r="F153" t="inlineStr">
        <is>
          <t>JÖNKÖPINGS LÄN</t>
        </is>
      </c>
      <c r="G153" t="inlineStr">
        <is>
          <t>EKSJÖ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46311</v>
      </c>
      <c r="F154" t="inlineStr">
        <is>
          <t>JÖNKÖPINGS LÄN</t>
        </is>
      </c>
      <c r="G154" t="inlineStr">
        <is>
          <t>EKSJÖ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33609-2025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45841</v>
      </c>
      <c r="E155" s="1" t="n">
        <v>46311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45842</v>
      </c>
      <c r="E156" s="1" t="n">
        <v>46311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45845</v>
      </c>
      <c r="E157" s="1" t="n">
        <v>46311</v>
      </c>
      <c r="F157" t="inlineStr">
        <is>
          <t>JÖNKÖPINGS LÄN</t>
        </is>
      </c>
      <c r="G157" t="inlineStr">
        <is>
          <t>EKSJÖ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45842</v>
      </c>
      <c r="E158" s="1" t="n">
        <v>46311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45092</v>
      </c>
      <c r="E159" s="1" t="n">
        <v>46311</v>
      </c>
      <c r="F159" t="inlineStr">
        <is>
          <t>JÖNKÖPINGS LÄN</t>
        </is>
      </c>
      <c r="G159" t="inlineStr">
        <is>
          <t>EKSJÖ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36069-2024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45533</v>
      </c>
      <c r="E160" s="1" t="n">
        <v>46311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44974</v>
      </c>
      <c r="E161" s="1" t="n">
        <v>46311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46311</v>
      </c>
      <c r="F162" t="inlineStr">
        <is>
          <t>JÖNKÖPINGS LÄN</t>
        </is>
      </c>
      <c r="G162" t="inlineStr">
        <is>
          <t>EKSJÖ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36042-2024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45533</v>
      </c>
      <c r="E163" s="1" t="n">
        <v>46311</v>
      </c>
      <c r="F163" t="inlineStr">
        <is>
          <t>JÖNKÖPINGS LÄN</t>
        </is>
      </c>
      <c r="G163" t="inlineStr">
        <is>
          <t>EKSJÖ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44966</v>
      </c>
      <c r="E164" s="1" t="n">
        <v>46311</v>
      </c>
      <c r="F164" t="inlineStr">
        <is>
          <t>JÖNKÖPINGS LÄN</t>
        </is>
      </c>
      <c r="G164" t="inlineStr">
        <is>
          <t>EKSJÖ</t>
        </is>
      </c>
      <c r="H164" t="inlineStr">
        <is>
          <t>Kyrkan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8057-2023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46311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46311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46311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46311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44953</v>
      </c>
      <c r="E169" s="1" t="n">
        <v>46311</v>
      </c>
      <c r="F169" t="inlineStr">
        <is>
          <t>JÖNKÖPINGS LÄN</t>
        </is>
      </c>
      <c r="G169" t="inlineStr">
        <is>
          <t>EKSJÖ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46311</v>
      </c>
      <c r="F170" t="inlineStr">
        <is>
          <t>JÖNKÖPINGS LÄN</t>
        </is>
      </c>
      <c r="G170" t="inlineStr">
        <is>
          <t>EKSJÖ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45391</v>
      </c>
      <c r="E171" s="1" t="n">
        <v>46311</v>
      </c>
      <c r="F171" t="inlineStr">
        <is>
          <t>JÖNKÖPINGS LÄN</t>
        </is>
      </c>
      <c r="G171" t="inlineStr">
        <is>
          <t>EKSJÖ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44865</v>
      </c>
      <c r="E172" s="1" t="n">
        <v>46311</v>
      </c>
      <c r="F172" t="inlineStr">
        <is>
          <t>JÖNKÖPINGS LÄN</t>
        </is>
      </c>
      <c r="G172" t="inlineStr">
        <is>
          <t>EKSJÖ</t>
        </is>
      </c>
      <c r="H172" t="inlineStr">
        <is>
          <t>Övriga Aktiebolag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45461</v>
      </c>
      <c r="E173" s="1" t="n">
        <v>46311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46311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46311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46311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45860</v>
      </c>
      <c r="E177" s="1" t="n">
        <v>46311</v>
      </c>
      <c r="F177" t="inlineStr">
        <is>
          <t>JÖNKÖPINGS LÄN</t>
        </is>
      </c>
      <c r="G177" t="inlineStr">
        <is>
          <t>EKSJÖ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46311</v>
      </c>
      <c r="F178" t="inlineStr">
        <is>
          <t>JÖNKÖPINGS LÄN</t>
        </is>
      </c>
      <c r="G178" t="inlineStr">
        <is>
          <t>EKSJÖ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46311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45866</v>
      </c>
      <c r="E180" s="1" t="n">
        <v>46311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30931-2023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46311</v>
      </c>
      <c r="F181" t="inlineStr">
        <is>
          <t>JÖNKÖPINGS LÄN</t>
        </is>
      </c>
      <c r="G181" t="inlineStr">
        <is>
          <t>EKSJÖ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46311</v>
      </c>
      <c r="F182" t="inlineStr">
        <is>
          <t>JÖNKÖPINGS LÄN</t>
        </is>
      </c>
      <c r="G182" t="inlineStr">
        <is>
          <t>EKSJÖ</t>
        </is>
      </c>
      <c r="H182" t="inlineStr">
        <is>
          <t>Kommuner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46311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46311</v>
      </c>
      <c r="F184" t="inlineStr">
        <is>
          <t>JÖNKÖPINGS LÄN</t>
        </is>
      </c>
      <c r="G184" t="inlineStr">
        <is>
          <t>EKSJÖ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45874</v>
      </c>
      <c r="E185" s="1" t="n">
        <v>46311</v>
      </c>
      <c r="F185" t="inlineStr">
        <is>
          <t>JÖNKÖPINGS LÄN</t>
        </is>
      </c>
      <c r="G185" t="inlineStr">
        <is>
          <t>EKSJÖ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46311</v>
      </c>
      <c r="F186" t="inlineStr">
        <is>
          <t>JÖNKÖPINGS LÄN</t>
        </is>
      </c>
      <c r="G186" t="inlineStr">
        <is>
          <t>EKSJÖ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45875</v>
      </c>
      <c r="E187" s="1" t="n">
        <v>46311</v>
      </c>
      <c r="F187" t="inlineStr">
        <is>
          <t>JÖNKÖPINGS LÄN</t>
        </is>
      </c>
      <c r="G187" t="inlineStr">
        <is>
          <t>EKSJÖ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46311</v>
      </c>
      <c r="F188" t="inlineStr">
        <is>
          <t>JÖNKÖPINGS LÄN</t>
        </is>
      </c>
      <c r="G188" t="inlineStr">
        <is>
          <t>EKSJÖ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46311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46311</v>
      </c>
      <c r="F190" t="inlineStr">
        <is>
          <t>JÖNKÖPINGS LÄN</t>
        </is>
      </c>
      <c r="G190" t="inlineStr">
        <is>
          <t>EKSJÖ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46311</v>
      </c>
      <c r="F191" t="inlineStr">
        <is>
          <t>JÖNKÖPINGS LÄN</t>
        </is>
      </c>
      <c r="G191" t="inlineStr">
        <is>
          <t>EKSJÖ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45485</v>
      </c>
      <c r="E192" s="1" t="n">
        <v>46311</v>
      </c>
      <c r="F192" t="inlineStr">
        <is>
          <t>JÖNKÖPINGS LÄN</t>
        </is>
      </c>
      <c r="G192" t="inlineStr">
        <is>
          <t>EKSJÖ</t>
        </is>
      </c>
      <c r="H192" t="inlineStr">
        <is>
          <t>Övriga Aktiebolag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46311</v>
      </c>
      <c r="F193" t="inlineStr">
        <is>
          <t>JÖNKÖPINGS LÄN</t>
        </is>
      </c>
      <c r="G193" t="inlineStr">
        <is>
          <t>EKSJÖ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45334</v>
      </c>
      <c r="E194" s="1" t="n">
        <v>46311</v>
      </c>
      <c r="F194" t="inlineStr">
        <is>
          <t>JÖNKÖPINGS LÄN</t>
        </is>
      </c>
      <c r="G194" t="inlineStr">
        <is>
          <t>EKSJÖ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45762</v>
      </c>
      <c r="E195" s="1" t="n">
        <v>46311</v>
      </c>
      <c r="F195" t="inlineStr">
        <is>
          <t>JÖNKÖPINGS LÄN</t>
        </is>
      </c>
      <c r="G195" t="inlineStr">
        <is>
          <t>EKSJÖ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46311</v>
      </c>
      <c r="F196" t="inlineStr">
        <is>
          <t>JÖNKÖPINGS LÄN</t>
        </is>
      </c>
      <c r="G196" t="inlineStr">
        <is>
          <t>EKSJÖ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46311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64419-2021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44511</v>
      </c>
      <c r="E198" s="1" t="n">
        <v>46311</v>
      </c>
      <c r="F198" t="inlineStr">
        <is>
          <t>JÖNKÖPINGS LÄN</t>
        </is>
      </c>
      <c r="G198" t="inlineStr">
        <is>
          <t>EKSJÖ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36070-2024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46311</v>
      </c>
      <c r="F199" t="inlineStr">
        <is>
          <t>JÖNKÖPINGS LÄN</t>
        </is>
      </c>
      <c r="G199" t="inlineStr">
        <is>
          <t>EKSJÖ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46311</v>
      </c>
      <c r="F200" t="inlineStr">
        <is>
          <t>JÖNKÖPINGS LÄN</t>
        </is>
      </c>
      <c r="G200" t="inlineStr">
        <is>
          <t>EKSJÖ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44909</v>
      </c>
      <c r="E201" s="1" t="n">
        <v>46311</v>
      </c>
      <c r="F201" t="inlineStr">
        <is>
          <t>JÖNKÖPINGS LÄN</t>
        </is>
      </c>
      <c r="G201" t="inlineStr">
        <is>
          <t>EKSJÖ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45468</v>
      </c>
      <c r="E202" s="1" t="n">
        <v>46311</v>
      </c>
      <c r="F202" t="inlineStr">
        <is>
          <t>JÖNKÖPINGS LÄN</t>
        </is>
      </c>
      <c r="G202" t="inlineStr">
        <is>
          <t>EKSJÖ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46311</v>
      </c>
      <c r="F203" t="inlineStr">
        <is>
          <t>JÖNKÖPINGS LÄN</t>
        </is>
      </c>
      <c r="G203" t="inlineStr">
        <is>
          <t>EKSJÖ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46311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59050-2021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44490</v>
      </c>
      <c r="E205" s="1" t="n">
        <v>46311</v>
      </c>
      <c r="F205" t="inlineStr">
        <is>
          <t>JÖNKÖPINGS LÄN</t>
        </is>
      </c>
      <c r="G205" t="inlineStr">
        <is>
          <t>EKSJÖ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46311</v>
      </c>
      <c r="F206" t="inlineStr">
        <is>
          <t>JÖNKÖPINGS LÄN</t>
        </is>
      </c>
      <c r="G206" t="inlineStr">
        <is>
          <t>EKSJÖ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46311</v>
      </c>
      <c r="F207" t="inlineStr">
        <is>
          <t>JÖNKÖPINGS LÄN</t>
        </is>
      </c>
      <c r="G207" t="inlineStr">
        <is>
          <t>EKSJÖ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46311</v>
      </c>
      <c r="F208" t="inlineStr">
        <is>
          <t>JÖNKÖPINGS LÄN</t>
        </is>
      </c>
      <c r="G208" t="inlineStr">
        <is>
          <t>EKSJÖ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46311</v>
      </c>
      <c r="F209" t="inlineStr">
        <is>
          <t>JÖNKÖPINGS LÄN</t>
        </is>
      </c>
      <c r="G209" t="inlineStr">
        <is>
          <t>EKSJÖ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46311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45216</v>
      </c>
      <c r="E211" s="1" t="n">
        <v>46311</v>
      </c>
      <c r="F211" t="inlineStr">
        <is>
          <t>JÖNKÖPINGS LÄN</t>
        </is>
      </c>
      <c r="G211" t="inlineStr">
        <is>
          <t>EKSJÖ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46098</v>
      </c>
      <c r="E212" s="1" t="n">
        <v>46311</v>
      </c>
      <c r="F212" t="inlineStr">
        <is>
          <t>JÖNKÖPINGS LÄN</t>
        </is>
      </c>
      <c r="G212" t="inlineStr">
        <is>
          <t>EKSJÖ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8165-2022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44609</v>
      </c>
      <c r="E213" s="1" t="n">
        <v>46311</v>
      </c>
      <c r="F213" t="inlineStr">
        <is>
          <t>JÖNKÖPINGS LÄN</t>
        </is>
      </c>
      <c r="G213" t="inlineStr">
        <is>
          <t>EKSJÖ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46311</v>
      </c>
      <c r="F214" t="inlineStr">
        <is>
          <t>JÖNKÖPINGS LÄN</t>
        </is>
      </c>
      <c r="G214" t="inlineStr">
        <is>
          <t>EKSJÖ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46311</v>
      </c>
      <c r="F215" t="inlineStr">
        <is>
          <t>JÖNKÖPINGS LÄN</t>
        </is>
      </c>
      <c r="G215" t="inlineStr">
        <is>
          <t>EKSJÖ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46311</v>
      </c>
      <c r="F216" t="inlineStr">
        <is>
          <t>JÖNKÖPINGS LÄN</t>
        </is>
      </c>
      <c r="G216" t="inlineStr">
        <is>
          <t>EKSJÖ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46311</v>
      </c>
      <c r="F217" t="inlineStr">
        <is>
          <t>JÖNKÖPINGS LÄN</t>
        </is>
      </c>
      <c r="G217" t="inlineStr">
        <is>
          <t>EKSJÖ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46311</v>
      </c>
      <c r="F218" t="inlineStr">
        <is>
          <t>JÖNKÖPINGS LÄN</t>
        </is>
      </c>
      <c r="G218" t="inlineStr">
        <is>
          <t>EKSJÖ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46311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45513</v>
      </c>
      <c r="E220" s="1" t="n">
        <v>46311</v>
      </c>
      <c r="F220" t="inlineStr">
        <is>
          <t>JÖNKÖPINGS LÄN</t>
        </is>
      </c>
      <c r="G220" t="inlineStr">
        <is>
          <t>EKSJÖ</t>
        </is>
      </c>
      <c r="H220" t="inlineStr">
        <is>
          <t>Kyrkan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46107</v>
      </c>
      <c r="E221" s="1" t="n">
        <v>46311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15755-2026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46107</v>
      </c>
      <c r="E222" s="1" t="n">
        <v>46311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15763-2026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46311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46311</v>
      </c>
      <c r="F224" t="inlineStr">
        <is>
          <t>JÖNKÖPINGS LÄN</t>
        </is>
      </c>
      <c r="G224" t="inlineStr">
        <is>
          <t>EKSJÖ</t>
        </is>
      </c>
      <c r="H224" t="inlineStr">
        <is>
          <t>Sveaskog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46107</v>
      </c>
      <c r="E225" s="1" t="n">
        <v>46311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46311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46311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46311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46311</v>
      </c>
      <c r="F229" t="inlineStr">
        <is>
          <t>JÖNKÖPINGS LÄN</t>
        </is>
      </c>
      <c r="G229" t="inlineStr">
        <is>
          <t>EKSJÖ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46311</v>
      </c>
      <c r="F230" t="inlineStr">
        <is>
          <t>JÖNKÖPINGS LÄN</t>
        </is>
      </c>
      <c r="G230" t="inlineStr">
        <is>
          <t>EKSJÖ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46311</v>
      </c>
      <c r="F231" t="inlineStr">
        <is>
          <t>JÖNKÖPINGS LÄN</t>
        </is>
      </c>
      <c r="G231" t="inlineStr">
        <is>
          <t>EKSJÖ</t>
        </is>
      </c>
      <c r="H231" t="inlineStr">
        <is>
          <t>Övriga Aktiebolag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46311</v>
      </c>
      <c r="F232" t="inlineStr">
        <is>
          <t>JÖNKÖPINGS LÄN</t>
        </is>
      </c>
      <c r="G232" t="inlineStr">
        <is>
          <t>EKSJÖ</t>
        </is>
      </c>
      <c r="H232" t="inlineStr">
        <is>
          <t>Övriga Aktiebolag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46311</v>
      </c>
      <c r="F233" t="inlineStr">
        <is>
          <t>JÖNKÖPINGS LÄN</t>
        </is>
      </c>
      <c r="G233" t="inlineStr">
        <is>
          <t>EKSJÖ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45402</v>
      </c>
      <c r="E234" s="1" t="n">
        <v>46311</v>
      </c>
      <c r="F234" t="inlineStr">
        <is>
          <t>JÖNKÖPINGS LÄN</t>
        </is>
      </c>
      <c r="G234" t="inlineStr">
        <is>
          <t>EKSJÖ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46311</v>
      </c>
      <c r="F235" t="inlineStr">
        <is>
          <t>JÖNKÖPINGS LÄN</t>
        </is>
      </c>
      <c r="G235" t="inlineStr">
        <is>
          <t>EKSJÖ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44888</v>
      </c>
      <c r="E236" s="1" t="n">
        <v>46311</v>
      </c>
      <c r="F236" t="inlineStr">
        <is>
          <t>JÖNKÖPINGS LÄN</t>
        </is>
      </c>
      <c r="G236" t="inlineStr">
        <is>
          <t>EKSJÖ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46311</v>
      </c>
      <c r="F237" t="inlineStr">
        <is>
          <t>JÖNKÖPINGS LÄN</t>
        </is>
      </c>
      <c r="G237" t="inlineStr">
        <is>
          <t>EKSJÖ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46311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45523</v>
      </c>
      <c r="E239" s="1" t="n">
        <v>46311</v>
      </c>
      <c r="F239" t="inlineStr">
        <is>
          <t>JÖNKÖPINGS LÄN</t>
        </is>
      </c>
      <c r="G239" t="inlineStr">
        <is>
          <t>EKSJÖ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44999</v>
      </c>
      <c r="E240" s="1" t="n">
        <v>46311</v>
      </c>
      <c r="F240" t="inlineStr">
        <is>
          <t>JÖNKÖPINGS LÄN</t>
        </is>
      </c>
      <c r="G240" t="inlineStr">
        <is>
          <t>EKSJÖ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46311</v>
      </c>
      <c r="F241" t="inlineStr">
        <is>
          <t>JÖNKÖPINGS LÄN</t>
        </is>
      </c>
      <c r="G241" t="inlineStr">
        <is>
          <t>EKSJÖ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4929-2024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46311</v>
      </c>
      <c r="F242" t="inlineStr">
        <is>
          <t>JÖNKÖPINGS LÄN</t>
        </is>
      </c>
      <c r="G242" t="inlineStr">
        <is>
          <t>EKSJÖ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46311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46311</v>
      </c>
      <c r="F244" t="inlineStr">
        <is>
          <t>JÖNKÖPINGS LÄN</t>
        </is>
      </c>
      <c r="G244" t="inlineStr">
        <is>
          <t>EKSJÖ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46311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46132</v>
      </c>
      <c r="E246" s="1" t="n">
        <v>46311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45706</v>
      </c>
      <c r="E247" s="1" t="n">
        <v>46311</v>
      </c>
      <c r="F247" t="inlineStr">
        <is>
          <t>JÖNKÖPINGS LÄN</t>
        </is>
      </c>
      <c r="G247" t="inlineStr">
        <is>
          <t>EKSJÖ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46311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45714</v>
      </c>
      <c r="E249" s="1" t="n">
        <v>46311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45714</v>
      </c>
      <c r="E250" s="1" t="n">
        <v>46311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45714</v>
      </c>
      <c r="E251" s="1" t="n">
        <v>46311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46311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10345-2022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44623</v>
      </c>
      <c r="E253" s="1" t="n">
        <v>46311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45345</v>
      </c>
      <c r="E254" s="1" t="n">
        <v>46311</v>
      </c>
      <c r="F254" t="inlineStr">
        <is>
          <t>JÖNKÖPINGS LÄN</t>
        </is>
      </c>
      <c r="G254" t="inlineStr">
        <is>
          <t>EKSJÖ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12821-2024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45384</v>
      </c>
      <c r="E255" s="1" t="n">
        <v>46311</v>
      </c>
      <c r="F255" t="inlineStr">
        <is>
          <t>JÖNKÖPINGS LÄN</t>
        </is>
      </c>
      <c r="G255" t="inlineStr">
        <is>
          <t>EKSJÖ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45370-2024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45576</v>
      </c>
      <c r="E256" s="1" t="n">
        <v>46311</v>
      </c>
      <c r="F256" t="inlineStr">
        <is>
          <t>JÖNKÖPINGS LÄN</t>
        </is>
      </c>
      <c r="G256" t="inlineStr">
        <is>
          <t>EKSJÖ</t>
        </is>
      </c>
      <c r="H256" t="inlineStr">
        <is>
          <t>Övriga Aktiebolag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45533</v>
      </c>
      <c r="E257" s="1" t="n">
        <v>46311</v>
      </c>
      <c r="F257" t="inlineStr">
        <is>
          <t>JÖNKÖPINGS LÄN</t>
        </is>
      </c>
      <c r="G257" t="inlineStr">
        <is>
          <t>EKSJÖ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46311</v>
      </c>
      <c r="F258" t="inlineStr">
        <is>
          <t>JÖNKÖPINGS LÄN</t>
        </is>
      </c>
      <c r="G258" t="inlineStr">
        <is>
          <t>EKSJÖ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46311</v>
      </c>
      <c r="F259" t="inlineStr">
        <is>
          <t>JÖNKÖPINGS LÄN</t>
        </is>
      </c>
      <c r="G259" t="inlineStr">
        <is>
          <t>EKSJÖ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46311</v>
      </c>
      <c r="F260" t="inlineStr">
        <is>
          <t>JÖNKÖPINGS LÄN</t>
        </is>
      </c>
      <c r="G260" t="inlineStr">
        <is>
          <t>EKSJÖ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45842</v>
      </c>
      <c r="E261" s="1" t="n">
        <v>46311</v>
      </c>
      <c r="F261" t="inlineStr">
        <is>
          <t>JÖNKÖPINGS LÄN</t>
        </is>
      </c>
      <c r="G261" t="inlineStr">
        <is>
          <t>EKSJÖ</t>
        </is>
      </c>
      <c r="I261" t="n">
        <v>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9058-2022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44615</v>
      </c>
      <c r="E262" s="1" t="n">
        <v>46311</v>
      </c>
      <c r="F262" t="inlineStr">
        <is>
          <t>JÖNKÖPINGS LÄN</t>
        </is>
      </c>
      <c r="G262" t="inlineStr">
        <is>
          <t>EKSJÖ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38102-2025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45882</v>
      </c>
      <c r="E263" s="1" t="n">
        <v>46311</v>
      </c>
      <c r="F263" t="inlineStr">
        <is>
          <t>JÖNKÖPINGS LÄN</t>
        </is>
      </c>
      <c r="G263" t="inlineStr">
        <is>
          <t>EKSJÖ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46311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46311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46311</v>
      </c>
      <c r="F266" t="inlineStr">
        <is>
          <t>JÖNKÖPINGS LÄN</t>
        </is>
      </c>
      <c r="G266" t="inlineStr">
        <is>
          <t>EKSJÖ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44701</v>
      </c>
      <c r="E267" s="1" t="n">
        <v>46311</v>
      </c>
      <c r="F267" t="inlineStr">
        <is>
          <t>JÖNKÖPINGS LÄN</t>
        </is>
      </c>
      <c r="G267" t="inlineStr">
        <is>
          <t>EKSJÖ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45078</v>
      </c>
      <c r="E268" s="1" t="n">
        <v>46311</v>
      </c>
      <c r="F268" t="inlineStr">
        <is>
          <t>JÖNKÖPINGS LÄN</t>
        </is>
      </c>
      <c r="G268" t="inlineStr">
        <is>
          <t>EKSJÖ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46311</v>
      </c>
      <c r="F269" t="inlineStr">
        <is>
          <t>JÖNKÖPINGS LÄN</t>
        </is>
      </c>
      <c r="G269" t="inlineStr">
        <is>
          <t>EKSJÖ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46311</v>
      </c>
      <c r="F270" t="inlineStr">
        <is>
          <t>JÖNKÖPINGS LÄN</t>
        </is>
      </c>
      <c r="G270" t="inlineStr">
        <is>
          <t>EKSJÖ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46311</v>
      </c>
      <c r="F271" t="inlineStr">
        <is>
          <t>JÖNKÖPINGS LÄN</t>
        </is>
      </c>
      <c r="G271" t="inlineStr">
        <is>
          <t>EKSJÖ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22456-2022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44713</v>
      </c>
      <c r="E272" s="1" t="n">
        <v>46311</v>
      </c>
      <c r="F272" t="inlineStr">
        <is>
          <t>JÖNKÖPINGS LÄN</t>
        </is>
      </c>
      <c r="G272" t="inlineStr">
        <is>
          <t>EKSJÖ</t>
        </is>
      </c>
      <c r="H272" t="inlineStr">
        <is>
          <t>Kyrkan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45463</v>
      </c>
      <c r="E273" s="1" t="n">
        <v>46311</v>
      </c>
      <c r="F273" t="inlineStr">
        <is>
          <t>JÖNKÖPINGS LÄN</t>
        </is>
      </c>
      <c r="G273" t="inlineStr">
        <is>
          <t>EKSJÖ</t>
        </is>
      </c>
      <c r="H273" t="inlineStr">
        <is>
          <t>Övriga Aktiebolag</t>
        </is>
      </c>
      <c r="I273" t="n">
        <v>17.5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46311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46311</v>
      </c>
      <c r="F275" t="inlineStr">
        <is>
          <t>JÖNKÖPINGS LÄN</t>
        </is>
      </c>
      <c r="G275" t="inlineStr">
        <is>
          <t>EKSJÖ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46311</v>
      </c>
      <c r="F276" t="inlineStr">
        <is>
          <t>JÖNKÖPINGS LÄN</t>
        </is>
      </c>
      <c r="G276" t="inlineStr">
        <is>
          <t>EKSJÖ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36355-2022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44803</v>
      </c>
      <c r="E277" s="1" t="n">
        <v>46311</v>
      </c>
      <c r="F277" t="inlineStr">
        <is>
          <t>JÖNKÖPINGS LÄN</t>
        </is>
      </c>
      <c r="G277" t="inlineStr">
        <is>
          <t>EKSJÖ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46311</v>
      </c>
      <c r="F278" t="inlineStr">
        <is>
          <t>JÖNKÖPINGS LÄN</t>
        </is>
      </c>
      <c r="G278" t="inlineStr">
        <is>
          <t>EKSJÖ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46311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46311</v>
      </c>
      <c r="F280" t="inlineStr">
        <is>
          <t>JÖNKÖPINGS LÄN</t>
        </is>
      </c>
      <c r="G280" t="inlineStr">
        <is>
          <t>EKSJÖ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46311</v>
      </c>
      <c r="F281" t="inlineStr">
        <is>
          <t>JÖNKÖPINGS LÄN</t>
        </is>
      </c>
      <c r="G281" t="inlineStr">
        <is>
          <t>EKSJÖ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46311</v>
      </c>
      <c r="F282" t="inlineStr">
        <is>
          <t>JÖNKÖPINGS LÄN</t>
        </is>
      </c>
      <c r="G282" t="inlineStr">
        <is>
          <t>EKSJÖ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45239</v>
      </c>
      <c r="E283" s="1" t="n">
        <v>46311</v>
      </c>
      <c r="F283" t="inlineStr">
        <is>
          <t>JÖNKÖPINGS LÄN</t>
        </is>
      </c>
      <c r="G283" t="inlineStr">
        <is>
          <t>EKSJÖ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45231</v>
      </c>
      <c r="E284" s="1" t="n">
        <v>46311</v>
      </c>
      <c r="F284" t="inlineStr">
        <is>
          <t>JÖNKÖPINGS LÄN</t>
        </is>
      </c>
      <c r="G284" t="inlineStr">
        <is>
          <t>EKSJÖ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46311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46311</v>
      </c>
      <c r="F286" t="inlineStr">
        <is>
          <t>JÖNKÖPINGS LÄN</t>
        </is>
      </c>
      <c r="G286" t="inlineStr">
        <is>
          <t>EKSJÖ</t>
        </is>
      </c>
      <c r="H286" t="inlineStr">
        <is>
          <t>Övriga Aktiebolag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25141-2023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46311</v>
      </c>
      <c r="F287" t="inlineStr">
        <is>
          <t>JÖNKÖPINGS LÄN</t>
        </is>
      </c>
      <c r="G287" t="inlineStr">
        <is>
          <t>EKSJÖ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46311</v>
      </c>
      <c r="F288" t="inlineStr">
        <is>
          <t>JÖNKÖPINGS LÄN</t>
        </is>
      </c>
      <c r="G288" t="inlineStr">
        <is>
          <t>EKSJÖ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54292-2023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45232</v>
      </c>
      <c r="E289" s="1" t="n">
        <v>46311</v>
      </c>
      <c r="F289" t="inlineStr">
        <is>
          <t>JÖNKÖPINGS LÄN</t>
        </is>
      </c>
      <c r="G289" t="inlineStr">
        <is>
          <t>EKSJÖ</t>
        </is>
      </c>
      <c r="I289" t="n">
        <v>18.3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38337-2023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46311</v>
      </c>
      <c r="F290" t="inlineStr">
        <is>
          <t>JÖNKÖPINGS LÄN</t>
        </is>
      </c>
      <c r="G290" t="inlineStr">
        <is>
          <t>EKSJÖ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45420</v>
      </c>
      <c r="E291" s="1" t="n">
        <v>46311</v>
      </c>
      <c r="F291" t="inlineStr">
        <is>
          <t>JÖNKÖPINGS LÄN</t>
        </is>
      </c>
      <c r="G291" t="inlineStr">
        <is>
          <t>EKSJÖ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13273-2023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45003</v>
      </c>
      <c r="E292" s="1" t="n">
        <v>46311</v>
      </c>
      <c r="F292" t="inlineStr">
        <is>
          <t>JÖNKÖPINGS LÄN</t>
        </is>
      </c>
      <c r="G292" t="inlineStr">
        <is>
          <t>EKSJÖ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45632</v>
      </c>
      <c r="E293" s="1" t="n">
        <v>46311</v>
      </c>
      <c r="F293" t="inlineStr">
        <is>
          <t>JÖNKÖPINGS LÄN</t>
        </is>
      </c>
      <c r="G293" t="inlineStr">
        <is>
          <t>EKSJÖ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44719</v>
      </c>
      <c r="E294" s="1" t="n">
        <v>46311</v>
      </c>
      <c r="F294" t="inlineStr">
        <is>
          <t>JÖNKÖPINGS LÄN</t>
        </is>
      </c>
      <c r="G294" t="inlineStr">
        <is>
          <t>EKSJÖ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45036</v>
      </c>
      <c r="E295" s="1" t="n">
        <v>46311</v>
      </c>
      <c r="F295" t="inlineStr">
        <is>
          <t>JÖNKÖPINGS LÄN</t>
        </is>
      </c>
      <c r="G295" t="inlineStr">
        <is>
          <t>EKSJÖ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46311</v>
      </c>
      <c r="F296" t="inlineStr">
        <is>
          <t>JÖNKÖPINGS LÄN</t>
        </is>
      </c>
      <c r="G296" t="inlineStr">
        <is>
          <t>EKSJÖ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45666</v>
      </c>
      <c r="E297" s="1" t="n">
        <v>46311</v>
      </c>
      <c r="F297" t="inlineStr">
        <is>
          <t>JÖNKÖPINGS LÄN</t>
        </is>
      </c>
      <c r="G297" t="inlineStr">
        <is>
          <t>EKSJÖ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10309-2024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46311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45096</v>
      </c>
      <c r="E299" s="1" t="n">
        <v>46311</v>
      </c>
      <c r="F299" t="inlineStr">
        <is>
          <t>JÖNKÖPINGS LÄN</t>
        </is>
      </c>
      <c r="G299" t="inlineStr">
        <is>
          <t>EKSJÖ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27086-2023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46311</v>
      </c>
      <c r="F300" t="inlineStr">
        <is>
          <t>JÖNKÖPINGS LÄN</t>
        </is>
      </c>
      <c r="G300" t="inlineStr">
        <is>
          <t>EKSJÖ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34021-2024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45523</v>
      </c>
      <c r="E301" s="1" t="n">
        <v>46311</v>
      </c>
      <c r="F301" t="inlineStr">
        <is>
          <t>JÖNKÖPINGS LÄN</t>
        </is>
      </c>
      <c r="G301" t="inlineStr">
        <is>
          <t>EKSJÖ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38106-2025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45882</v>
      </c>
      <c r="E302" s="1" t="n">
        <v>46311</v>
      </c>
      <c r="F302" t="inlineStr">
        <is>
          <t>JÖNKÖPINGS LÄN</t>
        </is>
      </c>
      <c r="G302" t="inlineStr">
        <is>
          <t>EKSJÖ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45523</v>
      </c>
      <c r="E303" s="1" t="n">
        <v>46311</v>
      </c>
      <c r="F303" t="inlineStr">
        <is>
          <t>JÖNKÖPINGS LÄN</t>
        </is>
      </c>
      <c r="G303" t="inlineStr">
        <is>
          <t>EKSJÖ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31307-2023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46311</v>
      </c>
      <c r="F304" t="inlineStr">
        <is>
          <t>JÖNKÖPINGS LÄN</t>
        </is>
      </c>
      <c r="G304" t="inlineStr">
        <is>
          <t>EKSJÖ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45195</v>
      </c>
      <c r="E305" s="1" t="n">
        <v>46311</v>
      </c>
      <c r="F305" t="inlineStr">
        <is>
          <t>JÖNKÖPINGS LÄN</t>
        </is>
      </c>
      <c r="G305" t="inlineStr">
        <is>
          <t>EKSJÖ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46311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42467-2023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46311</v>
      </c>
      <c r="F307" t="inlineStr">
        <is>
          <t>JÖNKÖPINGS LÄN</t>
        </is>
      </c>
      <c r="G307" t="inlineStr">
        <is>
          <t>EKSJÖ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45680</v>
      </c>
      <c r="E308" s="1" t="n">
        <v>46311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45631</v>
      </c>
      <c r="E309" s="1" t="n">
        <v>46311</v>
      </c>
      <c r="F309" t="inlineStr">
        <is>
          <t>JÖNKÖPINGS LÄN</t>
        </is>
      </c>
      <c r="G309" t="inlineStr">
        <is>
          <t>EKSJÖ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45911</v>
      </c>
      <c r="E310" s="1" t="n">
        <v>46311</v>
      </c>
      <c r="F310" t="inlineStr">
        <is>
          <t>JÖNKÖPINGS LÄN</t>
        </is>
      </c>
      <c r="G310" t="inlineStr">
        <is>
          <t>EKSJÖ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18324-2022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44685</v>
      </c>
      <c r="E311" s="1" t="n">
        <v>46311</v>
      </c>
      <c r="F311" t="inlineStr">
        <is>
          <t>JÖNKÖPINGS LÄN</t>
        </is>
      </c>
      <c r="G311" t="inlineStr">
        <is>
          <t>EKSJÖ</t>
        </is>
      </c>
      <c r="I311" t="n">
        <v>4.8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45236</v>
      </c>
      <c r="E312" s="1" t="n">
        <v>46311</v>
      </c>
      <c r="F312" t="inlineStr">
        <is>
          <t>JÖNKÖPINGS LÄN</t>
        </is>
      </c>
      <c r="G312" t="inlineStr">
        <is>
          <t>EKSJÖ</t>
        </is>
      </c>
      <c r="H312" t="inlineStr">
        <is>
          <t>Övriga Aktiebolag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46311</v>
      </c>
      <c r="F313" t="inlineStr">
        <is>
          <t>JÖNKÖPINGS LÄN</t>
        </is>
      </c>
      <c r="G313" t="inlineStr">
        <is>
          <t>EKSJÖ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46311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46311</v>
      </c>
      <c r="F315" t="inlineStr">
        <is>
          <t>JÖNKÖPINGS LÄN</t>
        </is>
      </c>
      <c r="G315" t="inlineStr">
        <is>
          <t>EKSJÖ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46311</v>
      </c>
      <c r="F316" t="inlineStr">
        <is>
          <t>JÖNKÖPINGS LÄN</t>
        </is>
      </c>
      <c r="G316" t="inlineStr">
        <is>
          <t>EKSJÖ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44991</v>
      </c>
      <c r="E317" s="1" t="n">
        <v>46311</v>
      </c>
      <c r="F317" t="inlineStr">
        <is>
          <t>JÖNKÖPINGS LÄN</t>
        </is>
      </c>
      <c r="G317" t="inlineStr">
        <is>
          <t>EKSJÖ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21073-2026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46146</v>
      </c>
      <c r="E318" s="1" t="n">
        <v>46311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43584-2025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46311</v>
      </c>
      <c r="F319" t="inlineStr">
        <is>
          <t>JÖNKÖPINGS LÄN</t>
        </is>
      </c>
      <c r="G319" t="inlineStr">
        <is>
          <t>EKSJÖ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46311</v>
      </c>
      <c r="F320" t="inlineStr">
        <is>
          <t>JÖNKÖPINGS LÄN</t>
        </is>
      </c>
      <c r="G320" t="inlineStr">
        <is>
          <t>EKSJÖ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44783</v>
      </c>
      <c r="E321" s="1" t="n">
        <v>46311</v>
      </c>
      <c r="F321" t="inlineStr">
        <is>
          <t>JÖNKÖPINGS LÄN</t>
        </is>
      </c>
      <c r="G321" t="inlineStr">
        <is>
          <t>EKSJÖ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47390-2022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46311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37753-2023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45156</v>
      </c>
      <c r="E323" s="1" t="n">
        <v>46311</v>
      </c>
      <c r="F323" t="inlineStr">
        <is>
          <t>JÖNKÖPINGS LÄN</t>
        </is>
      </c>
      <c r="G323" t="inlineStr">
        <is>
          <t>EKSJÖ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45239</v>
      </c>
      <c r="E324" s="1" t="n">
        <v>46311</v>
      </c>
      <c r="F324" t="inlineStr">
        <is>
          <t>JÖNKÖPINGS LÄN</t>
        </is>
      </c>
      <c r="G324" t="inlineStr">
        <is>
          <t>EKSJÖ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45315</v>
      </c>
      <c r="E325" s="1" t="n">
        <v>46311</v>
      </c>
      <c r="F325" t="inlineStr">
        <is>
          <t>JÖNKÖPINGS LÄN</t>
        </is>
      </c>
      <c r="G325" t="inlineStr">
        <is>
          <t>EKSJÖ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45715</v>
      </c>
      <c r="E326" s="1" t="n">
        <v>46311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45485</v>
      </c>
      <c r="E327" s="1" t="n">
        <v>46311</v>
      </c>
      <c r="F327" t="inlineStr">
        <is>
          <t>JÖNKÖPINGS LÄN</t>
        </is>
      </c>
      <c r="G327" t="inlineStr">
        <is>
          <t>EKSJÖ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38198-2023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45161</v>
      </c>
      <c r="E328" s="1" t="n">
        <v>46311</v>
      </c>
      <c r="F328" t="inlineStr">
        <is>
          <t>JÖNKÖPINGS LÄN</t>
        </is>
      </c>
      <c r="G328" t="inlineStr">
        <is>
          <t>EKSJÖ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45161</v>
      </c>
      <c r="E329" s="1" t="n">
        <v>46311</v>
      </c>
      <c r="F329" t="inlineStr">
        <is>
          <t>JÖNKÖPINGS LÄN</t>
        </is>
      </c>
      <c r="G329" t="inlineStr">
        <is>
          <t>EKSJÖ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45314</v>
      </c>
      <c r="E330" s="1" t="n">
        <v>46311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46311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45237</v>
      </c>
      <c r="E332" s="1" t="n">
        <v>46311</v>
      </c>
      <c r="F332" t="inlineStr">
        <is>
          <t>JÖNKÖPINGS LÄN</t>
        </is>
      </c>
      <c r="G332" t="inlineStr">
        <is>
          <t>EKSJÖ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46311</v>
      </c>
      <c r="F333" t="inlineStr">
        <is>
          <t>JÖNKÖPINGS LÄN</t>
        </is>
      </c>
      <c r="G333" t="inlineStr">
        <is>
          <t>EKSJÖ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44526-2025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45916</v>
      </c>
      <c r="E334" s="1" t="n">
        <v>46311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45706</v>
      </c>
      <c r="E335" s="1" t="n">
        <v>46311</v>
      </c>
      <c r="F335" t="inlineStr">
        <is>
          <t>JÖNKÖPINGS LÄN</t>
        </is>
      </c>
      <c r="G335" t="inlineStr">
        <is>
          <t>EKSJÖ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38592-2022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44813</v>
      </c>
      <c r="E336" s="1" t="n">
        <v>46311</v>
      </c>
      <c r="F336" t="inlineStr">
        <is>
          <t>JÖNKÖPINGS LÄN</t>
        </is>
      </c>
      <c r="G336" t="inlineStr">
        <is>
          <t>EKSJÖ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45328</v>
      </c>
      <c r="E337" s="1" t="n">
        <v>46311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46311</v>
      </c>
      <c r="F338" t="inlineStr">
        <is>
          <t>JÖNKÖPINGS LÄN</t>
        </is>
      </c>
      <c r="G338" t="inlineStr">
        <is>
          <t>EKSJÖ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45224</v>
      </c>
      <c r="E339" s="1" t="n">
        <v>46311</v>
      </c>
      <c r="F339" t="inlineStr">
        <is>
          <t>JÖNKÖPINGS LÄN</t>
        </is>
      </c>
      <c r="G339" t="inlineStr">
        <is>
          <t>EKSJÖ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46311</v>
      </c>
      <c r="F340" t="inlineStr">
        <is>
          <t>JÖNKÖPINGS LÄN</t>
        </is>
      </c>
      <c r="G340" t="inlineStr">
        <is>
          <t>EKSJÖ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17636-2025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45758</v>
      </c>
      <c r="E341" s="1" t="n">
        <v>46311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9400-2025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45715</v>
      </c>
      <c r="E342" s="1" t="n">
        <v>46311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45715</v>
      </c>
      <c r="E343" s="1" t="n">
        <v>46311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45719</v>
      </c>
      <c r="E344" s="1" t="n">
        <v>46311</v>
      </c>
      <c r="F344" t="inlineStr">
        <is>
          <t>JÖNKÖPINGS LÄN</t>
        </is>
      </c>
      <c r="G344" t="inlineStr">
        <is>
          <t>EKSJÖ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46311</v>
      </c>
      <c r="F345" t="inlineStr">
        <is>
          <t>JÖNKÖPINGS LÄN</t>
        </is>
      </c>
      <c r="G345" t="inlineStr">
        <is>
          <t>EKSJÖ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45714</v>
      </c>
      <c r="E346" s="1" t="n">
        <v>46311</v>
      </c>
      <c r="F346" t="inlineStr">
        <is>
          <t>JÖNKÖPINGS LÄN</t>
        </is>
      </c>
      <c r="G346" t="inlineStr">
        <is>
          <t>EKSJÖ</t>
        </is>
      </c>
      <c r="H346" t="inlineStr">
        <is>
          <t>Sveaskog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45714</v>
      </c>
      <c r="E347" s="1" t="n">
        <v>46311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45715</v>
      </c>
      <c r="E348" s="1" t="n">
        <v>46311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44945</v>
      </c>
      <c r="E349" s="1" t="n">
        <v>46311</v>
      </c>
      <c r="F349" t="inlineStr">
        <is>
          <t>JÖNKÖPINGS LÄN</t>
        </is>
      </c>
      <c r="G349" t="inlineStr">
        <is>
          <t>EKSJÖ</t>
        </is>
      </c>
      <c r="H349" t="inlineStr">
        <is>
          <t>Övriga Aktiebolag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44746</v>
      </c>
      <c r="E350" s="1" t="n">
        <v>46311</v>
      </c>
      <c r="F350" t="inlineStr">
        <is>
          <t>JÖNKÖPINGS LÄN</t>
        </is>
      </c>
      <c r="G350" t="inlineStr">
        <is>
          <t>EKSJÖ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45008</v>
      </c>
      <c r="E351" s="1" t="n">
        <v>46311</v>
      </c>
      <c r="F351" t="inlineStr">
        <is>
          <t>JÖNKÖPINGS LÄN</t>
        </is>
      </c>
      <c r="G351" t="inlineStr">
        <is>
          <t>EKSJÖ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45176</v>
      </c>
      <c r="E352" s="1" t="n">
        <v>46311</v>
      </c>
      <c r="F352" t="inlineStr">
        <is>
          <t>JÖNKÖPINGS LÄN</t>
        </is>
      </c>
      <c r="G352" t="inlineStr">
        <is>
          <t>EKSJÖ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44888</v>
      </c>
      <c r="E353" s="1" t="n">
        <v>46311</v>
      </c>
      <c r="F353" t="inlineStr">
        <is>
          <t>JÖNKÖPINGS LÄN</t>
        </is>
      </c>
      <c r="G353" t="inlineStr">
        <is>
          <t>EKSJÖ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45264</v>
      </c>
      <c r="E354" s="1" t="n">
        <v>46311</v>
      </c>
      <c r="F354" t="inlineStr">
        <is>
          <t>JÖNKÖPINGS LÄN</t>
        </is>
      </c>
      <c r="G354" t="inlineStr">
        <is>
          <t>EKSJÖ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60920-2025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45996</v>
      </c>
      <c r="E355" s="1" t="n">
        <v>46311</v>
      </c>
      <c r="F355" t="inlineStr">
        <is>
          <t>JÖNKÖPINGS LÄN</t>
        </is>
      </c>
      <c r="G355" t="inlineStr">
        <is>
          <t>EKSJÖ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59734-2022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44908</v>
      </c>
      <c r="E356" s="1" t="n">
        <v>46311</v>
      </c>
      <c r="F356" t="inlineStr">
        <is>
          <t>JÖNKÖPINGS LÄN</t>
        </is>
      </c>
      <c r="G356" t="inlineStr">
        <is>
          <t>EKSJÖ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46311</v>
      </c>
      <c r="F357" t="inlineStr">
        <is>
          <t>JÖNKÖPINGS LÄN</t>
        </is>
      </c>
      <c r="G357" t="inlineStr">
        <is>
          <t>EKSJÖ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23309-2026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46311</v>
      </c>
      <c r="F358" t="inlineStr">
        <is>
          <t>JÖNKÖPINGS LÄN</t>
        </is>
      </c>
      <c r="G358" t="inlineStr">
        <is>
          <t>EKSJÖ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46013-2022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44846</v>
      </c>
      <c r="E359" s="1" t="n">
        <v>46311</v>
      </c>
      <c r="F359" t="inlineStr">
        <is>
          <t>JÖNKÖPINGS LÄN</t>
        </is>
      </c>
      <c r="G359" t="inlineStr">
        <is>
          <t>EKSJÖ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46014-2022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44846</v>
      </c>
      <c r="E360" s="1" t="n">
        <v>46311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46311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46311</v>
      </c>
      <c r="F362" t="inlineStr">
        <is>
          <t>JÖNKÖPINGS LÄN</t>
        </is>
      </c>
      <c r="G362" t="inlineStr">
        <is>
          <t>EKSJÖ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46311</v>
      </c>
      <c r="F363" t="inlineStr">
        <is>
          <t>JÖNKÖPINGS LÄN</t>
        </is>
      </c>
      <c r="G363" t="inlineStr">
        <is>
          <t>EKSJÖ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46311</v>
      </c>
      <c r="F364" t="inlineStr">
        <is>
          <t>JÖNKÖPINGS LÄN</t>
        </is>
      </c>
      <c r="G364" t="inlineStr">
        <is>
          <t>EKSJÖ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23451-2026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46311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9188-2024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45358</v>
      </c>
      <c r="E366" s="1" t="n">
        <v>46311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46311</v>
      </c>
      <c r="F367" t="inlineStr">
        <is>
          <t>JÖNKÖPINGS LÄN</t>
        </is>
      </c>
      <c r="G367" t="inlineStr">
        <is>
          <t>EKSJÖ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46311</v>
      </c>
      <c r="F368" t="inlineStr">
        <is>
          <t>JÖNKÖPINGS LÄN</t>
        </is>
      </c>
      <c r="G368" t="inlineStr">
        <is>
          <t>EKSJÖ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46311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56563-2023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45243</v>
      </c>
      <c r="E370" s="1" t="n">
        <v>46311</v>
      </c>
      <c r="F370" t="inlineStr">
        <is>
          <t>JÖNKÖPINGS LÄN</t>
        </is>
      </c>
      <c r="G370" t="inlineStr">
        <is>
          <t>EKSJÖ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11381-2022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44630</v>
      </c>
      <c r="E371" s="1" t="n">
        <v>46311</v>
      </c>
      <c r="F371" t="inlineStr">
        <is>
          <t>JÖNKÖPINGS LÄN</t>
        </is>
      </c>
      <c r="G371" t="inlineStr">
        <is>
          <t>EKSJÖ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45209</v>
      </c>
      <c r="E372" s="1" t="n">
        <v>46311</v>
      </c>
      <c r="F372" t="inlineStr">
        <is>
          <t>JÖNKÖPINGS LÄN</t>
        </is>
      </c>
      <c r="G372" t="inlineStr">
        <is>
          <t>EKSJÖ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44293-2025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46311</v>
      </c>
      <c r="F373" t="inlineStr">
        <is>
          <t>JÖNKÖPINGS LÄN</t>
        </is>
      </c>
      <c r="G373" t="inlineStr">
        <is>
          <t>EKSJÖ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47204-2022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44851</v>
      </c>
      <c r="E374" s="1" t="n">
        <v>46311</v>
      </c>
      <c r="F374" t="inlineStr">
        <is>
          <t>JÖNKÖPINGS LÄN</t>
        </is>
      </c>
      <c r="G374" t="inlineStr">
        <is>
          <t>EKSJÖ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45160</v>
      </c>
      <c r="E375" s="1" t="n">
        <v>46311</v>
      </c>
      <c r="F375" t="inlineStr">
        <is>
          <t>JÖNKÖPINGS LÄN</t>
        </is>
      </c>
      <c r="G375" t="inlineStr">
        <is>
          <t>EKSJÖ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27448-2023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45097</v>
      </c>
      <c r="E376" s="1" t="n">
        <v>46311</v>
      </c>
      <c r="F376" t="inlineStr">
        <is>
          <t>JÖNKÖPINGS LÄN</t>
        </is>
      </c>
      <c r="G376" t="inlineStr">
        <is>
          <t>EKSJÖ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46577-2022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44848</v>
      </c>
      <c r="E377" s="1" t="n">
        <v>46311</v>
      </c>
      <c r="F377" t="inlineStr">
        <is>
          <t>JÖNKÖPINGS LÄN</t>
        </is>
      </c>
      <c r="G377" t="inlineStr">
        <is>
          <t>EKSJÖ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35738-2024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45532</v>
      </c>
      <c r="E378" s="1" t="n">
        <v>46311</v>
      </c>
      <c r="F378" t="inlineStr">
        <is>
          <t>JÖNKÖPINGS LÄN</t>
        </is>
      </c>
      <c r="G378" t="inlineStr">
        <is>
          <t>EKSJÖ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46311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44987</v>
      </c>
      <c r="E380" s="1" t="n">
        <v>46311</v>
      </c>
      <c r="F380" t="inlineStr">
        <is>
          <t>JÖNKÖPINGS LÄN</t>
        </is>
      </c>
      <c r="G380" t="inlineStr">
        <is>
          <t>EKSJÖ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46311</v>
      </c>
      <c r="F381" t="inlineStr">
        <is>
          <t>JÖNKÖPINGS LÄN</t>
        </is>
      </c>
      <c r="G381" t="inlineStr">
        <is>
          <t>EKSJÖ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45391</v>
      </c>
      <c r="E382" s="1" t="n">
        <v>46311</v>
      </c>
      <c r="F382" t="inlineStr">
        <is>
          <t>JÖNKÖPINGS LÄN</t>
        </is>
      </c>
      <c r="G382" t="inlineStr">
        <is>
          <t>EKSJÖ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46311</v>
      </c>
      <c r="F383" t="inlineStr">
        <is>
          <t>JÖNKÖPINGS LÄN</t>
        </is>
      </c>
      <c r="G383" t="inlineStr">
        <is>
          <t>EKSJÖ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46311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45367-2024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45576</v>
      </c>
      <c r="E385" s="1" t="n">
        <v>46311</v>
      </c>
      <c r="F385" t="inlineStr">
        <is>
          <t>JÖNKÖPINGS LÄN</t>
        </is>
      </c>
      <c r="G385" t="inlineStr">
        <is>
          <t>EKSJÖ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26706-2022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44739</v>
      </c>
      <c r="E386" s="1" t="n">
        <v>46311</v>
      </c>
      <c r="F386" t="inlineStr">
        <is>
          <t>JÖNKÖPINGS LÄN</t>
        </is>
      </c>
      <c r="G386" t="inlineStr">
        <is>
          <t>EKSJÖ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25654-2026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46311</v>
      </c>
      <c r="F387" t="inlineStr">
        <is>
          <t>JÖNKÖPINGS LÄN</t>
        </is>
      </c>
      <c r="G387" t="inlineStr">
        <is>
          <t>EKSJÖ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71313-2021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44539</v>
      </c>
      <c r="E388" s="1" t="n">
        <v>46311</v>
      </c>
      <c r="F388" t="inlineStr">
        <is>
          <t>JÖNKÖPINGS LÄN</t>
        </is>
      </c>
      <c r="G388" t="inlineStr">
        <is>
          <t>EKSJÖ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46182</v>
      </c>
      <c r="E389" s="1" t="n">
        <v>46311</v>
      </c>
      <c r="F389" t="inlineStr">
        <is>
          <t>JÖNKÖPINGS LÄN</t>
        </is>
      </c>
      <c r="G389" t="inlineStr">
        <is>
          <t>EKSJÖ</t>
        </is>
      </c>
      <c r="H389" t="inlineStr">
        <is>
          <t>Kyrkan</t>
        </is>
      </c>
      <c r="I389" t="n">
        <v>15.2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43588-2025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46311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44939</v>
      </c>
      <c r="E391" s="1" t="n">
        <v>46311</v>
      </c>
      <c r="F391" t="inlineStr">
        <is>
          <t>JÖNKÖPINGS LÄN</t>
        </is>
      </c>
      <c r="G391" t="inlineStr">
        <is>
          <t>EKSJÖ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46311</v>
      </c>
      <c r="F392" t="inlineStr">
        <is>
          <t>JÖNKÖPINGS LÄN</t>
        </is>
      </c>
      <c r="G392" t="inlineStr">
        <is>
          <t>EKSJÖ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45086</v>
      </c>
      <c r="E393" s="1" t="n">
        <v>46311</v>
      </c>
      <c r="F393" t="inlineStr">
        <is>
          <t>JÖNKÖPINGS LÄN</t>
        </is>
      </c>
      <c r="G393" t="inlineStr">
        <is>
          <t>EKSJÖ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46311</v>
      </c>
      <c r="F394" t="inlineStr">
        <is>
          <t>JÖNKÖPINGS LÄN</t>
        </is>
      </c>
      <c r="G394" t="inlineStr">
        <is>
          <t>EKSJÖ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46184</v>
      </c>
      <c r="E395" s="1" t="n">
        <v>46311</v>
      </c>
      <c r="F395" t="inlineStr">
        <is>
          <t>JÖNKÖPINGS LÄN</t>
        </is>
      </c>
      <c r="G395" t="inlineStr">
        <is>
          <t>EKSJÖ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46311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46311</v>
      </c>
      <c r="F397" t="inlineStr">
        <is>
          <t>JÖNKÖPINGS LÄN</t>
        </is>
      </c>
      <c r="G397" t="inlineStr">
        <is>
          <t>EKSJÖ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26054-2023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46311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46311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45051</v>
      </c>
      <c r="E400" s="1" t="n">
        <v>46311</v>
      </c>
      <c r="F400" t="inlineStr">
        <is>
          <t>JÖNKÖPINGS LÄN</t>
        </is>
      </c>
      <c r="G400" t="inlineStr">
        <is>
          <t>EKSJÖ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44789</v>
      </c>
      <c r="E401" s="1" t="n">
        <v>46311</v>
      </c>
      <c r="F401" t="inlineStr">
        <is>
          <t>JÖNKÖPINGS LÄN</t>
        </is>
      </c>
      <c r="G401" t="inlineStr">
        <is>
          <t>EKSJÖ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17030-2024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45411</v>
      </c>
      <c r="E402" s="1" t="n">
        <v>46311</v>
      </c>
      <c r="F402" t="inlineStr">
        <is>
          <t>JÖNKÖPINGS LÄN</t>
        </is>
      </c>
      <c r="G402" t="inlineStr">
        <is>
          <t>EKSJÖ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45082</v>
      </c>
      <c r="E403" s="1" t="n">
        <v>46311</v>
      </c>
      <c r="F403" t="inlineStr">
        <is>
          <t>JÖNKÖPINGS LÄN</t>
        </is>
      </c>
      <c r="G403" t="inlineStr">
        <is>
          <t>EKSJÖ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45086</v>
      </c>
      <c r="E404" s="1" t="n">
        <v>46311</v>
      </c>
      <c r="F404" t="inlineStr">
        <is>
          <t>JÖNKÖPINGS LÄN</t>
        </is>
      </c>
      <c r="G404" t="inlineStr">
        <is>
          <t>EKSJÖ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44925</v>
      </c>
      <c r="E405" s="1" t="n">
        <v>46311</v>
      </c>
      <c r="F405" t="inlineStr">
        <is>
          <t>JÖNKÖPINGS LÄN</t>
        </is>
      </c>
      <c r="G405" t="inlineStr">
        <is>
          <t>EKSJÖ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46311</v>
      </c>
      <c r="F406" t="inlineStr">
        <is>
          <t>JÖNKÖPINGS LÄN</t>
        </is>
      </c>
      <c r="G406" t="inlineStr">
        <is>
          <t>EKSJÖ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46197</v>
      </c>
      <c r="E407" s="1" t="n">
        <v>46311</v>
      </c>
      <c r="F407" t="inlineStr">
        <is>
          <t>JÖNKÖPINGS LÄN</t>
        </is>
      </c>
      <c r="G407" t="inlineStr">
        <is>
          <t>EKSJÖ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45078</v>
      </c>
      <c r="E408" s="1" t="n">
        <v>46311</v>
      </c>
      <c r="F408" t="inlineStr">
        <is>
          <t>JÖNKÖPINGS LÄN</t>
        </is>
      </c>
      <c r="G408" t="inlineStr">
        <is>
          <t>EKSJÖ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28486-2026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46197</v>
      </c>
      <c r="E409" s="1" t="n">
        <v>46311</v>
      </c>
      <c r="F409" t="inlineStr">
        <is>
          <t>JÖNKÖPINGS LÄN</t>
        </is>
      </c>
      <c r="G409" t="inlineStr">
        <is>
          <t>EKSJÖ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45154</v>
      </c>
      <c r="E410" s="1" t="n">
        <v>46311</v>
      </c>
      <c r="F410" t="inlineStr">
        <is>
          <t>JÖNKÖPINGS LÄN</t>
        </is>
      </c>
      <c r="G410" t="inlineStr">
        <is>
          <t>EKSJÖ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65554-2021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44516</v>
      </c>
      <c r="E411" s="1" t="n">
        <v>46311</v>
      </c>
      <c r="F411" t="inlineStr">
        <is>
          <t>JÖNKÖPINGS LÄN</t>
        </is>
      </c>
      <c r="G411" t="inlineStr">
        <is>
          <t>EKSJÖ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50289-2025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46311</v>
      </c>
      <c r="F412" t="inlineStr">
        <is>
          <t>JÖNKÖPINGS LÄN</t>
        </is>
      </c>
      <c r="G412" t="inlineStr">
        <is>
          <t>EKSJÖ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46311</v>
      </c>
      <c r="F413" t="inlineStr">
        <is>
          <t>JÖNKÖPINGS LÄN</t>
        </is>
      </c>
      <c r="G413" t="inlineStr">
        <is>
          <t>EKSJÖ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46311</v>
      </c>
      <c r="F414" t="inlineStr">
        <is>
          <t>JÖNKÖPINGS LÄN</t>
        </is>
      </c>
      <c r="G414" t="inlineStr">
        <is>
          <t>EKSJÖ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46311</v>
      </c>
      <c r="F415" t="inlineStr">
        <is>
          <t>JÖNKÖPINGS LÄN</t>
        </is>
      </c>
      <c r="G415" t="inlineStr">
        <is>
          <t>EKSJÖ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45946</v>
      </c>
      <c r="E416" s="1" t="n">
        <v>46311</v>
      </c>
      <c r="F416" t="inlineStr">
        <is>
          <t>JÖNKÖPINGS LÄN</t>
        </is>
      </c>
      <c r="G416" t="inlineStr">
        <is>
          <t>EKSJÖ</t>
        </is>
      </c>
      <c r="H416" t="inlineStr">
        <is>
          <t>Övriga Aktiebolag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28024-2022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44746</v>
      </c>
      <c r="E417" s="1" t="n">
        <v>46311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32333-2022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44781</v>
      </c>
      <c r="E418" s="1" t="n">
        <v>46311</v>
      </c>
      <c r="F418" t="inlineStr">
        <is>
          <t>JÖNKÖPINGS LÄN</t>
        </is>
      </c>
      <c r="G418" t="inlineStr">
        <is>
          <t>EKSJÖ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32336-2022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44781</v>
      </c>
      <c r="E419" s="1" t="n">
        <v>46311</v>
      </c>
      <c r="F419" t="inlineStr">
        <is>
          <t>JÖNKÖPINGS LÄN</t>
        </is>
      </c>
      <c r="G419" t="inlineStr">
        <is>
          <t>EKSJÖ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29193-2026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46311</v>
      </c>
      <c r="F420" t="inlineStr">
        <is>
          <t>JÖNKÖPINGS LÄN</t>
        </is>
      </c>
      <c r="G420" t="inlineStr">
        <is>
          <t>EKSJÖ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6163-2024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45337</v>
      </c>
      <c r="E421" s="1" t="n">
        <v>46311</v>
      </c>
      <c r="F421" t="inlineStr">
        <is>
          <t>JÖNKÖPINGS LÄN</t>
        </is>
      </c>
      <c r="G421" t="inlineStr">
        <is>
          <t>EKSJÖ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45680</v>
      </c>
      <c r="E422" s="1" t="n">
        <v>46311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46918-2023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45201</v>
      </c>
      <c r="E423" s="1" t="n">
        <v>46311</v>
      </c>
      <c r="F423" t="inlineStr">
        <is>
          <t>JÖNKÖPINGS LÄN</t>
        </is>
      </c>
      <c r="G423" t="inlineStr">
        <is>
          <t>EKSJÖ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45944</v>
      </c>
      <c r="E424" s="1" t="n">
        <v>46311</v>
      </c>
      <c r="F424" t="inlineStr">
        <is>
          <t>JÖNKÖPINGS LÄN</t>
        </is>
      </c>
      <c r="G424" t="inlineStr">
        <is>
          <t>EKSJÖ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46311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64541-2023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45281</v>
      </c>
      <c r="E426" s="1" t="n">
        <v>46311</v>
      </c>
      <c r="F426" t="inlineStr">
        <is>
          <t>JÖNKÖPINGS LÄN</t>
        </is>
      </c>
      <c r="G426" t="inlineStr">
        <is>
          <t>EKSJÖ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44949</v>
      </c>
      <c r="E427" s="1" t="n">
        <v>46311</v>
      </c>
      <c r="F427" t="inlineStr">
        <is>
          <t>JÖNKÖPINGS LÄN</t>
        </is>
      </c>
      <c r="G427" t="inlineStr">
        <is>
          <t>EKSJÖ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46311</v>
      </c>
      <c r="F428" t="inlineStr">
        <is>
          <t>JÖNKÖPINGS LÄN</t>
        </is>
      </c>
      <c r="G428" t="inlineStr">
        <is>
          <t>EKSJÖ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46311</v>
      </c>
      <c r="F429" t="inlineStr">
        <is>
          <t>JÖNKÖPINGS LÄN</t>
        </is>
      </c>
      <c r="G429" t="inlineStr">
        <is>
          <t>EKSJÖ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59254-2023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45253</v>
      </c>
      <c r="E430" s="1" t="n">
        <v>46311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46311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45286</v>
      </c>
      <c r="E432" s="1" t="n">
        <v>46311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45945</v>
      </c>
      <c r="E433" s="1" t="n">
        <v>46311</v>
      </c>
      <c r="F433" t="inlineStr">
        <is>
          <t>JÖNKÖPINGS LÄN</t>
        </is>
      </c>
      <c r="G433" t="inlineStr">
        <is>
          <t>EKSJÖ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46311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30392-2026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46311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45659</v>
      </c>
      <c r="E436" s="1" t="n">
        <v>46311</v>
      </c>
      <c r="F436" t="inlineStr">
        <is>
          <t>JÖNKÖPINGS LÄN</t>
        </is>
      </c>
      <c r="G436" t="inlineStr">
        <is>
          <t>EKSJÖ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46311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46311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31332-2026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46212</v>
      </c>
      <c r="E439" s="1" t="n">
        <v>46311</v>
      </c>
      <c r="F439" t="inlineStr">
        <is>
          <t>JÖNKÖPINGS LÄN</t>
        </is>
      </c>
      <c r="G439" t="inlineStr">
        <is>
          <t>EKSJÖ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45954</v>
      </c>
      <c r="E440" s="1" t="n">
        <v>46311</v>
      </c>
      <c r="F440" t="inlineStr">
        <is>
          <t>JÖNKÖPINGS LÄN</t>
        </is>
      </c>
      <c r="G440" t="inlineStr">
        <is>
          <t>EKSJÖ</t>
        </is>
      </c>
      <c r="H440" t="inlineStr">
        <is>
          <t>Kyrkan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52571-2025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45954</v>
      </c>
      <c r="E441" s="1" t="n">
        <v>46311</v>
      </c>
      <c r="F441" t="inlineStr">
        <is>
          <t>JÖNKÖPINGS LÄN</t>
        </is>
      </c>
      <c r="G441" t="inlineStr">
        <is>
          <t>EKSJÖ</t>
        </is>
      </c>
      <c r="H441" t="inlineStr">
        <is>
          <t>Kyrkan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46311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52566-2025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45954</v>
      </c>
      <c r="E443" s="1" t="n">
        <v>46311</v>
      </c>
      <c r="F443" t="inlineStr">
        <is>
          <t>JÖNKÖPINGS LÄN</t>
        </is>
      </c>
      <c r="G443" t="inlineStr">
        <is>
          <t>EKSJÖ</t>
        </is>
      </c>
      <c r="H443" t="inlineStr">
        <is>
          <t>Kyrkan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11022-2024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45370</v>
      </c>
      <c r="E444" s="1" t="n">
        <v>46311</v>
      </c>
      <c r="F444" t="inlineStr">
        <is>
          <t>JÖNKÖPINGS LÄN</t>
        </is>
      </c>
      <c r="G444" t="inlineStr">
        <is>
          <t>EKSJÖ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46311</v>
      </c>
      <c r="F445" t="inlineStr">
        <is>
          <t>JÖNKÖPINGS LÄN</t>
        </is>
      </c>
      <c r="G445" t="inlineStr">
        <is>
          <t>EKSJÖ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46311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45096</v>
      </c>
      <c r="E447" s="1" t="n">
        <v>46311</v>
      </c>
      <c r="F447" t="inlineStr">
        <is>
          <t>JÖNKÖPINGS LÄN</t>
        </is>
      </c>
      <c r="G447" t="inlineStr">
        <is>
          <t>EKSJÖ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45152</v>
      </c>
      <c r="E448" s="1" t="n">
        <v>46311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44925</v>
      </c>
      <c r="E449" s="1" t="n">
        <v>46311</v>
      </c>
      <c r="F449" t="inlineStr">
        <is>
          <t>JÖNKÖPINGS LÄN</t>
        </is>
      </c>
      <c r="G449" t="inlineStr">
        <is>
          <t>EKSJÖ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44940</v>
      </c>
      <c r="E450" s="1" t="n">
        <v>46311</v>
      </c>
      <c r="F450" t="inlineStr">
        <is>
          <t>JÖNKÖPINGS LÄN</t>
        </is>
      </c>
      <c r="G450" t="inlineStr">
        <is>
          <t>EKSJÖ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44941</v>
      </c>
      <c r="E451" s="1" t="n">
        <v>46311</v>
      </c>
      <c r="F451" t="inlineStr">
        <is>
          <t>JÖNKÖPINGS LÄN</t>
        </is>
      </c>
      <c r="G451" t="inlineStr">
        <is>
          <t>EKSJÖ</t>
        </is>
      </c>
      <c r="H451" t="inlineStr">
        <is>
          <t>Övriga Aktiebolag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36700-2026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46272</v>
      </c>
      <c r="E452" s="1" t="n">
        <v>46311</v>
      </c>
      <c r="F452" t="inlineStr">
        <is>
          <t>JÖNKÖPINGS LÄN</t>
        </is>
      </c>
      <c r="G452" t="inlineStr">
        <is>
          <t>EKSJÖ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49919-2023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45214</v>
      </c>
      <c r="E453" s="1" t="n">
        <v>46311</v>
      </c>
      <c r="F453" t="inlineStr">
        <is>
          <t>JÖNKÖPINGS LÄN</t>
        </is>
      </c>
      <c r="G453" t="inlineStr">
        <is>
          <t>EKSJÖ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47806-2023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45204</v>
      </c>
      <c r="E454" s="1" t="n">
        <v>46311</v>
      </c>
      <c r="F454" t="inlineStr">
        <is>
          <t>JÖNKÖPINGS LÄN</t>
        </is>
      </c>
      <c r="G454" t="inlineStr">
        <is>
          <t>EKSJÖ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49681-2023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46311</v>
      </c>
      <c r="F455" t="inlineStr">
        <is>
          <t>JÖNKÖPINGS LÄN</t>
        </is>
      </c>
      <c r="G455" t="inlineStr">
        <is>
          <t>EKSJÖ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61850-2024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45649</v>
      </c>
      <c r="E456" s="1" t="n">
        <v>46311</v>
      </c>
      <c r="F456" t="inlineStr">
        <is>
          <t>JÖNKÖPINGS LÄN</t>
        </is>
      </c>
      <c r="G456" t="inlineStr">
        <is>
          <t>EKSJÖ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46273</v>
      </c>
      <c r="E457" s="1" t="n">
        <v>46311</v>
      </c>
      <c r="F457" t="inlineStr">
        <is>
          <t>JÖNKÖPINGS LÄN</t>
        </is>
      </c>
      <c r="G457" t="inlineStr">
        <is>
          <t>EKSJÖ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34772-2023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45141</v>
      </c>
      <c r="E458" s="1" t="n">
        <v>46311</v>
      </c>
      <c r="F458" t="inlineStr">
        <is>
          <t>JÖNKÖPINGS LÄN</t>
        </is>
      </c>
      <c r="G458" t="inlineStr">
        <is>
          <t>EKSJÖ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46274</v>
      </c>
      <c r="E459" s="1" t="n">
        <v>46311</v>
      </c>
      <c r="F459" t="inlineStr">
        <is>
          <t>JÖNKÖPINGS LÄN</t>
        </is>
      </c>
      <c r="G459" t="inlineStr">
        <is>
          <t>EKSJÖ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45054</v>
      </c>
      <c r="E460" s="1" t="n">
        <v>46311</v>
      </c>
      <c r="F460" t="inlineStr">
        <is>
          <t>JÖNKÖPINGS LÄN</t>
        </is>
      </c>
      <c r="G460" t="inlineStr">
        <is>
          <t>EKSJÖ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46019-2022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46311</v>
      </c>
      <c r="F461" t="inlineStr">
        <is>
          <t>JÖNKÖPINGS LÄN</t>
        </is>
      </c>
      <c r="G461" t="inlineStr">
        <is>
          <t>EKSJÖ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45493-2022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46311</v>
      </c>
      <c r="F462" t="inlineStr">
        <is>
          <t>JÖNKÖPINGS LÄN</t>
        </is>
      </c>
      <c r="G462" t="inlineStr">
        <is>
          <t>EKSJÖ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46311</v>
      </c>
      <c r="F463" t="inlineStr">
        <is>
          <t>JÖNKÖPINGS LÄN</t>
        </is>
      </c>
      <c r="G463" t="inlineStr">
        <is>
          <t>EKSJÖ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36354-2022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46311</v>
      </c>
      <c r="F464" t="inlineStr">
        <is>
          <t>JÖNKÖPINGS LÄN</t>
        </is>
      </c>
      <c r="G464" t="inlineStr">
        <is>
          <t>EKSJÖ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55628-2025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45972</v>
      </c>
      <c r="E465" s="1" t="n">
        <v>46311</v>
      </c>
      <c r="F465" t="inlineStr">
        <is>
          <t>JÖNKÖPINGS LÄN</t>
        </is>
      </c>
      <c r="G465" t="inlineStr">
        <is>
          <t>EKSJÖ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46311</v>
      </c>
      <c r="F466" t="inlineStr">
        <is>
          <t>JÖNKÖPINGS LÄN</t>
        </is>
      </c>
      <c r="G466" t="inlineStr">
        <is>
          <t>EKSJÖ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45107</v>
      </c>
      <c r="E467" s="1" t="n">
        <v>46311</v>
      </c>
      <c r="F467" t="inlineStr">
        <is>
          <t>JÖNKÖPINGS LÄN</t>
        </is>
      </c>
      <c r="G467" t="inlineStr">
        <is>
          <t>EKSJÖ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44925</v>
      </c>
      <c r="E468" s="1" t="n">
        <v>46311</v>
      </c>
      <c r="F468" t="inlineStr">
        <is>
          <t>JÖNKÖPINGS LÄN</t>
        </is>
      </c>
      <c r="G468" t="inlineStr">
        <is>
          <t>EKSJÖ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45972</v>
      </c>
      <c r="E469" s="1" t="n">
        <v>46311</v>
      </c>
      <c r="F469" t="inlineStr">
        <is>
          <t>JÖNKÖPINGS LÄN</t>
        </is>
      </c>
      <c r="G469" t="inlineStr">
        <is>
          <t>EKSJÖ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45971</v>
      </c>
      <c r="E470" s="1" t="n">
        <v>46311</v>
      </c>
      <c r="F470" t="inlineStr">
        <is>
          <t>JÖNKÖPINGS LÄN</t>
        </is>
      </c>
      <c r="G470" t="inlineStr">
        <is>
          <t>EKSJÖ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45373</v>
      </c>
      <c r="E471" s="1" t="n">
        <v>46311</v>
      </c>
      <c r="F471" t="inlineStr">
        <is>
          <t>JÖNKÖPINGS LÄN</t>
        </is>
      </c>
      <c r="G471" t="inlineStr">
        <is>
          <t>EKSJÖ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50410-2024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46311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45975</v>
      </c>
      <c r="E473" s="1" t="n">
        <v>46311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38207-2026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46281</v>
      </c>
      <c r="E474" s="1" t="n">
        <v>46311</v>
      </c>
      <c r="F474" t="inlineStr">
        <is>
          <t>JÖNKÖPINGS LÄN</t>
        </is>
      </c>
      <c r="G474" t="inlineStr">
        <is>
          <t>EKSJÖ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1919-2024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46311</v>
      </c>
      <c r="F475" t="inlineStr">
        <is>
          <t>JÖNKÖPINGS LÄN</t>
        </is>
      </c>
      <c r="G475" t="inlineStr">
        <is>
          <t>EKSJÖ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46311</v>
      </c>
      <c r="F476" t="inlineStr">
        <is>
          <t>JÖNKÖPINGS LÄN</t>
        </is>
      </c>
      <c r="G476" t="inlineStr">
        <is>
          <t>EKSJÖ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25608-2024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45463</v>
      </c>
      <c r="E477" s="1" t="n">
        <v>46311</v>
      </c>
      <c r="F477" t="inlineStr">
        <is>
          <t>JÖNKÖPINGS LÄN</t>
        </is>
      </c>
      <c r="G477" t="inlineStr">
        <is>
          <t>EKSJÖ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38201-2023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45161</v>
      </c>
      <c r="E478" s="1" t="n">
        <v>46311</v>
      </c>
      <c r="F478" t="inlineStr">
        <is>
          <t>JÖNKÖPINGS LÄN</t>
        </is>
      </c>
      <c r="G478" t="inlineStr">
        <is>
          <t>EKSJÖ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56491-2025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46311</v>
      </c>
      <c r="F479" t="inlineStr">
        <is>
          <t>JÖNKÖPINGS LÄN</t>
        </is>
      </c>
      <c r="G479" t="inlineStr">
        <is>
          <t>EKSJÖ</t>
        </is>
      </c>
      <c r="H479" t="inlineStr">
        <is>
          <t>Kyrkan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54470-2024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45617</v>
      </c>
      <c r="E480" s="1" t="n">
        <v>46311</v>
      </c>
      <c r="F480" t="inlineStr">
        <is>
          <t>JÖNKÖPINGS LÄN</t>
        </is>
      </c>
      <c r="G480" t="inlineStr">
        <is>
          <t>EKSJÖ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46281</v>
      </c>
      <c r="E481" s="1" t="n">
        <v>46311</v>
      </c>
      <c r="F481" t="inlineStr">
        <is>
          <t>JÖNKÖPINGS LÄN</t>
        </is>
      </c>
      <c r="G481" t="inlineStr">
        <is>
          <t>EKSJÖ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28371-2026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46196</v>
      </c>
      <c r="E482" s="1" t="n">
        <v>46311</v>
      </c>
      <c r="F482" t="inlineStr">
        <is>
          <t>JÖNKÖPINGS LÄN</t>
        </is>
      </c>
      <c r="G482" t="inlineStr">
        <is>
          <t>EKSJÖ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46311</v>
      </c>
      <c r="F483" t="inlineStr">
        <is>
          <t>JÖNKÖPINGS LÄN</t>
        </is>
      </c>
      <c r="G483" t="inlineStr">
        <is>
          <t>EKSJÖ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27775-2024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45475</v>
      </c>
      <c r="E484" s="1" t="n">
        <v>46311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46311</v>
      </c>
      <c r="F485" t="inlineStr">
        <is>
          <t>JÖNKÖPINGS LÄN</t>
        </is>
      </c>
      <c r="G485" t="inlineStr">
        <is>
          <t>EKSJÖ</t>
        </is>
      </c>
      <c r="H485" t="inlineStr">
        <is>
          <t>Sveaskog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2835-2025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46311</v>
      </c>
      <c r="F486" t="inlineStr">
        <is>
          <t>JÖNKÖPINGS LÄN</t>
        </is>
      </c>
      <c r="G486" t="inlineStr">
        <is>
          <t>EKSJÖ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10972-2025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45723</v>
      </c>
      <c r="E487" s="1" t="n">
        <v>46311</v>
      </c>
      <c r="F487" t="inlineStr">
        <is>
          <t>JÖNKÖPINGS LÄN</t>
        </is>
      </c>
      <c r="G487" t="inlineStr">
        <is>
          <t>EKSJÖ</t>
        </is>
      </c>
      <c r="I487" t="n">
        <v>8.6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45222</v>
      </c>
      <c r="E488" s="1" t="n">
        <v>46311</v>
      </c>
      <c r="F488" t="inlineStr">
        <is>
          <t>JÖNKÖPINGS LÄN</t>
        </is>
      </c>
      <c r="G488" t="inlineStr">
        <is>
          <t>EKSJÖ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45338</v>
      </c>
      <c r="E489" s="1" t="n">
        <v>46311</v>
      </c>
      <c r="F489" t="inlineStr">
        <is>
          <t>JÖNKÖPINGS LÄN</t>
        </is>
      </c>
      <c r="G489" t="inlineStr">
        <is>
          <t>EKSJÖ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46311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57802-2025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46311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33456-2026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46247</v>
      </c>
      <c r="E492" s="1" t="n">
        <v>46311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33453-2026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46247</v>
      </c>
      <c r="E493" s="1" t="n">
        <v>46311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46311</v>
      </c>
      <c r="F494" t="inlineStr">
        <is>
          <t>JÖNKÖPINGS LÄN</t>
        </is>
      </c>
      <c r="G494" t="inlineStr">
        <is>
          <t>EKSJÖ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50287-2024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45600</v>
      </c>
      <c r="E495" s="1" t="n">
        <v>46311</v>
      </c>
      <c r="F495" t="inlineStr">
        <is>
          <t>JÖNKÖPINGS LÄN</t>
        </is>
      </c>
      <c r="G495" t="inlineStr">
        <is>
          <t>EKSJÖ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19469-2025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45770</v>
      </c>
      <c r="E496" s="1" t="n">
        <v>46311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18695-2024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45426</v>
      </c>
      <c r="E497" s="1" t="n">
        <v>46311</v>
      </c>
      <c r="F497" t="inlineStr">
        <is>
          <t>JÖNKÖPINGS LÄN</t>
        </is>
      </c>
      <c r="G497" t="inlineStr">
        <is>
          <t>EKSJÖ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46311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58308-2025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46311</v>
      </c>
      <c r="F499" t="inlineStr">
        <is>
          <t>JÖNKÖPINGS LÄN</t>
        </is>
      </c>
      <c r="G499" t="inlineStr">
        <is>
          <t>EKSJÖ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46311</v>
      </c>
      <c r="F500" t="inlineStr">
        <is>
          <t>JÖNKÖPINGS LÄN</t>
        </is>
      </c>
      <c r="G500" t="inlineStr">
        <is>
          <t>EKSJÖ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45777</v>
      </c>
      <c r="E501" s="1" t="n">
        <v>46311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9.6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39477-2026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46311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20960-2025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45777</v>
      </c>
      <c r="E503" s="1" t="n">
        <v>46311</v>
      </c>
      <c r="F503" t="inlineStr">
        <is>
          <t>JÖNKÖPINGS LÄN</t>
        </is>
      </c>
      <c r="G503" t="inlineStr">
        <is>
          <t>EKSJÖ</t>
        </is>
      </c>
      <c r="H503" t="inlineStr">
        <is>
          <t>Kommuner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45992</v>
      </c>
      <c r="E504" s="1" t="n">
        <v>46311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59655-2025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45992</v>
      </c>
      <c r="E505" s="1" t="n">
        <v>46311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45779</v>
      </c>
      <c r="E506" s="1" t="n">
        <v>46311</v>
      </c>
      <c r="F506" t="inlineStr">
        <is>
          <t>JÖNKÖPINGS LÄN</t>
        </is>
      </c>
      <c r="G506" t="inlineStr">
        <is>
          <t>EKSJÖ</t>
        </is>
      </c>
      <c r="H506" t="inlineStr">
        <is>
          <t>Kommuner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45637</v>
      </c>
      <c r="E507" s="1" t="n">
        <v>46311</v>
      </c>
      <c r="F507" t="inlineStr">
        <is>
          <t>JÖNKÖPINGS LÄN</t>
        </is>
      </c>
      <c r="G507" t="inlineStr">
        <is>
          <t>EKSJÖ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45992</v>
      </c>
      <c r="E508" s="1" t="n">
        <v>46311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59564-2025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45991</v>
      </c>
      <c r="E509" s="1" t="n">
        <v>46311</v>
      </c>
      <c r="F509" t="inlineStr">
        <is>
          <t>JÖNKÖPINGS LÄN</t>
        </is>
      </c>
      <c r="G509" t="inlineStr">
        <is>
          <t>EKSJÖ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42469-2023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46311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7723-2025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45706</v>
      </c>
      <c r="E511" s="1" t="n">
        <v>46311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45786</v>
      </c>
      <c r="E512" s="1" t="n">
        <v>46311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34105-2026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46252</v>
      </c>
      <c r="E513" s="1" t="n">
        <v>46311</v>
      </c>
      <c r="F513" t="inlineStr">
        <is>
          <t>JÖNKÖPINGS LÄN</t>
        </is>
      </c>
      <c r="G513" t="inlineStr">
        <is>
          <t>EKSJÖ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40991-2026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46297</v>
      </c>
      <c r="E514" s="1" t="n">
        <v>46311</v>
      </c>
      <c r="F514" t="inlineStr">
        <is>
          <t>JÖNKÖPINGS LÄN</t>
        </is>
      </c>
      <c r="G514" t="inlineStr">
        <is>
          <t>EKSJÖ</t>
        </is>
      </c>
      <c r="H514" t="inlineStr">
        <is>
          <t>Kyrkan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40998-2026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46297</v>
      </c>
      <c r="E515" s="1" t="n">
        <v>46311</v>
      </c>
      <c r="F515" t="inlineStr">
        <is>
          <t>JÖNKÖPINGS LÄN</t>
        </is>
      </c>
      <c r="G515" t="inlineStr">
        <is>
          <t>EKSJÖ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22987-2025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45790</v>
      </c>
      <c r="E516" s="1" t="n">
        <v>46311</v>
      </c>
      <c r="F516" t="inlineStr">
        <is>
          <t>JÖNKÖPINGS LÄN</t>
        </is>
      </c>
      <c r="G516" t="inlineStr">
        <is>
          <t>EKSJÖ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45705</v>
      </c>
      <c r="E517" s="1" t="n">
        <v>46311</v>
      </c>
      <c r="F517" t="inlineStr">
        <is>
          <t>JÖNKÖPINGS LÄN</t>
        </is>
      </c>
      <c r="G517" t="inlineStr">
        <is>
          <t>EKSJÖ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35253-2024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45530</v>
      </c>
      <c r="E518" s="1" t="n">
        <v>46311</v>
      </c>
      <c r="F518" t="inlineStr">
        <is>
          <t>JÖNKÖPINGS LÄN</t>
        </is>
      </c>
      <c r="G518" t="inlineStr">
        <is>
          <t>EKSJÖ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34352-2026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46254</v>
      </c>
      <c r="E519" s="1" t="n">
        <v>46311</v>
      </c>
      <c r="F519" t="inlineStr">
        <is>
          <t>JÖNKÖPINGS LÄN</t>
        </is>
      </c>
      <c r="G519" t="inlineStr">
        <is>
          <t>EKSJÖ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37519-2025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45877</v>
      </c>
      <c r="E520" s="1" t="n">
        <v>46311</v>
      </c>
      <c r="F520" t="inlineStr">
        <is>
          <t>JÖNKÖPINGS LÄN</t>
        </is>
      </c>
      <c r="G520" t="inlineStr">
        <is>
          <t>EKSJÖ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46311</v>
      </c>
      <c r="F521" t="inlineStr">
        <is>
          <t>JÖNKÖPINGS LÄN</t>
        </is>
      </c>
      <c r="G521" t="inlineStr">
        <is>
          <t>EKSJÖ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46255</v>
      </c>
      <c r="E522" s="1" t="n">
        <v>46311</v>
      </c>
      <c r="F522" t="inlineStr">
        <is>
          <t>JÖNKÖPINGS LÄN</t>
        </is>
      </c>
      <c r="G522" t="inlineStr">
        <is>
          <t>EKSJÖ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34514-2026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46311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46311</v>
      </c>
      <c r="F524" t="inlineStr">
        <is>
          <t>JÖNKÖPINGS LÄN</t>
        </is>
      </c>
      <c r="G524" t="inlineStr">
        <is>
          <t>EKSJÖ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46247</v>
      </c>
      <c r="E525" s="1" t="n">
        <v>46311</v>
      </c>
      <c r="F525" t="inlineStr">
        <is>
          <t>JÖNKÖPINGS LÄN</t>
        </is>
      </c>
      <c r="G525" t="inlineStr">
        <is>
          <t>EKSJÖ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46009</v>
      </c>
      <c r="E526" s="1" t="n">
        <v>46311</v>
      </c>
      <c r="F526" t="inlineStr">
        <is>
          <t>JÖNKÖPINGS LÄN</t>
        </is>
      </c>
      <c r="G526" t="inlineStr">
        <is>
          <t>EKSJÖ</t>
        </is>
      </c>
      <c r="H526" t="inlineStr">
        <is>
          <t>Kommuner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41004-2026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46297</v>
      </c>
      <c r="E527" s="1" t="n">
        <v>46311</v>
      </c>
      <c r="F527" t="inlineStr">
        <is>
          <t>JÖNKÖPINGS LÄN</t>
        </is>
      </c>
      <c r="G527" t="inlineStr">
        <is>
          <t>EKSJÖ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41110-2026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46300</v>
      </c>
      <c r="E528" s="1" t="n">
        <v>46311</v>
      </c>
      <c r="F528" t="inlineStr">
        <is>
          <t>JÖNKÖPINGS LÄN</t>
        </is>
      </c>
      <c r="G528" t="inlineStr">
        <is>
          <t>EKSJÖ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46311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23386-2025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45791</v>
      </c>
      <c r="E530" s="1" t="n">
        <v>46311</v>
      </c>
      <c r="F530" t="inlineStr">
        <is>
          <t>JÖNKÖPINGS LÄN</t>
        </is>
      </c>
      <c r="G530" t="inlineStr">
        <is>
          <t>EKSJÖ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62958-2025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46009</v>
      </c>
      <c r="E531" s="1" t="n">
        <v>46311</v>
      </c>
      <c r="F531" t="inlineStr">
        <is>
          <t>JÖNKÖPINGS LÄN</t>
        </is>
      </c>
      <c r="G531" t="inlineStr">
        <is>
          <t>EKSJÖ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46013</v>
      </c>
      <c r="E532" s="1" t="n">
        <v>46311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63643-2025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46014</v>
      </c>
      <c r="E533" s="1" t="n">
        <v>46311</v>
      </c>
      <c r="F533" t="inlineStr">
        <is>
          <t>JÖNKÖPINGS LÄN</t>
        </is>
      </c>
      <c r="G533" t="inlineStr">
        <is>
          <t>EKSJÖ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64106-2025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46311</v>
      </c>
      <c r="F534" t="inlineStr">
        <is>
          <t>JÖNKÖPINGS LÄN</t>
        </is>
      </c>
      <c r="G534" t="inlineStr">
        <is>
          <t>EKSJÖ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45791</v>
      </c>
      <c r="E535" s="1" t="n">
        <v>46311</v>
      </c>
      <c r="F535" t="inlineStr">
        <is>
          <t>JÖNKÖPINGS LÄN</t>
        </is>
      </c>
      <c r="G535" t="inlineStr">
        <is>
          <t>EKSJÖ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45743-2024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46311</v>
      </c>
      <c r="F536" t="inlineStr">
        <is>
          <t>JÖNKÖPINGS LÄN</t>
        </is>
      </c>
      <c r="G536" t="inlineStr">
        <is>
          <t>EKSJÖ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46311</v>
      </c>
      <c r="F537" t="inlineStr">
        <is>
          <t>JÖNKÖPINGS LÄN</t>
        </is>
      </c>
      <c r="G537" t="inlineStr">
        <is>
          <t>EKSJÖ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35021-2026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46259</v>
      </c>
      <c r="E538" s="1" t="n">
        <v>46311</v>
      </c>
      <c r="F538" t="inlineStr">
        <is>
          <t>JÖNKÖPINGS LÄN</t>
        </is>
      </c>
      <c r="G538" t="inlineStr">
        <is>
          <t>EKSJÖ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46311</v>
      </c>
      <c r="F539" t="inlineStr">
        <is>
          <t>JÖNKÖPINGS LÄN</t>
        </is>
      </c>
      <c r="G539" t="inlineStr">
        <is>
          <t>EKSJÖ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46311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14366-2025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46311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11957-2025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45728</v>
      </c>
      <c r="E542" s="1" t="n">
        <v>46311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11669-2025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45727</v>
      </c>
      <c r="E543" s="1" t="n">
        <v>46311</v>
      </c>
      <c r="F543" t="inlineStr">
        <is>
          <t>JÖNKÖPINGS LÄN</t>
        </is>
      </c>
      <c r="G543" t="inlineStr">
        <is>
          <t>EKSJÖ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14813-2025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45743</v>
      </c>
      <c r="E544" s="1" t="n">
        <v>46311</v>
      </c>
      <c r="F544" t="inlineStr">
        <is>
          <t>JÖNKÖPINGS LÄN</t>
        </is>
      </c>
      <c r="G544" t="inlineStr">
        <is>
          <t>EKSJÖ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14382-2025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45741</v>
      </c>
      <c r="E545" s="1" t="n">
        <v>46311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14817-2025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45743</v>
      </c>
      <c r="E546" s="1" t="n">
        <v>46311</v>
      </c>
      <c r="F546" t="inlineStr">
        <is>
          <t>JÖNKÖPINGS LÄN</t>
        </is>
      </c>
      <c r="G546" t="inlineStr">
        <is>
          <t>EKSJÖ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46311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46311</v>
      </c>
      <c r="F548" t="inlineStr">
        <is>
          <t>JÖNKÖPINGS LÄN</t>
        </is>
      </c>
      <c r="G548" t="inlineStr">
        <is>
          <t>EKSJÖ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14376-2025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45741</v>
      </c>
      <c r="E549" s="1" t="n">
        <v>46311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46311</v>
      </c>
      <c r="F550" t="inlineStr">
        <is>
          <t>JÖNKÖPINGS LÄN</t>
        </is>
      </c>
      <c r="G550" t="inlineStr">
        <is>
          <t>EKSJÖ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46311</v>
      </c>
      <c r="F551" t="inlineStr">
        <is>
          <t>JÖNKÖPINGS LÄN</t>
        </is>
      </c>
      <c r="G551" t="inlineStr">
        <is>
          <t>EKSJÖ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46311</v>
      </c>
      <c r="F552" t="inlineStr">
        <is>
          <t>JÖNKÖPINGS LÄN</t>
        </is>
      </c>
      <c r="G552" t="inlineStr">
        <is>
          <t>EKSJÖ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43407-2025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45911</v>
      </c>
      <c r="E553" s="1" t="n">
        <v>46311</v>
      </c>
      <c r="F553" t="inlineStr">
        <is>
          <t>JÖNKÖPINGS LÄN</t>
        </is>
      </c>
      <c r="G553" t="inlineStr">
        <is>
          <t>EKSJÖ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46304</v>
      </c>
      <c r="E554" s="1" t="n">
        <v>46311</v>
      </c>
      <c r="F554" t="inlineStr">
        <is>
          <t>JÖNKÖPINGS LÄN</t>
        </is>
      </c>
      <c r="G554" t="inlineStr">
        <is>
          <t>EKSJÖ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46311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46303</v>
      </c>
      <c r="E556" s="1" t="n">
        <v>46311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41907-2026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46303</v>
      </c>
      <c r="E557" s="1" t="n">
        <v>46311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35154-2026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46260</v>
      </c>
      <c r="E558" s="1" t="n">
        <v>46311</v>
      </c>
      <c r="F558" t="inlineStr">
        <is>
          <t>JÖNKÖPINGS LÄN</t>
        </is>
      </c>
      <c r="G558" t="inlineStr">
        <is>
          <t>EKSJÖ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46037</v>
      </c>
      <c r="E559" s="1" t="n">
        <v>46311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46038</v>
      </c>
      <c r="E560" s="1" t="n">
        <v>46311</v>
      </c>
      <c r="F560" t="inlineStr">
        <is>
          <t>JÖNKÖPINGS LÄN</t>
        </is>
      </c>
      <c r="G560" t="inlineStr">
        <is>
          <t>EKSJÖ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46311</v>
      </c>
      <c r="F561" t="inlineStr">
        <is>
          <t>JÖNKÖPINGS LÄN</t>
        </is>
      </c>
      <c r="G561" t="inlineStr">
        <is>
          <t>EKSJÖ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26405-2026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46183</v>
      </c>
      <c r="E562" s="1" t="n">
        <v>46311</v>
      </c>
      <c r="F562" t="inlineStr">
        <is>
          <t>JÖNKÖPINGS LÄN</t>
        </is>
      </c>
      <c r="G562" t="inlineStr">
        <is>
          <t>EKSJÖ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46311</v>
      </c>
      <c r="F563" t="inlineStr">
        <is>
          <t>JÖNKÖPINGS LÄN</t>
        </is>
      </c>
      <c r="G563" t="inlineStr">
        <is>
          <t>EKSJÖ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46311</v>
      </c>
      <c r="F564" t="inlineStr">
        <is>
          <t>JÖNKÖPINGS LÄN</t>
        </is>
      </c>
      <c r="G564" t="inlineStr">
        <is>
          <t>EKSJÖ</t>
        </is>
      </c>
      <c r="H564" t="inlineStr">
        <is>
          <t>Övriga Aktiebolag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46311</v>
      </c>
      <c r="F565" t="inlineStr">
        <is>
          <t>JÖNKÖPINGS LÄN</t>
        </is>
      </c>
      <c r="G565" t="inlineStr">
        <is>
          <t>EKSJÖ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46045</v>
      </c>
      <c r="E566" s="1" t="n">
        <v>46311</v>
      </c>
      <c r="F566" t="inlineStr">
        <is>
          <t>JÖNKÖPINGS LÄN</t>
        </is>
      </c>
      <c r="G566" t="inlineStr">
        <is>
          <t>EKSJÖ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46311</v>
      </c>
      <c r="F567" t="inlineStr">
        <is>
          <t>JÖNKÖPINGS LÄN</t>
        </is>
      </c>
      <c r="G567" t="inlineStr">
        <is>
          <t>EKSJÖ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46048</v>
      </c>
      <c r="E568" s="1" t="n">
        <v>46311</v>
      </c>
      <c r="F568" t="inlineStr">
        <is>
          <t>JÖNKÖPINGS LÄN</t>
        </is>
      </c>
      <c r="G568" t="inlineStr">
        <is>
          <t>EKSJÖ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46049</v>
      </c>
      <c r="E569" s="1" t="n">
        <v>46311</v>
      </c>
      <c r="F569" t="inlineStr">
        <is>
          <t>JÖNKÖPINGS LÄN</t>
        </is>
      </c>
      <c r="G569" t="inlineStr">
        <is>
          <t>EKSJÖ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46283</v>
      </c>
      <c r="E570" s="1" t="n">
        <v>46311</v>
      </c>
      <c r="F570" t="inlineStr">
        <is>
          <t>JÖNKÖPINGS LÄN</t>
        </is>
      </c>
      <c r="G570" t="inlineStr">
        <is>
          <t>EKSJÖ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42495-2026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46308</v>
      </c>
      <c r="E571" s="1" t="n">
        <v>46311</v>
      </c>
      <c r="F571" t="inlineStr">
        <is>
          <t>JÖNKÖPINGS LÄN</t>
        </is>
      </c>
      <c r="G571" t="inlineStr">
        <is>
          <t>EKSJÖ</t>
        </is>
      </c>
      <c r="H571" t="inlineStr">
        <is>
          <t>Övriga Aktiebolag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6596-2026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46311</v>
      </c>
      <c r="F572" t="inlineStr">
        <is>
          <t>JÖNKÖPINGS LÄN</t>
        </is>
      </c>
      <c r="G572" t="inlineStr">
        <is>
          <t>EKSJÖ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42699-2026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46309</v>
      </c>
      <c r="E573" s="1" t="n">
        <v>46311</v>
      </c>
      <c r="F573" t="inlineStr">
        <is>
          <t>JÖNKÖPINGS LÄN</t>
        </is>
      </c>
      <c r="G573" t="inlineStr">
        <is>
          <t>EKSJÖ</t>
        </is>
      </c>
      <c r="H573" t="inlineStr">
        <is>
          <t>Övriga Aktiebolag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42875-2026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46310</v>
      </c>
      <c r="E574" s="1" t="n">
        <v>46311</v>
      </c>
      <c r="F574" t="inlineStr">
        <is>
          <t>JÖNKÖPINGS LÄN</t>
        </is>
      </c>
      <c r="G574" t="inlineStr">
        <is>
          <t>EKSJÖ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46309</v>
      </c>
      <c r="E575" s="1" t="n">
        <v>46311</v>
      </c>
      <c r="F575" t="inlineStr">
        <is>
          <t>JÖNKÖPINGS LÄN</t>
        </is>
      </c>
      <c r="G575" t="inlineStr">
        <is>
          <t>EKSJÖ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40413-2026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46294</v>
      </c>
      <c r="E576" s="1" t="n">
        <v>46311</v>
      </c>
      <c r="F576" t="inlineStr">
        <is>
          <t>JÖNKÖPINGS LÄN</t>
        </is>
      </c>
      <c r="G576" t="inlineStr">
        <is>
          <t>EKSJÖ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42872-2026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46310</v>
      </c>
      <c r="E577" s="1" t="n">
        <v>46311</v>
      </c>
      <c r="F577" t="inlineStr">
        <is>
          <t>JÖNKÖPINGS LÄN</t>
        </is>
      </c>
      <c r="G577" t="inlineStr">
        <is>
          <t>EKSJÖ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46309</v>
      </c>
      <c r="E578" s="1" t="n">
        <v>46311</v>
      </c>
      <c r="F578" t="inlineStr">
        <is>
          <t>JÖNKÖPINGS LÄN</t>
        </is>
      </c>
      <c r="G578" t="inlineStr">
        <is>
          <t>EKSJÖ</t>
        </is>
      </c>
      <c r="H578" t="inlineStr">
        <is>
          <t>Övriga Aktiebolag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39476-2026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46289</v>
      </c>
      <c r="E579" s="1" t="n">
        <v>46311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8984-2026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46311</v>
      </c>
      <c r="F580" t="inlineStr">
        <is>
          <t>JÖNKÖPINGS LÄN</t>
        </is>
      </c>
      <c r="G580" t="inlineStr">
        <is>
          <t>EKSJÖ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46311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46311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46311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46311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46311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46311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46311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46311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46311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46311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46311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46311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46311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46311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46311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46311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46311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46311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46311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46311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46311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46311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46311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46311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46311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46311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46311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1826-2026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46311</v>
      </c>
      <c r="F608" t="inlineStr">
        <is>
          <t>JÖNKÖPINGS LÄN</t>
        </is>
      </c>
      <c r="G608" t="inlineStr">
        <is>
          <t>EKSJÖ</t>
        </is>
      </c>
      <c r="I608" t="n">
        <v>117.5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46311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1842-2026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46153</v>
      </c>
      <c r="E610" s="1" t="n">
        <v>46311</v>
      </c>
      <c r="F610" t="inlineStr">
        <is>
          <t>JÖNKÖPINGS LÄN</t>
        </is>
      </c>
      <c r="G610" t="inlineStr">
        <is>
          <t>EKSJÖ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46311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2026-10-16T02:19:56Z</dcterms:created>
  <dcterms:modified xmlns:dcterms="http://purl.org/dc/terms/" xmlns:xsi="http://www.w3.org/2001/XMLSchema-instance" xsi:type="dcterms:W3CDTF">2026-10-16T02:19:57Z</dcterms:modified>
</cp:coreProperties>
</file>