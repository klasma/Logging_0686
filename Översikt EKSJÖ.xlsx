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46305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46305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46305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46305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46305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Större brunfladdermus</t>
        </is>
      </c>
      <c r="W13">
        <f>HYPERLINK("https://klasma.github.io/Logging_0686/artfynd/A 44585-2024 artfynd.xlsx", "A 44585-2024")</f>
        <v/>
      </c>
      <c r="X13">
        <f>HYPERLINK("https://klasma.github.io/Logging_0686/kartor/A 44585-2024 karta.png", "A 44585-2024")</f>
        <v/>
      </c>
      <c r="Y13">
        <f>HYPERLINK("https://klasma.github.io/Logging_0686/kartor_geotiff/A 44585-2024 georefererad karta.tif", "A 44585-2024")</f>
        <v/>
      </c>
      <c r="AA13">
        <f>HYPERLINK("https://klasma.github.io/Logging_0686/klagomål/A 44585-2024 FSC-klagomål.docx", "A 44585-2024")</f>
        <v/>
      </c>
      <c r="AB13">
        <f>HYPERLINK("https://klasma.github.io/Logging_0686/klagomålsmail/A 44585-2024 FSC-klagomål mail.docx", "A 44585-2024")</f>
        <v/>
      </c>
      <c r="AC13">
        <f>HYPERLINK("https://klasma.github.io/Logging_0686/tillsyn/A 44585-2024 tillsynsbegäran.docx", "A 44585-2024")</f>
        <v/>
      </c>
      <c r="AD13">
        <f>HYPERLINK("https://klasma.github.io/Logging_0686/tillsynsmail/A 44585-2024 tillsynsbegäran mail.docx", "A 44585-2024")</f>
        <v/>
      </c>
    </row>
    <row r="14" ht="15" customHeight="1">
      <c r="A14" t="inlineStr">
        <is>
          <t>A 19135-2025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45764</v>
      </c>
      <c r="E14" s="1" t="n">
        <v>46305</v>
      </c>
      <c r="F14" t="inlineStr">
        <is>
          <t>JÖNKÖPINGS LÄN</t>
        </is>
      </c>
      <c r="G14" t="inlineStr">
        <is>
          <t>EKSJÖ</t>
        </is>
      </c>
      <c r="I14" t="n">
        <v>0.5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Fjällig taggsvamp s.str.
Rökmusseron</t>
        </is>
      </c>
      <c r="W14">
        <f>HYPERLINK("https://klasma.github.io/Logging_0686/artfynd/A 19135-2025 artfynd.xlsx", "A 19135-2025")</f>
        <v/>
      </c>
      <c r="X14">
        <f>HYPERLINK("https://klasma.github.io/Logging_0686/kartor/A 19135-2025 karta.png", "A 19135-2025")</f>
        <v/>
      </c>
      <c r="Y14">
        <f>HYPERLINK("https://klasma.github.io/Logging_0686/kartor_geotiff/A 19135-2025 georefererad karta.tif", "A 19135-2025")</f>
        <v/>
      </c>
      <c r="AA14">
        <f>HYPERLINK("https://klasma.github.io/Logging_0686/klagomål/A 19135-2025 FSC-klagomål.docx", "A 19135-2025")</f>
        <v/>
      </c>
      <c r="AB14">
        <f>HYPERLINK("https://klasma.github.io/Logging_0686/klagomålsmail/A 19135-2025 FSC-klagomål mail.docx", "A 19135-2025")</f>
        <v/>
      </c>
      <c r="AC14">
        <f>HYPERLINK("https://klasma.github.io/Logging_0686/tillsyn/A 19135-2025 tillsynsbegäran.docx", "A 19135-2025")</f>
        <v/>
      </c>
      <c r="AD14">
        <f>HYPERLINK("https://klasma.github.io/Logging_0686/tillsynsmail/A 19135-2025 tillsynsbegäran mail.docx", "A 19135-2025")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46305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46305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46305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46305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46305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46305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46305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46305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46305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46305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46305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10726-2024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46305</v>
      </c>
      <c r="F26" t="inlineStr">
        <is>
          <t>JÖNKÖPINGS LÄN</t>
        </is>
      </c>
      <c r="G26" t="inlineStr">
        <is>
          <t>EKSJÖ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HYPERLINK("https://klasma.github.io/Logging_0686/artfynd/A 10726-2024 artfynd.xlsx", "A 10726-2024")</f>
        <v/>
      </c>
      <c r="X26">
        <f>HYPERLINK("https://klasma.github.io/Logging_0686/kartor/A 10726-2024 karta.png", "A 10726-2024")</f>
        <v/>
      </c>
      <c r="Y26">
        <f>HYPERLINK("https://klasma.github.io/Logging_0686/kartor_geotiff/A 10726-2024 georefererad karta.tif", "A 10726-2024")</f>
        <v/>
      </c>
      <c r="AA26">
        <f>HYPERLINK("https://klasma.github.io/Logging_0686/klagomål/A 10726-2024 FSC-klagomål.docx", "A 10726-2024")</f>
        <v/>
      </c>
      <c r="AB26">
        <f>HYPERLINK("https://klasma.github.io/Logging_0686/klagomålsmail/A 10726-2024 FSC-klagomål mail.docx", "A 10726-2024")</f>
        <v/>
      </c>
      <c r="AC26">
        <f>HYPERLINK("https://klasma.github.io/Logging_0686/tillsyn/A 10726-2024 tillsynsbegäran.docx", "A 10726-2024")</f>
        <v/>
      </c>
      <c r="AD26">
        <f>HYPERLINK("https://klasma.github.io/Logging_0686/tillsynsmail/A 10726-2024 tillsynsbegäran mail.docx", "A 10726-2024")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46305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HYPERLINK("https://klasma.github.io/Logging_0686/artfynd/A 5519-2024 artfynd.xlsx", "A 5519-2024")</f>
        <v/>
      </c>
      <c r="X27">
        <f>HYPERLINK("https://klasma.github.io/Logging_0686/kartor/A 5519-2024 karta.png", "A 5519-2024")</f>
        <v/>
      </c>
      <c r="Y27">
        <f>HYPERLINK("https://klasma.github.io/Logging_0686/kartor_geotiff/A 5519-2024 georefererad karta.tif", "A 5519-2024")</f>
        <v/>
      </c>
      <c r="AA27">
        <f>HYPERLINK("https://klasma.github.io/Logging_0686/klagomål/A 5519-2024 FSC-klagomål.docx", "A 5519-2024")</f>
        <v/>
      </c>
      <c r="AB27">
        <f>HYPERLINK("https://klasma.github.io/Logging_0686/klagomålsmail/A 5519-2024 FSC-klagomål mail.docx", "A 5519-2024")</f>
        <v/>
      </c>
      <c r="AC27">
        <f>HYPERLINK("https://klasma.github.io/Logging_0686/tillsyn/A 5519-2024 tillsynsbegäran.docx", "A 5519-2024")</f>
        <v/>
      </c>
      <c r="AD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46305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4786-2024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45328</v>
      </c>
      <c r="E29" s="1" t="n">
        <v>46305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HYPERLINK("https://klasma.github.io/Logging_0686/artfynd/A 4786-2024 artfynd.xlsx", "A 4786-2024")</f>
        <v/>
      </c>
      <c r="X29">
        <f>HYPERLINK("https://klasma.github.io/Logging_0686/kartor/A 4786-2024 karta.png", "A 4786-2024")</f>
        <v/>
      </c>
      <c r="Y29">
        <f>HYPERLINK("https://klasma.github.io/Logging_0686/kartor_geotiff/A 4786-2024 georefererad karta.tif", "A 4786-2024")</f>
        <v/>
      </c>
      <c r="AA29">
        <f>HYPERLINK("https://klasma.github.io/Logging_0686/klagomål/A 4786-2024 FSC-klagomål.docx", "A 4786-2024")</f>
        <v/>
      </c>
      <c r="AB29">
        <f>HYPERLINK("https://klasma.github.io/Logging_0686/klagomålsmail/A 4786-2024 FSC-klagomål mail.docx", "A 4786-2024")</f>
        <v/>
      </c>
      <c r="AC29">
        <f>HYPERLINK("https://klasma.github.io/Logging_0686/tillsyn/A 4786-2024 tillsynsbegäran.docx", "A 4786-2024")</f>
        <v/>
      </c>
      <c r="AD29">
        <f>HYPERLINK("https://klasma.github.io/Logging_0686/tillsynsmail/A 4786-2024 tillsynsbegäran mail.docx", "A 4786-2024")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46305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18327-2024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45422</v>
      </c>
      <c r="E31" s="1" t="n">
        <v>46305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Dvärgbägarlav</t>
        </is>
      </c>
      <c r="W31">
        <f>HYPERLINK("https://klasma.github.io/Logging_0686/artfynd/A 18327-2024 artfynd.xlsx", "A 18327-2024")</f>
        <v/>
      </c>
      <c r="X31">
        <f>HYPERLINK("https://klasma.github.io/Logging_0686/kartor/A 18327-2024 karta.png", "A 18327-2024")</f>
        <v/>
      </c>
      <c r="Y31">
        <f>HYPERLINK("https://klasma.github.io/Logging_0686/kartor_geotiff/A 18327-2024 georefererad karta.tif", "A 18327-2024")</f>
        <v/>
      </c>
      <c r="AA31">
        <f>HYPERLINK("https://klasma.github.io/Logging_0686/klagomål/A 18327-2024 FSC-klagomål.docx", "A 18327-2024")</f>
        <v/>
      </c>
      <c r="AB31">
        <f>HYPERLINK("https://klasma.github.io/Logging_0686/klagomålsmail/A 18327-2024 FSC-klagomål mail.docx", "A 18327-2024")</f>
        <v/>
      </c>
      <c r="AC31">
        <f>HYPERLINK("https://klasma.github.io/Logging_0686/tillsyn/A 18327-2024 tillsynsbegäran.docx", "A 18327-2024")</f>
        <v/>
      </c>
      <c r="AD31">
        <f>HYPERLINK("https://klasma.github.io/Logging_0686/tillsynsmail/A 18327-2024 tillsynsbegäran mail.docx", "A 18327-2024")</f>
        <v/>
      </c>
    </row>
    <row r="32" ht="15" customHeight="1">
      <c r="A32" t="inlineStr">
        <is>
          <t>A 5128-2024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46305</v>
      </c>
      <c r="F32" t="inlineStr">
        <is>
          <t>JÖNKÖPINGS LÄN</t>
        </is>
      </c>
      <c r="G32" t="inlineStr">
        <is>
          <t>EKSJÖ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5128-2024 artfynd.xlsx", "A 5128-2024")</f>
        <v/>
      </c>
      <c r="X32">
        <f>HYPERLINK("https://klasma.github.io/Logging_0686/kartor/A 5128-2024 karta.png", "A 5128-2024")</f>
        <v/>
      </c>
      <c r="Y32">
        <f>HYPERLINK("https://klasma.github.io/Logging_0686/kartor_geotiff/A 5128-2024 georefererad karta.tif", "A 5128-2024")</f>
        <v/>
      </c>
      <c r="AA32">
        <f>HYPERLINK("https://klasma.github.io/Logging_0686/klagomål/A 5128-2024 FSC-klagomål.docx", "A 5128-2024")</f>
        <v/>
      </c>
      <c r="AB32">
        <f>HYPERLINK("https://klasma.github.io/Logging_0686/klagomålsmail/A 5128-2024 FSC-klagomål mail.docx", "A 5128-2024")</f>
        <v/>
      </c>
      <c r="AC32">
        <f>HYPERLINK("https://klasma.github.io/Logging_0686/tillsyn/A 5128-2024 tillsynsbegäran.docx", "A 5128-2024")</f>
        <v/>
      </c>
      <c r="AD32">
        <f>HYPERLINK("https://klasma.github.io/Logging_0686/tillsynsmail/A 5128-2024 tillsynsbegäran mail.docx", "A 5128-2024")</f>
        <v/>
      </c>
    </row>
    <row r="33" ht="15" customHeight="1">
      <c r="A33" t="inlineStr">
        <is>
          <t>A 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46305</v>
      </c>
      <c r="F33" t="inlineStr">
        <is>
          <t>JÖNKÖPINGS LÄN</t>
        </is>
      </c>
      <c r="G33" t="inlineStr">
        <is>
          <t>EKSJÖ</t>
        </is>
      </c>
      <c r="I33" t="n">
        <v>3.4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HYPERLINK("https://klasma.github.io/Logging_0686/artfynd/A 58-2023 artfynd.xlsx", "A 58-2023")</f>
        <v/>
      </c>
      <c r="X33">
        <f>HYPERLINK("https://klasma.github.io/Logging_0686/kartor/A 58-2023 karta.png", "A 58-2023")</f>
        <v/>
      </c>
      <c r="Y33">
        <f>HYPERLINK("https://klasma.github.io/Logging_0686/kartor_geotiff/A 58-2023 georefererad karta.tif", "A 58-2023")</f>
        <v/>
      </c>
      <c r="AA33">
        <f>HYPERLINK("https://klasma.github.io/Logging_0686/klagomål/A 58-2023 FSC-klagomål.docx", "A 58-2023")</f>
        <v/>
      </c>
      <c r="AB33">
        <f>HYPERLINK("https://klasma.github.io/Logging_0686/klagomålsmail/A 58-2023 FSC-klagomål mail.docx", "A 58-2023")</f>
        <v/>
      </c>
      <c r="AC33">
        <f>HYPERLINK("https://klasma.github.io/Logging_0686/tillsyn/A 58-2023 tillsynsbegäran.docx", "A 58-2023")</f>
        <v/>
      </c>
      <c r="AD33">
        <f>HYPERLINK("https://klasma.github.io/Logging_0686/tillsynsmail/A 58-2023 tillsynsbegäran mail.docx", "A 58-2023")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46305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1073-2025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46305</v>
      </c>
      <c r="F35" t="inlineStr">
        <is>
          <t>JÖNKÖPINGS LÄN</t>
        </is>
      </c>
      <c r="G35" t="inlineStr">
        <is>
          <t>EKSJÖ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Myggblomster</t>
        </is>
      </c>
      <c r="W35">
        <f>HYPERLINK("https://klasma.github.io/Logging_0686/artfynd/A 1073-2025 artfynd.xlsx", "A 1073-2025")</f>
        <v/>
      </c>
      <c r="X35">
        <f>HYPERLINK("https://klasma.github.io/Logging_0686/kartor/A 1073-2025 karta.png", "A 1073-2025")</f>
        <v/>
      </c>
      <c r="Y35">
        <f>HYPERLINK("https://klasma.github.io/Logging_0686/kartor_geotiff/A 1073-2025 georefererad karta.tif", "A 1073-2025")</f>
        <v/>
      </c>
      <c r="AA35">
        <f>HYPERLINK("https://klasma.github.io/Logging_0686/klagomål/A 1073-2025 FSC-klagomål.docx", "A 1073-2025")</f>
        <v/>
      </c>
      <c r="AB35">
        <f>HYPERLINK("https://klasma.github.io/Logging_0686/klagomålsmail/A 1073-2025 FSC-klagomål mail.docx", "A 1073-2025")</f>
        <v/>
      </c>
      <c r="AC35">
        <f>HYPERLINK("https://klasma.github.io/Logging_0686/tillsyn/A 1073-2025 tillsynsbegäran.docx", "A 1073-2025")</f>
        <v/>
      </c>
      <c r="AD35">
        <f>HYPERLINK("https://klasma.github.io/Logging_0686/tillsynsmail/A 1073-2025 tillsynsbegäran mail.docx", "A 1073-2025")</f>
        <v/>
      </c>
    </row>
    <row r="36" ht="15" customHeight="1">
      <c r="A36" t="inlineStr">
        <is>
          <t>A 4446-2023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44956</v>
      </c>
      <c r="E36" s="1" t="n">
        <v>46305</v>
      </c>
      <c r="F36" t="inlineStr">
        <is>
          <t>JÖNKÖPINGS LÄN</t>
        </is>
      </c>
      <c r="G36" t="inlineStr">
        <is>
          <t>EKSJÖ</t>
        </is>
      </c>
      <c r="I36" t="n">
        <v>0.3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HYPERLINK("https://klasma.github.io/Logging_0686/artfynd/A 4446-2023 artfynd.xlsx", "A 4446-2023")</f>
        <v/>
      </c>
      <c r="X36">
        <f>HYPERLINK("https://klasma.github.io/Logging_0686/kartor/A 4446-2023 karta.png", "A 4446-2023")</f>
        <v/>
      </c>
      <c r="Y36">
        <f>HYPERLINK("https://klasma.github.io/Logging_0686/kartor_geotiff/A 4446-2023 georefererad karta.tif", "A 4446-2023")</f>
        <v/>
      </c>
      <c r="AA36">
        <f>HYPERLINK("https://klasma.github.io/Logging_0686/klagomål/A 4446-2023 FSC-klagomål.docx", "A 4446-2023")</f>
        <v/>
      </c>
      <c r="AB36">
        <f>HYPERLINK("https://klasma.github.io/Logging_0686/klagomålsmail/A 4446-2023 FSC-klagomål mail.docx", "A 4446-2023")</f>
        <v/>
      </c>
      <c r="AC36">
        <f>HYPERLINK("https://klasma.github.io/Logging_0686/tillsyn/A 4446-2023 tillsynsbegäran.docx", "A 4446-2023")</f>
        <v/>
      </c>
      <c r="AD36">
        <f>HYPERLINK("https://klasma.github.io/Logging_0686/tillsynsmail/A 4446-2023 tillsynsbegäran mail.docx", "A 4446-2023")</f>
        <v/>
      </c>
    </row>
    <row r="37" ht="15" customHeight="1">
      <c r="A37" t="inlineStr">
        <is>
          <t>A 56410-2025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46305</v>
      </c>
      <c r="F37" t="inlineStr">
        <is>
          <t>JÖNKÖPINGS LÄN</t>
        </is>
      </c>
      <c r="G37" t="inlineStr">
        <is>
          <t>EKSJÖ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Brunfläckig pärlemorfjäril</t>
        </is>
      </c>
      <c r="W37">
        <f>HYPERLINK("https://klasma.github.io/Logging_0686/artfynd/A 56410-2025 artfynd.xlsx", "A 56410-2025")</f>
        <v/>
      </c>
      <c r="X37">
        <f>HYPERLINK("https://klasma.github.io/Logging_0686/kartor/A 56410-2025 karta.png", "A 56410-2025")</f>
        <v/>
      </c>
      <c r="Y37">
        <f>HYPERLINK("https://klasma.github.io/Logging_0686/kartor_geotiff/A 56410-2025 georefererad karta.tif", "A 56410-2025")</f>
        <v/>
      </c>
      <c r="AA37">
        <f>HYPERLINK("https://klasma.github.io/Logging_0686/klagomål/A 56410-2025 FSC-klagomål.docx", "A 56410-2025")</f>
        <v/>
      </c>
      <c r="AB37">
        <f>HYPERLINK("https://klasma.github.io/Logging_0686/klagomålsmail/A 56410-2025 FSC-klagomål mail.docx", "A 56410-2025")</f>
        <v/>
      </c>
      <c r="AC37">
        <f>HYPERLINK("https://klasma.github.io/Logging_0686/tillsyn/A 56410-2025 tillsynsbegäran.docx", "A 56410-2025")</f>
        <v/>
      </c>
      <c r="AD37">
        <f>HYPERLINK("https://klasma.github.io/Logging_0686/tillsynsmail/A 56410-2025 tillsynsbegäran mail.docx", "A 56410-2025")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46305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46305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46305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46305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46305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46305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46305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46305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46305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A 40986-2026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46297</v>
      </c>
      <c r="E47" s="1" t="n">
        <v>46305</v>
      </c>
      <c r="F47" t="inlineStr">
        <is>
          <t>JÖNKÖPINGS LÄN</t>
        </is>
      </c>
      <c r="G47" t="inlineStr">
        <is>
          <t>EKSJÖ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HYPERLINK("https://klasma.github.io/Logging_0686/artfynd/A 40986-2026 artfynd.xlsx", "A 40986-2026")</f>
        <v/>
      </c>
      <c r="X47">
        <f>HYPERLINK("https://klasma.github.io/Logging_0686/kartor/A 40986-2026 karta.png", "A 40986-2026")</f>
        <v/>
      </c>
      <c r="Y47">
        <f>HYPERLINK("https://klasma.github.io/Logging_0686/kartor_geotiff/A 40986-2026 georefererad karta.tif", "A 40986-2026")</f>
        <v/>
      </c>
      <c r="AA47">
        <f>HYPERLINK("https://klasma.github.io/Logging_0686/klagomål/A 40986-2026 FSC-klagomål.docx", "A 40986-2026")</f>
        <v/>
      </c>
      <c r="AB47">
        <f>HYPERLINK("https://klasma.github.io/Logging_0686/klagomålsmail/A 40986-2026 FSC-klagomål mail.docx", "A 40986-2026")</f>
        <v/>
      </c>
      <c r="AC47">
        <f>HYPERLINK("https://klasma.github.io/Logging_0686/tillsyn/A 40986-2026 tillsynsbegäran.docx", "A 40986-2026")</f>
        <v/>
      </c>
      <c r="AD47">
        <f>HYPERLINK("https://klasma.github.io/Logging_0686/tillsynsmail/A 40986-2026 tillsynsbegäran mail.docx", "A 40986-2026")</f>
        <v/>
      </c>
    </row>
    <row r="48" ht="15" customHeight="1">
      <c r="A48" t="inlineStr">
        <is>
          <t>A 41670-2026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46305</v>
      </c>
      <c r="F48" t="inlineStr">
        <is>
          <t>JÖNKÖPINGS LÄN</t>
        </is>
      </c>
      <c r="G48" t="inlineStr">
        <is>
          <t>EKSJÖ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Vätteros</t>
        </is>
      </c>
      <c r="W48">
        <f>HYPERLINK("https://klasma.github.io/Logging_0686/artfynd/A 41670-2026 artfynd.xlsx", "A 41670-2026")</f>
        <v/>
      </c>
      <c r="X48">
        <f>HYPERLINK("https://klasma.github.io/Logging_0686/kartor/A 41670-2026 karta.png", "A 41670-2026")</f>
        <v/>
      </c>
      <c r="Y48">
        <f>HYPERLINK("https://klasma.github.io/Logging_0686/kartor_geotiff/A 41670-2026 georefererad karta.tif", "A 41670-2026")</f>
        <v/>
      </c>
      <c r="AA48">
        <f>HYPERLINK("https://klasma.github.io/Logging_0686/klagomål/A 41670-2026 FSC-klagomål.docx", "A 41670-2026")</f>
        <v/>
      </c>
      <c r="AB48">
        <f>HYPERLINK("https://klasma.github.io/Logging_0686/klagomålsmail/A 41670-2026 FSC-klagomål mail.docx", "A 41670-2026")</f>
        <v/>
      </c>
      <c r="AC48">
        <f>HYPERLINK("https://klasma.github.io/Logging_0686/tillsyn/A 41670-2026 tillsynsbegäran.docx", "A 41670-2026")</f>
        <v/>
      </c>
      <c r="AD48">
        <f>HYPERLINK("https://klasma.github.io/Logging_0686/tillsynsmail/A 41670-2026 tillsynsbegäran mail.docx", "A 41670-2026")</f>
        <v/>
      </c>
    </row>
    <row r="49" ht="15" customHeight="1">
      <c r="A49" t="inlineStr">
        <is>
          <t>S 3702-2024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45553</v>
      </c>
      <c r="E49" s="1" t="n">
        <v>46305</v>
      </c>
      <c r="F49" t="inlineStr">
        <is>
          <t>JÖNKÖPINGS LÄN</t>
        </is>
      </c>
      <c r="G49" t="inlineStr">
        <is>
          <t>EKSJÖ</t>
        </is>
      </c>
      <c r="I49" t="n">
        <v>3.6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Styvnate</t>
        </is>
      </c>
      <c r="W49">
        <f>HYPERLINK("https://klasma.github.io/Logging_0686/artfynd/S 3702-2024 artfynd.xlsx", "S 3702-2024")</f>
        <v/>
      </c>
      <c r="X49">
        <f>HYPERLINK("https://klasma.github.io/Logging_0686/kartor/S 3702-2024 karta.png", "S 3702-2024")</f>
        <v/>
      </c>
      <c r="Y49">
        <f>HYPERLINK("https://klasma.github.io/Logging_0686/kartor_geotiff/S 3702-2024 georefererad karta.tif", "S 3702-2024")</f>
        <v/>
      </c>
      <c r="AA49">
        <f>HYPERLINK("https://klasma.github.io/Logging_0686/klagomål/S 3702-2024 FSC-klagomål.docx", "S 3702-2024")</f>
        <v/>
      </c>
      <c r="AB49">
        <f>HYPERLINK("https://klasma.github.io/Logging_0686/klagomålsmail/S 3702-2024 FSC-klagomål mail.docx", "S 3702-2024")</f>
        <v/>
      </c>
      <c r="AC49">
        <f>HYPERLINK("https://klasma.github.io/Logging_0686/tillsyn/S 3702-2024 tillsynsbegäran.docx", "S 3702-2024")</f>
        <v/>
      </c>
      <c r="AD49">
        <f>HYPERLINK("https://klasma.github.io/Logging_0686/tillsynsmail/S 3702-2024 tillsynsbegäran mail.docx", "S 3702-2024")</f>
        <v/>
      </c>
    </row>
    <row r="50" ht="15" customHeight="1">
      <c r="A50" t="inlineStr">
        <is>
          <t>S 2100-2024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45453</v>
      </c>
      <c r="E50" s="1" t="n">
        <v>46305</v>
      </c>
      <c r="F50" t="inlineStr">
        <is>
          <t>JÖNKÖPINGS LÄN</t>
        </is>
      </c>
      <c r="G50" t="inlineStr">
        <is>
          <t>EKSJÖ</t>
        </is>
      </c>
      <c r="H50" t="inlineStr">
        <is>
          <t>Kyrkan</t>
        </is>
      </c>
      <c r="I50" t="n">
        <v>0.3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HYPERLINK("https://klasma.github.io/Logging_0686/artfynd/S 2100-2024 artfynd.xlsx", "S 2100-2024")</f>
        <v/>
      </c>
      <c r="X50">
        <f>HYPERLINK("https://klasma.github.io/Logging_0686/kartor/S 2100-2024 karta.png", "S 2100-2024")</f>
        <v/>
      </c>
      <c r="Y50">
        <f>HYPERLINK("https://klasma.github.io/Logging_0686/kartor_geotiff/S 2100-2024 georefererad karta.tif", "S 2100-2024")</f>
        <v/>
      </c>
      <c r="AA50">
        <f>HYPERLINK("https://klasma.github.io/Logging_0686/klagomål/S 2100-2024 FSC-klagomål.docx", "S 2100-2024")</f>
        <v/>
      </c>
      <c r="AB50">
        <f>HYPERLINK("https://klasma.github.io/Logging_0686/klagomålsmail/S 2100-2024 FSC-klagomål mail.docx", "S 2100-2024")</f>
        <v/>
      </c>
      <c r="AC50">
        <f>HYPERLINK("https://klasma.github.io/Logging_0686/tillsyn/S 2100-2024 tillsynsbegäran.docx", "S 2100-2024")</f>
        <v/>
      </c>
      <c r="AD50">
        <f>HYPERLINK("https://klasma.github.io/Logging_0686/tillsynsmail/S 2100-2024 tillsynsbegäran mail.docx", "S 2100-2024")</f>
        <v/>
      </c>
    </row>
    <row r="51" ht="15" customHeight="1">
      <c r="A51" t="inlineStr">
        <is>
          <t>S 3314-2023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45195</v>
      </c>
      <c r="E51" s="1" t="n">
        <v>46305</v>
      </c>
      <c r="F51" t="inlineStr">
        <is>
          <t>JÖNKÖPINGS LÄN</t>
        </is>
      </c>
      <c r="G51" t="inlineStr">
        <is>
          <t>EKSJÖ</t>
        </is>
      </c>
      <c r="I51" t="n">
        <v>16.3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3314-2023 artfynd.xlsx", "S 3314-2023")</f>
        <v/>
      </c>
      <c r="X51">
        <f>HYPERLINK("https://klasma.github.io/Logging_0686/kartor/S 3314-2023 karta.png", "S 3314-2023")</f>
        <v/>
      </c>
      <c r="Y51">
        <f>HYPERLINK("https://klasma.github.io/Logging_0686/kartor_geotiff/S 3314-2023 georefererad karta.tif", "S 3314-2023")</f>
        <v/>
      </c>
      <c r="AA51">
        <f>HYPERLINK("https://klasma.github.io/Logging_0686/klagomål/S 3314-2023 FSC-klagomål.docx", "S 3314-2023")</f>
        <v/>
      </c>
      <c r="AB51">
        <f>HYPERLINK("https://klasma.github.io/Logging_0686/klagomålsmail/S 3314-2023 FSC-klagomål mail.docx", "S 3314-2023")</f>
        <v/>
      </c>
      <c r="AC51">
        <f>HYPERLINK("https://klasma.github.io/Logging_0686/tillsyn/S 3314-2023 tillsynsbegäran.docx", "S 3314-2023")</f>
        <v/>
      </c>
      <c r="AD51">
        <f>HYPERLINK("https://klasma.github.io/Logging_0686/tillsynsmail/S 3314-2023 tillsynsbegäran mail.docx", "S 3314-2023")</f>
        <v/>
      </c>
    </row>
    <row r="52" ht="15" customHeight="1">
      <c r="A52" t="inlineStr">
        <is>
          <t>S 523-2025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45707</v>
      </c>
      <c r="E52" s="1" t="n">
        <v>46305</v>
      </c>
      <c r="F52" t="inlineStr">
        <is>
          <t>JÖNKÖPINGS LÄN</t>
        </is>
      </c>
      <c r="G52" t="inlineStr">
        <is>
          <t>EKSJÖ</t>
        </is>
      </c>
      <c r="I52" t="n">
        <v>22.9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523-2025 artfynd.xlsx", "S 523-2025")</f>
        <v/>
      </c>
      <c r="X52">
        <f>HYPERLINK("https://klasma.github.io/Logging_0686/kartor/S 523-2025 karta.png", "S 523-2025")</f>
        <v/>
      </c>
      <c r="Y52">
        <f>HYPERLINK("https://klasma.github.io/Logging_0686/kartor_geotiff/S 523-2025 georefererad karta.tif", "S 523-2025")</f>
        <v/>
      </c>
      <c r="AA52">
        <f>HYPERLINK("https://klasma.github.io/Logging_0686/klagomål/S 523-2025 FSC-klagomål.docx", "S 523-2025")</f>
        <v/>
      </c>
      <c r="AB52">
        <f>HYPERLINK("https://klasma.github.io/Logging_0686/klagomålsmail/S 523-2025 FSC-klagomål mail.docx", "S 523-2025")</f>
        <v/>
      </c>
      <c r="AC52">
        <f>HYPERLINK("https://klasma.github.io/Logging_0686/tillsyn/S 523-2025 tillsynsbegäran.docx", "S 523-2025")</f>
        <v/>
      </c>
      <c r="AD52">
        <f>HYPERLINK("https://klasma.github.io/Logging_0686/tillsynsmail/S 523-2025 tillsynsbegäran mail.docx", "S 523-2025")</f>
        <v/>
      </c>
    </row>
    <row r="53" ht="15" customHeight="1">
      <c r="A53" t="inlineStr">
        <is>
          <t>S 2968-2025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45954</v>
      </c>
      <c r="E53" s="1" t="n">
        <v>46305</v>
      </c>
      <c r="F53" t="inlineStr">
        <is>
          <t>JÖNKÖPINGS LÄN</t>
        </is>
      </c>
      <c r="G53" t="inlineStr">
        <is>
          <t>EKSJÖ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25</v>
      </c>
      <c r="U53" t="n">
        <v>0</v>
      </c>
      <c r="V53" s="2" t="inlineStr">
        <is>
          <t>Ask</t>
        </is>
      </c>
      <c r="W53">
        <f>HYPERLINK("https://klasma.github.io/Logging_0686/artfynd/S 2968-2025 artfynd.xlsx", "S 2968-2025")</f>
        <v/>
      </c>
      <c r="X53">
        <f>HYPERLINK("https://klasma.github.io/Logging_0686/kartor/S 2968-2025 karta.png", "S 2968-2025")</f>
        <v/>
      </c>
      <c r="Y53">
        <f>HYPERLINK("https://klasma.github.io/Logging_0686/kartor_geotiff/S 2968-2025 georefererad karta.tif", "S 2968-2025")</f>
        <v/>
      </c>
      <c r="AA53">
        <f>HYPERLINK("https://klasma.github.io/Logging_0686/klagomål/S 2968-2025 FSC-klagomål.docx", "S 2968-2025")</f>
        <v/>
      </c>
      <c r="AB53">
        <f>HYPERLINK("https://klasma.github.io/Logging_0686/klagomålsmail/S 2968-2025 FSC-klagomål mail.docx", "S 2968-2025")</f>
        <v/>
      </c>
      <c r="AC53">
        <f>HYPERLINK("https://klasma.github.io/Logging_0686/tillsyn/S 2968-2025 tillsynsbegäran.docx", "S 2968-2025")</f>
        <v/>
      </c>
      <c r="AD53">
        <f>HYPERLINK("https://klasma.github.io/Logging_0686/tillsynsmail/S 2968-2025 tillsynsbegäran mail.docx", "S 2968-2025")</f>
        <v/>
      </c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46305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44781</v>
      </c>
      <c r="E55" s="1" t="n">
        <v>46305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46305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46305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46305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46305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46305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46305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46305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46305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46305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46305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46305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46305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46305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46305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46305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46305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46305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46305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46305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46305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46305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46305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46305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46305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46305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44616</v>
      </c>
      <c r="E81" s="1" t="n">
        <v>46305</v>
      </c>
      <c r="F81" t="inlineStr">
        <is>
          <t>JÖNKÖPINGS LÄN</t>
        </is>
      </c>
      <c r="G81" t="inlineStr">
        <is>
          <t>EKSJÖ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66930-2021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44522</v>
      </c>
      <c r="E82" s="1" t="n">
        <v>46305</v>
      </c>
      <c r="F82" t="inlineStr">
        <is>
          <t>JÖNKÖPINGS LÄN</t>
        </is>
      </c>
      <c r="G82" t="inlineStr">
        <is>
          <t>EKSJÖ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46305</v>
      </c>
      <c r="F83" t="inlineStr">
        <is>
          <t>JÖNKÖPINGS LÄN</t>
        </is>
      </c>
      <c r="G83" t="inlineStr">
        <is>
          <t>EKSJÖ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44701</v>
      </c>
      <c r="E84" s="1" t="n">
        <v>46305</v>
      </c>
      <c r="F84" t="inlineStr">
        <is>
          <t>JÖNKÖPINGS LÄN</t>
        </is>
      </c>
      <c r="G84" t="inlineStr">
        <is>
          <t>EKSJÖ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44748</v>
      </c>
      <c r="E85" s="1" t="n">
        <v>46305</v>
      </c>
      <c r="F85" t="inlineStr">
        <is>
          <t>JÖNKÖPINGS LÄN</t>
        </is>
      </c>
      <c r="G85" t="inlineStr">
        <is>
          <t>EKSJÖ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46305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46305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46305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46305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46305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46305</v>
      </c>
      <c r="F91" t="inlineStr">
        <is>
          <t>JÖNKÖPINGS LÄN</t>
        </is>
      </c>
      <c r="G91" t="inlineStr">
        <is>
          <t>EKSJÖ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46305</v>
      </c>
      <c r="F92" t="inlineStr">
        <is>
          <t>JÖNKÖPINGS LÄN</t>
        </is>
      </c>
      <c r="G92" t="inlineStr">
        <is>
          <t>EKSJÖ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46305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46305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46305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46305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46305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46305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46305</v>
      </c>
      <c r="F99" t="inlineStr">
        <is>
          <t>JÖNKÖPINGS LÄN</t>
        </is>
      </c>
      <c r="G99" t="inlineStr">
        <is>
          <t>EKSJÖ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46305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46305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46305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45659</v>
      </c>
      <c r="E103" s="1" t="n">
        <v>46305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45762</v>
      </c>
      <c r="E104" s="1" t="n">
        <v>46305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46305</v>
      </c>
      <c r="F105" t="inlineStr">
        <is>
          <t>JÖNKÖPINGS LÄN</t>
        </is>
      </c>
      <c r="G105" t="inlineStr">
        <is>
          <t>EKSJÖ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46305</v>
      </c>
      <c r="F106" t="inlineStr">
        <is>
          <t>JÖNKÖPINGS LÄN</t>
        </is>
      </c>
      <c r="G106" t="inlineStr">
        <is>
          <t>EKSJÖ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46305</v>
      </c>
      <c r="F107" t="inlineStr">
        <is>
          <t>JÖNKÖPINGS LÄN</t>
        </is>
      </c>
      <c r="G107" t="inlineStr">
        <is>
          <t>EKSJÖ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46305</v>
      </c>
      <c r="F108" t="inlineStr">
        <is>
          <t>JÖNKÖPINGS LÄN</t>
        </is>
      </c>
      <c r="G108" t="inlineStr">
        <is>
          <t>EKSJÖ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46305</v>
      </c>
      <c r="F109" t="inlineStr">
        <is>
          <t>JÖNKÖPINGS LÄN</t>
        </is>
      </c>
      <c r="G109" t="inlineStr">
        <is>
          <t>EKSJÖ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45370</v>
      </c>
      <c r="E110" s="1" t="n">
        <v>46305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46305</v>
      </c>
      <c r="F111" t="inlineStr">
        <is>
          <t>JÖNKÖPINGS LÄN</t>
        </is>
      </c>
      <c r="G111" t="inlineStr">
        <is>
          <t>EKSJÖ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46305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45075</v>
      </c>
      <c r="E113" s="1" t="n">
        <v>46305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46305</v>
      </c>
      <c r="F114" t="inlineStr">
        <is>
          <t>JÖNKÖPINGS LÄN</t>
        </is>
      </c>
      <c r="G114" t="inlineStr">
        <is>
          <t>EKSJÖ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45152</v>
      </c>
      <c r="E115" s="1" t="n">
        <v>46305</v>
      </c>
      <c r="F115" t="inlineStr">
        <is>
          <t>JÖNKÖPINGS LÄN</t>
        </is>
      </c>
      <c r="G115" t="inlineStr">
        <is>
          <t>EKSJÖ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44925</v>
      </c>
      <c r="E116" s="1" t="n">
        <v>46305</v>
      </c>
      <c r="F116" t="inlineStr">
        <is>
          <t>JÖNKÖPINGS LÄN</t>
        </is>
      </c>
      <c r="G116" t="inlineStr">
        <is>
          <t>EKSJÖ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46305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46305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46305</v>
      </c>
      <c r="F119" t="inlineStr">
        <is>
          <t>JÖNKÖPINGS LÄN</t>
        </is>
      </c>
      <c r="G119" t="inlineStr">
        <is>
          <t>EKSJÖ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46305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46305</v>
      </c>
      <c r="F121" t="inlineStr">
        <is>
          <t>JÖNKÖPINGS LÄN</t>
        </is>
      </c>
      <c r="G121" t="inlineStr">
        <is>
          <t>EKSJÖ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44940</v>
      </c>
      <c r="E122" s="1" t="n">
        <v>46305</v>
      </c>
      <c r="F122" t="inlineStr">
        <is>
          <t>JÖNKÖPINGS LÄN</t>
        </is>
      </c>
      <c r="G122" t="inlineStr">
        <is>
          <t>EKSJÖ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46305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46305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46305</v>
      </c>
      <c r="F125" t="inlineStr">
        <is>
          <t>JÖNKÖPINGS LÄN</t>
        </is>
      </c>
      <c r="G125" t="inlineStr">
        <is>
          <t>EKSJÖ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45214</v>
      </c>
      <c r="E126" s="1" t="n">
        <v>46305</v>
      </c>
      <c r="F126" t="inlineStr">
        <is>
          <t>JÖNKÖPINGS LÄN</t>
        </is>
      </c>
      <c r="G126" t="inlineStr">
        <is>
          <t>EKSJÖ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46305</v>
      </c>
      <c r="F127" t="inlineStr">
        <is>
          <t>JÖNKÖPINGS LÄN</t>
        </is>
      </c>
      <c r="G127" t="inlineStr">
        <is>
          <t>EKSJÖ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44834</v>
      </c>
      <c r="E128" s="1" t="n">
        <v>46305</v>
      </c>
      <c r="F128" t="inlineStr">
        <is>
          <t>JÖNKÖPINGS LÄN</t>
        </is>
      </c>
      <c r="G128" t="inlineStr">
        <is>
          <t>EKSJÖ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46305</v>
      </c>
      <c r="F129" t="inlineStr">
        <is>
          <t>JÖNKÖPINGS LÄN</t>
        </is>
      </c>
      <c r="G129" t="inlineStr">
        <is>
          <t>EKSJÖ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46305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46305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46305</v>
      </c>
      <c r="F132" t="inlineStr">
        <is>
          <t>JÖNKÖPINGS LÄN</t>
        </is>
      </c>
      <c r="G132" t="inlineStr">
        <is>
          <t>EKSJÖ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46305</v>
      </c>
      <c r="F133" t="inlineStr">
        <is>
          <t>JÖNKÖPINGS LÄN</t>
        </is>
      </c>
      <c r="G133" t="inlineStr">
        <is>
          <t>EKSJÖ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46305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45649</v>
      </c>
      <c r="E135" s="1" t="n">
        <v>46305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46305</v>
      </c>
      <c r="F136" t="inlineStr">
        <is>
          <t>JÖNKÖPINGS LÄN</t>
        </is>
      </c>
      <c r="G136" t="inlineStr">
        <is>
          <t>EKSJÖ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45370</v>
      </c>
      <c r="E137" s="1" t="n">
        <v>46305</v>
      </c>
      <c r="F137" t="inlineStr">
        <is>
          <t>JÖNKÖPINGS LÄN</t>
        </is>
      </c>
      <c r="G137" t="inlineStr">
        <is>
          <t>EKSJÖ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34772-2023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45141</v>
      </c>
      <c r="E138" s="1" t="n">
        <v>46305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46305</v>
      </c>
      <c r="F139" t="inlineStr">
        <is>
          <t>JÖNKÖPINGS LÄN</t>
        </is>
      </c>
      <c r="G139" t="inlineStr">
        <is>
          <t>EKSJÖ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46305</v>
      </c>
      <c r="F140" t="inlineStr">
        <is>
          <t>JÖNKÖPINGS LÄN</t>
        </is>
      </c>
      <c r="G140" t="inlineStr">
        <is>
          <t>EKSJÖ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46305</v>
      </c>
      <c r="F141" t="inlineStr">
        <is>
          <t>JÖNKÖPINGS LÄN</t>
        </is>
      </c>
      <c r="G141" t="inlineStr">
        <is>
          <t>EKSJÖ</t>
        </is>
      </c>
      <c r="H141" t="inlineStr">
        <is>
          <t>Kyrkan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45054</v>
      </c>
      <c r="E142" s="1" t="n">
        <v>46305</v>
      </c>
      <c r="F142" t="inlineStr">
        <is>
          <t>JÖNKÖPINGS LÄN</t>
        </is>
      </c>
      <c r="G142" t="inlineStr">
        <is>
          <t>EKSJÖ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46305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46305</v>
      </c>
      <c r="F144" t="inlineStr">
        <is>
          <t>JÖNKÖPINGS LÄN</t>
        </is>
      </c>
      <c r="G144" t="inlineStr">
        <is>
          <t>EKSJÖ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44953</v>
      </c>
      <c r="E145" s="1" t="n">
        <v>46305</v>
      </c>
      <c r="F145" t="inlineStr">
        <is>
          <t>JÖNKÖPINGS LÄN</t>
        </is>
      </c>
      <c r="G145" t="inlineStr">
        <is>
          <t>EKSJÖ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46305</v>
      </c>
      <c r="F146" t="inlineStr">
        <is>
          <t>JÖNKÖPINGS LÄN</t>
        </is>
      </c>
      <c r="G146" t="inlineStr">
        <is>
          <t>EKSJÖ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46305</v>
      </c>
      <c r="F147" t="inlineStr">
        <is>
          <t>JÖNKÖPINGS LÄN</t>
        </is>
      </c>
      <c r="G147" t="inlineStr">
        <is>
          <t>EKSJÖ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46305</v>
      </c>
      <c r="F148" t="inlineStr">
        <is>
          <t>JÖNKÖPINGS LÄN</t>
        </is>
      </c>
      <c r="G148" t="inlineStr">
        <is>
          <t>EKSJÖ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46305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46305</v>
      </c>
      <c r="F150" t="inlineStr">
        <is>
          <t>JÖNKÖPINGS LÄN</t>
        </is>
      </c>
      <c r="G150" t="inlineStr">
        <is>
          <t>EKSJÖ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44803</v>
      </c>
      <c r="E151" s="1" t="n">
        <v>46305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46305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46305</v>
      </c>
      <c r="F153" t="inlineStr">
        <is>
          <t>JÖNKÖPINGS LÄN</t>
        </is>
      </c>
      <c r="G153" t="inlineStr">
        <is>
          <t>EKSJÖ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46305</v>
      </c>
      <c r="F154" t="inlineStr">
        <is>
          <t>JÖNKÖPINGS LÄN</t>
        </is>
      </c>
      <c r="G154" t="inlineStr">
        <is>
          <t>EKSJÖ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46305</v>
      </c>
      <c r="F155" t="inlineStr">
        <is>
          <t>JÖNKÖPINGS LÄN</t>
        </is>
      </c>
      <c r="G155" t="inlineStr">
        <is>
          <t>EKSJÖ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46305</v>
      </c>
      <c r="F156" t="inlineStr">
        <is>
          <t>JÖNKÖPINGS LÄN</t>
        </is>
      </c>
      <c r="G156" t="inlineStr">
        <is>
          <t>EKSJÖ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45232</v>
      </c>
      <c r="E157" s="1" t="n">
        <v>46305</v>
      </c>
      <c r="F157" t="inlineStr">
        <is>
          <t>JÖNKÖPINGS LÄN</t>
        </is>
      </c>
      <c r="G157" t="inlineStr">
        <is>
          <t>EKSJÖ</t>
        </is>
      </c>
      <c r="I157" t="n">
        <v>18.3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45533</v>
      </c>
      <c r="E158" s="1" t="n">
        <v>46305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46305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46305</v>
      </c>
      <c r="F160" t="inlineStr">
        <is>
          <t>JÖNKÖPINGS LÄN</t>
        </is>
      </c>
      <c r="G160" t="inlineStr">
        <is>
          <t>EKSJÖ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46305</v>
      </c>
      <c r="F161" t="inlineStr">
        <is>
          <t>JÖNKÖPINGS LÄN</t>
        </is>
      </c>
      <c r="G161" t="inlineStr">
        <is>
          <t>EKSJÖ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46305</v>
      </c>
      <c r="F162" t="inlineStr">
        <is>
          <t>JÖNKÖPINGS LÄN</t>
        </is>
      </c>
      <c r="G162" t="inlineStr">
        <is>
          <t>EKSJÖ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46305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46305</v>
      </c>
      <c r="F164" t="inlineStr">
        <is>
          <t>JÖNKÖPINGS LÄN</t>
        </is>
      </c>
      <c r="G164" t="inlineStr">
        <is>
          <t>EKSJÖ</t>
        </is>
      </c>
      <c r="H164" t="inlineStr">
        <is>
          <t>Övriga Aktiebolag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46305</v>
      </c>
      <c r="F165" t="inlineStr">
        <is>
          <t>JÖNKÖPINGS LÄN</t>
        </is>
      </c>
      <c r="G165" t="inlineStr">
        <is>
          <t>EKSJÖ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45837</v>
      </c>
      <c r="E166" s="1" t="n">
        <v>46305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45154</v>
      </c>
      <c r="E167" s="1" t="n">
        <v>46305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46305</v>
      </c>
      <c r="F168" t="inlineStr">
        <is>
          <t>JÖNKÖPINGS LÄN</t>
        </is>
      </c>
      <c r="G168" t="inlineStr">
        <is>
          <t>EKSJÖ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46305</v>
      </c>
      <c r="F169" t="inlineStr">
        <is>
          <t>JÖNKÖPINGS LÄN</t>
        </is>
      </c>
      <c r="G169" t="inlineStr">
        <is>
          <t>EKSJÖ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46305</v>
      </c>
      <c r="F170" t="inlineStr">
        <is>
          <t>JÖNKÖPINGS LÄN</t>
        </is>
      </c>
      <c r="G170" t="inlineStr">
        <is>
          <t>EKSJÖ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45617</v>
      </c>
      <c r="E171" s="1" t="n">
        <v>46305</v>
      </c>
      <c r="F171" t="inlineStr">
        <is>
          <t>JÖNKÖPINGS LÄN</t>
        </is>
      </c>
      <c r="G171" t="inlineStr">
        <is>
          <t>EKSJÖ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46305</v>
      </c>
      <c r="F172" t="inlineStr">
        <is>
          <t>JÖNKÖPINGS LÄN</t>
        </is>
      </c>
      <c r="G172" t="inlineStr">
        <is>
          <t>EKSJÖ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46305</v>
      </c>
      <c r="F173" t="inlineStr">
        <is>
          <t>JÖNKÖPINGS LÄN</t>
        </is>
      </c>
      <c r="G173" t="inlineStr">
        <is>
          <t>EKSJÖ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46305</v>
      </c>
      <c r="F174" t="inlineStr">
        <is>
          <t>JÖNKÖPINGS LÄN</t>
        </is>
      </c>
      <c r="G174" t="inlineStr">
        <is>
          <t>EKSJÖ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46305</v>
      </c>
      <c r="F175" t="inlineStr">
        <is>
          <t>JÖNKÖPINGS LÄN</t>
        </is>
      </c>
      <c r="G175" t="inlineStr">
        <is>
          <t>EKSJÖ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30931-2023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45113</v>
      </c>
      <c r="E176" s="1" t="n">
        <v>46305</v>
      </c>
      <c r="F176" t="inlineStr">
        <is>
          <t>JÖNKÖPINGS LÄN</t>
        </is>
      </c>
      <c r="G176" t="inlineStr">
        <is>
          <t>EKSJÖ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44580</v>
      </c>
      <c r="E177" s="1" t="n">
        <v>46305</v>
      </c>
      <c r="F177" t="inlineStr">
        <is>
          <t>JÖNKÖPINGS LÄN</t>
        </is>
      </c>
      <c r="G177" t="inlineStr">
        <is>
          <t>EKSJÖ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46305</v>
      </c>
      <c r="F178" t="inlineStr">
        <is>
          <t>JÖNKÖPINGS LÄN</t>
        </is>
      </c>
      <c r="G178" t="inlineStr">
        <is>
          <t>EKSJÖ</t>
        </is>
      </c>
      <c r="H178" t="inlineStr">
        <is>
          <t>Kommuner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46305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46305</v>
      </c>
      <c r="F180" t="inlineStr">
        <is>
          <t>JÖNKÖPINGS LÄN</t>
        </is>
      </c>
      <c r="G180" t="inlineStr">
        <is>
          <t>EKSJÖ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46305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46305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46305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46305</v>
      </c>
      <c r="F184" t="inlineStr">
        <is>
          <t>JÖNKÖPINGS LÄN</t>
        </is>
      </c>
      <c r="G184" t="inlineStr">
        <is>
          <t>EKSJÖ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46305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46305</v>
      </c>
      <c r="F186" t="inlineStr">
        <is>
          <t>JÖNKÖPINGS LÄN</t>
        </is>
      </c>
      <c r="G186" t="inlineStr">
        <is>
          <t>EKSJÖ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46305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46305</v>
      </c>
      <c r="F188" t="inlineStr">
        <is>
          <t>JÖNKÖPINGS LÄN</t>
        </is>
      </c>
      <c r="G188" t="inlineStr">
        <is>
          <t>EKSJÖ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46305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46305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46305</v>
      </c>
      <c r="F191" t="inlineStr">
        <is>
          <t>JÖNKÖPINGS LÄN</t>
        </is>
      </c>
      <c r="G191" t="inlineStr">
        <is>
          <t>EKSJÖ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46305</v>
      </c>
      <c r="F192" t="inlineStr">
        <is>
          <t>JÖNKÖPINGS LÄN</t>
        </is>
      </c>
      <c r="G192" t="inlineStr">
        <is>
          <t>EKSJÖ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46305</v>
      </c>
      <c r="F193" t="inlineStr">
        <is>
          <t>JÖNKÖPINGS LÄN</t>
        </is>
      </c>
      <c r="G193" t="inlineStr">
        <is>
          <t>EKSJÖ</t>
        </is>
      </c>
      <c r="H193" t="inlineStr">
        <is>
          <t>Övriga Aktiebolag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46305</v>
      </c>
      <c r="F194" t="inlineStr">
        <is>
          <t>JÖNKÖPINGS LÄN</t>
        </is>
      </c>
      <c r="G194" t="inlineStr">
        <is>
          <t>EKSJÖ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44861</v>
      </c>
      <c r="E195" s="1" t="n">
        <v>46305</v>
      </c>
      <c r="F195" t="inlineStr">
        <is>
          <t>JÖNKÖPINGS LÄN</t>
        </is>
      </c>
      <c r="G195" t="inlineStr">
        <is>
          <t>EKSJÖ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45485</v>
      </c>
      <c r="E196" s="1" t="n">
        <v>46305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46305</v>
      </c>
      <c r="F197" t="inlineStr">
        <is>
          <t>JÖNKÖPINGS LÄN</t>
        </is>
      </c>
      <c r="G197" t="inlineStr">
        <is>
          <t>EKSJÖ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64419-2021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44511</v>
      </c>
      <c r="E198" s="1" t="n">
        <v>46305</v>
      </c>
      <c r="F198" t="inlineStr">
        <is>
          <t>JÖNKÖPINGS LÄN</t>
        </is>
      </c>
      <c r="G198" t="inlineStr">
        <is>
          <t>EKSJÖ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50287-2024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45600</v>
      </c>
      <c r="E199" s="1" t="n">
        <v>46305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19469-2025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45770</v>
      </c>
      <c r="E200" s="1" t="n">
        <v>46305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46305</v>
      </c>
      <c r="F201" t="inlineStr">
        <is>
          <t>JÖNKÖPINGS LÄN</t>
        </is>
      </c>
      <c r="G201" t="inlineStr">
        <is>
          <t>EKSJÖ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45426</v>
      </c>
      <c r="E202" s="1" t="n">
        <v>46305</v>
      </c>
      <c r="F202" t="inlineStr">
        <is>
          <t>JÖNKÖPINGS LÄN</t>
        </is>
      </c>
      <c r="G202" t="inlineStr">
        <is>
          <t>EKSJÖ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45468</v>
      </c>
      <c r="E203" s="1" t="n">
        <v>46305</v>
      </c>
      <c r="F203" t="inlineStr">
        <is>
          <t>JÖNKÖPINGS LÄN</t>
        </is>
      </c>
      <c r="G203" t="inlineStr">
        <is>
          <t>EKSJÖ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46305</v>
      </c>
      <c r="F204" t="inlineStr">
        <is>
          <t>JÖNKÖPINGS LÄN</t>
        </is>
      </c>
      <c r="G204" t="inlineStr">
        <is>
          <t>EKSJÖ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46305</v>
      </c>
      <c r="F205" t="inlineStr">
        <is>
          <t>JÖNKÖPINGS LÄN</t>
        </is>
      </c>
      <c r="G205" t="inlineStr">
        <is>
          <t>EKSJÖ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46305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46305</v>
      </c>
      <c r="F207" t="inlineStr">
        <is>
          <t>JÖNKÖPINGS LÄN</t>
        </is>
      </c>
      <c r="G207" t="inlineStr">
        <is>
          <t>EKSJÖ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45777</v>
      </c>
      <c r="E208" s="1" t="n">
        <v>46305</v>
      </c>
      <c r="F208" t="inlineStr">
        <is>
          <t>JÖNKÖPINGS LÄN</t>
        </is>
      </c>
      <c r="G208" t="inlineStr">
        <is>
          <t>EKSJÖ</t>
        </is>
      </c>
      <c r="H208" t="inlineStr">
        <is>
          <t>Kommuner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46305</v>
      </c>
      <c r="F209" t="inlineStr">
        <is>
          <t>JÖNKÖPINGS LÄN</t>
        </is>
      </c>
      <c r="G209" t="inlineStr">
        <is>
          <t>EKSJÖ</t>
        </is>
      </c>
      <c r="H209" t="inlineStr">
        <is>
          <t>Kommuner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46305</v>
      </c>
      <c r="F210" t="inlineStr">
        <is>
          <t>JÖNKÖPINGS LÄN</t>
        </is>
      </c>
      <c r="G210" t="inlineStr">
        <is>
          <t>EKSJÖ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46305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46305</v>
      </c>
      <c r="F212" t="inlineStr">
        <is>
          <t>JÖNKÖPINGS LÄN</t>
        </is>
      </c>
      <c r="G212" t="inlineStr">
        <is>
          <t>EKSJÖ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46305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46305</v>
      </c>
      <c r="F214" t="inlineStr">
        <is>
          <t>JÖNKÖPINGS LÄN</t>
        </is>
      </c>
      <c r="G214" t="inlineStr">
        <is>
          <t>EKSJÖ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45779</v>
      </c>
      <c r="E215" s="1" t="n">
        <v>46305</v>
      </c>
      <c r="F215" t="inlineStr">
        <is>
          <t>JÖNKÖPINGS LÄN</t>
        </is>
      </c>
      <c r="G215" t="inlineStr">
        <is>
          <t>EKSJÖ</t>
        </is>
      </c>
      <c r="H215" t="inlineStr">
        <is>
          <t>Kommuner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46305</v>
      </c>
      <c r="F216" t="inlineStr">
        <is>
          <t>JÖNKÖPINGS LÄN</t>
        </is>
      </c>
      <c r="G216" t="inlineStr">
        <is>
          <t>EKSJÖ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44526-2025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45916</v>
      </c>
      <c r="E217" s="1" t="n">
        <v>46305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46305</v>
      </c>
      <c r="F218" t="inlineStr">
        <is>
          <t>JÖNKÖPINGS LÄN</t>
        </is>
      </c>
      <c r="G218" t="inlineStr">
        <is>
          <t>EKSJÖ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46305</v>
      </c>
      <c r="F219" t="inlineStr">
        <is>
          <t>JÖNKÖPINGS LÄN</t>
        </is>
      </c>
      <c r="G219" t="inlineStr">
        <is>
          <t>EKSJÖ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44609</v>
      </c>
      <c r="E220" s="1" t="n">
        <v>46305</v>
      </c>
      <c r="F220" t="inlineStr">
        <is>
          <t>JÖNKÖPINGS LÄN</t>
        </is>
      </c>
      <c r="G220" t="inlineStr">
        <is>
          <t>EKSJÖ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46305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46305</v>
      </c>
      <c r="F222" t="inlineStr">
        <is>
          <t>JÖNKÖPINGS LÄN</t>
        </is>
      </c>
      <c r="G222" t="inlineStr">
        <is>
          <t>EKSJÖ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46305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46305</v>
      </c>
      <c r="F224" t="inlineStr">
        <is>
          <t>JÖNKÖPINGS LÄN</t>
        </is>
      </c>
      <c r="G224" t="inlineStr">
        <is>
          <t>EKSJÖ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46305</v>
      </c>
      <c r="F225" t="inlineStr">
        <is>
          <t>JÖNKÖPINGS LÄN</t>
        </is>
      </c>
      <c r="G225" t="inlineStr">
        <is>
          <t>EKSJÖ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45175</v>
      </c>
      <c r="E226" s="1" t="n">
        <v>46305</v>
      </c>
      <c r="F226" t="inlineStr">
        <is>
          <t>JÖNKÖPINGS LÄN</t>
        </is>
      </c>
      <c r="G226" t="inlineStr">
        <is>
          <t>EKSJÖ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46305</v>
      </c>
      <c r="F227" t="inlineStr">
        <is>
          <t>JÖNKÖPINGS LÄN</t>
        </is>
      </c>
      <c r="G227" t="inlineStr">
        <is>
          <t>EKSJÖ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46305</v>
      </c>
      <c r="F228" t="inlineStr">
        <is>
          <t>JÖNKÖPINGS LÄN</t>
        </is>
      </c>
      <c r="G228" t="inlineStr">
        <is>
          <t>EKSJÖ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46305</v>
      </c>
      <c r="F229" t="inlineStr">
        <is>
          <t>JÖNKÖPINGS LÄN</t>
        </is>
      </c>
      <c r="G229" t="inlineStr">
        <is>
          <t>EKSJÖ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45786</v>
      </c>
      <c r="E230" s="1" t="n">
        <v>46305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46305</v>
      </c>
      <c r="F231" t="inlineStr">
        <is>
          <t>JÖNKÖPINGS LÄN</t>
        </is>
      </c>
      <c r="G231" t="inlineStr">
        <is>
          <t>EKSJÖ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44574</v>
      </c>
      <c r="E232" s="1" t="n">
        <v>46305</v>
      </c>
      <c r="F232" t="inlineStr">
        <is>
          <t>JÖNKÖPINGS LÄN</t>
        </is>
      </c>
      <c r="G232" t="inlineStr">
        <is>
          <t>EKSJÖ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45402</v>
      </c>
      <c r="E233" s="1" t="n">
        <v>46305</v>
      </c>
      <c r="F233" t="inlineStr">
        <is>
          <t>JÖNKÖPINGS LÄN</t>
        </is>
      </c>
      <c r="G233" t="inlineStr">
        <is>
          <t>EKSJÖ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45635</v>
      </c>
      <c r="E234" s="1" t="n">
        <v>46305</v>
      </c>
      <c r="F234" t="inlineStr">
        <is>
          <t>JÖNKÖPINGS LÄN</t>
        </is>
      </c>
      <c r="G234" t="inlineStr">
        <is>
          <t>EKSJÖ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46305</v>
      </c>
      <c r="F235" t="inlineStr">
        <is>
          <t>JÖNKÖPINGS LÄN</t>
        </is>
      </c>
      <c r="G235" t="inlineStr">
        <is>
          <t>EKSJÖ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22987-2025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45790</v>
      </c>
      <c r="E236" s="1" t="n">
        <v>46305</v>
      </c>
      <c r="F236" t="inlineStr">
        <is>
          <t>JÖNKÖPINGS LÄN</t>
        </is>
      </c>
      <c r="G236" t="inlineStr">
        <is>
          <t>EKSJÖ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46305</v>
      </c>
      <c r="F237" t="inlineStr">
        <is>
          <t>JÖNKÖPINGS LÄN</t>
        </is>
      </c>
      <c r="G237" t="inlineStr">
        <is>
          <t>EKSJÖ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46305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46305</v>
      </c>
      <c r="F239" t="inlineStr">
        <is>
          <t>JÖNKÖPINGS LÄN</t>
        </is>
      </c>
      <c r="G239" t="inlineStr">
        <is>
          <t>EKSJÖ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45513</v>
      </c>
      <c r="E240" s="1" t="n">
        <v>46305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46305</v>
      </c>
      <c r="F241" t="inlineStr">
        <is>
          <t>JÖNKÖPINGS LÄN</t>
        </is>
      </c>
      <c r="G241" t="inlineStr">
        <is>
          <t>EKSJÖ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45523</v>
      </c>
      <c r="E242" s="1" t="n">
        <v>46305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12399-2023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44999</v>
      </c>
      <c r="E243" s="1" t="n">
        <v>46305</v>
      </c>
      <c r="F243" t="inlineStr">
        <is>
          <t>JÖNKÖPINGS LÄN</t>
        </is>
      </c>
      <c r="G243" t="inlineStr">
        <is>
          <t>EKSJÖ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12409-2023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46305</v>
      </c>
      <c r="F244" t="inlineStr">
        <is>
          <t>JÖNKÖPINGS LÄN</t>
        </is>
      </c>
      <c r="G244" t="inlineStr">
        <is>
          <t>EKSJÖ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46305</v>
      </c>
      <c r="F245" t="inlineStr">
        <is>
          <t>JÖNKÖPINGS LÄN</t>
        </is>
      </c>
      <c r="G245" t="inlineStr">
        <is>
          <t>EKSJÖ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46305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46305</v>
      </c>
      <c r="F247" t="inlineStr">
        <is>
          <t>JÖNKÖPINGS LÄN</t>
        </is>
      </c>
      <c r="G247" t="inlineStr">
        <is>
          <t>EKSJÖ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46305</v>
      </c>
      <c r="F248" t="inlineStr">
        <is>
          <t>JÖNKÖPINGS LÄN</t>
        </is>
      </c>
      <c r="G248" t="inlineStr">
        <is>
          <t>EKSJÖ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44888</v>
      </c>
      <c r="E249" s="1" t="n">
        <v>46305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46305</v>
      </c>
      <c r="F250" t="inlineStr">
        <is>
          <t>JÖNKÖPINGS LÄN</t>
        </is>
      </c>
      <c r="G250" t="inlineStr">
        <is>
          <t>EKSJÖ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46305</v>
      </c>
      <c r="F251" t="inlineStr">
        <is>
          <t>JÖNKÖPINGS LÄN</t>
        </is>
      </c>
      <c r="G251" t="inlineStr">
        <is>
          <t>EKSJÖ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46305</v>
      </c>
      <c r="F252" t="inlineStr">
        <is>
          <t>JÖNKÖPINGS LÄN</t>
        </is>
      </c>
      <c r="G252" t="inlineStr">
        <is>
          <t>EKSJÖ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46305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46305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46305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46305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45345</v>
      </c>
      <c r="E257" s="1" t="n">
        <v>46305</v>
      </c>
      <c r="F257" t="inlineStr">
        <is>
          <t>JÖNKÖPINGS LÄN</t>
        </is>
      </c>
      <c r="G257" t="inlineStr">
        <is>
          <t>EKSJÖ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45741</v>
      </c>
      <c r="E258" s="1" t="n">
        <v>46305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46305</v>
      </c>
      <c r="F259" t="inlineStr">
        <is>
          <t>JÖNKÖPINGS LÄN</t>
        </is>
      </c>
      <c r="G259" t="inlineStr">
        <is>
          <t>EKSJÖ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46305</v>
      </c>
      <c r="F260" t="inlineStr">
        <is>
          <t>JÖNKÖPINGS LÄN</t>
        </is>
      </c>
      <c r="G260" t="inlineStr">
        <is>
          <t>EKSJÖ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46305</v>
      </c>
      <c r="F261" t="inlineStr">
        <is>
          <t>JÖNKÖPINGS LÄN</t>
        </is>
      </c>
      <c r="G261" t="inlineStr">
        <is>
          <t>EKSJÖ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14382-2025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45741</v>
      </c>
      <c r="E262" s="1" t="n">
        <v>46305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46305</v>
      </c>
      <c r="F263" t="inlineStr">
        <is>
          <t>JÖNKÖPINGS LÄN</t>
        </is>
      </c>
      <c r="G263" t="inlineStr">
        <is>
          <t>EKSJÖ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44581</v>
      </c>
      <c r="E264" s="1" t="n">
        <v>46305</v>
      </c>
      <c r="F264" t="inlineStr">
        <is>
          <t>JÖNKÖPINGS LÄN</t>
        </is>
      </c>
      <c r="G264" t="inlineStr">
        <is>
          <t>EKSJÖ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46305</v>
      </c>
      <c r="F265" t="inlineStr">
        <is>
          <t>JÖNKÖPINGS LÄN</t>
        </is>
      </c>
      <c r="G265" t="inlineStr">
        <is>
          <t>EKSJÖ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46305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46305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46305</v>
      </c>
      <c r="F268" t="inlineStr">
        <is>
          <t>JÖNKÖPINGS LÄN</t>
        </is>
      </c>
      <c r="G268" t="inlineStr">
        <is>
          <t>EKSJÖ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9058-2022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44615</v>
      </c>
      <c r="E269" s="1" t="n">
        <v>46305</v>
      </c>
      <c r="F269" t="inlineStr">
        <is>
          <t>JÖNKÖPINGS LÄN</t>
        </is>
      </c>
      <c r="G269" t="inlineStr">
        <is>
          <t>EKSJÖ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46305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44623</v>
      </c>
      <c r="E271" s="1" t="n">
        <v>46305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45624</v>
      </c>
      <c r="E272" s="1" t="n">
        <v>46305</v>
      </c>
      <c r="F272" t="inlineStr">
        <is>
          <t>JÖNKÖPINGS LÄN</t>
        </is>
      </c>
      <c r="G272" t="inlineStr">
        <is>
          <t>EKSJÖ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12821-2024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45384</v>
      </c>
      <c r="E273" s="1" t="n">
        <v>46305</v>
      </c>
      <c r="F273" t="inlineStr">
        <is>
          <t>JÖNKÖPINGS LÄN</t>
        </is>
      </c>
      <c r="G273" t="inlineStr">
        <is>
          <t>EKSJÖ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45576</v>
      </c>
      <c r="E274" s="1" t="n">
        <v>46305</v>
      </c>
      <c r="F274" t="inlineStr">
        <is>
          <t>JÖNKÖPINGS LÄN</t>
        </is>
      </c>
      <c r="G274" t="inlineStr">
        <is>
          <t>EKSJÖ</t>
        </is>
      </c>
      <c r="H274" t="inlineStr">
        <is>
          <t>Övriga Aktiebolag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46305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45533</v>
      </c>
      <c r="E276" s="1" t="n">
        <v>46305</v>
      </c>
      <c r="F276" t="inlineStr">
        <is>
          <t>JÖNKÖPINGS LÄN</t>
        </is>
      </c>
      <c r="G276" t="inlineStr">
        <is>
          <t>EKSJÖ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46305</v>
      </c>
      <c r="F277" t="inlineStr">
        <is>
          <t>JÖNKÖPINGS LÄN</t>
        </is>
      </c>
      <c r="G277" t="inlineStr">
        <is>
          <t>EKSJÖ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46305</v>
      </c>
      <c r="F278" t="inlineStr">
        <is>
          <t>JÖNKÖPINGS LÄN</t>
        </is>
      </c>
      <c r="G278" t="inlineStr">
        <is>
          <t>EKSJÖ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44928</v>
      </c>
      <c r="E279" s="1" t="n">
        <v>46305</v>
      </c>
      <c r="F279" t="inlineStr">
        <is>
          <t>JÖNKÖPINGS LÄN</t>
        </is>
      </c>
      <c r="G279" t="inlineStr">
        <is>
          <t>EKSJÖ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46305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46305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46305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46305</v>
      </c>
      <c r="F283" t="inlineStr">
        <is>
          <t>JÖNKÖPINGS LÄN</t>
        </is>
      </c>
      <c r="G283" t="inlineStr">
        <is>
          <t>EKSJÖ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46305</v>
      </c>
      <c r="F284" t="inlineStr">
        <is>
          <t>JÖNKÖPINGS LÄN</t>
        </is>
      </c>
      <c r="G284" t="inlineStr">
        <is>
          <t>EKSJÖ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44701</v>
      </c>
      <c r="E285" s="1" t="n">
        <v>46305</v>
      </c>
      <c r="F285" t="inlineStr">
        <is>
          <t>JÖNKÖPINGS LÄN</t>
        </is>
      </c>
      <c r="G285" t="inlineStr">
        <is>
          <t>EKSJÖ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45677</v>
      </c>
      <c r="E286" s="1" t="n">
        <v>46305</v>
      </c>
      <c r="F286" t="inlineStr">
        <is>
          <t>JÖNKÖPINGS LÄN</t>
        </is>
      </c>
      <c r="G286" t="inlineStr">
        <is>
          <t>EKSJÖ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46305</v>
      </c>
      <c r="F287" t="inlineStr">
        <is>
          <t>JÖNKÖPINGS LÄN</t>
        </is>
      </c>
      <c r="G287" t="inlineStr">
        <is>
          <t>EKSJÖ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46305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44713</v>
      </c>
      <c r="E289" s="1" t="n">
        <v>46305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45463</v>
      </c>
      <c r="E290" s="1" t="n">
        <v>46305</v>
      </c>
      <c r="F290" t="inlineStr">
        <is>
          <t>JÖNKÖPINGS LÄN</t>
        </is>
      </c>
      <c r="G290" t="inlineStr">
        <is>
          <t>EKSJÖ</t>
        </is>
      </c>
      <c r="H290" t="inlineStr">
        <is>
          <t>Övriga Aktiebolag</t>
        </is>
      </c>
      <c r="I290" t="n">
        <v>17.5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46305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46305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45176</v>
      </c>
      <c r="E293" s="1" t="n">
        <v>46305</v>
      </c>
      <c r="F293" t="inlineStr">
        <is>
          <t>JÖNKÖPINGS LÄN</t>
        </is>
      </c>
      <c r="G293" t="inlineStr">
        <is>
          <t>EKSJÖ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46305</v>
      </c>
      <c r="F294" t="inlineStr">
        <is>
          <t>JÖNKÖPINGS LÄN</t>
        </is>
      </c>
      <c r="G294" t="inlineStr">
        <is>
          <t>EKSJÖ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46305</v>
      </c>
      <c r="F295" t="inlineStr">
        <is>
          <t>JÖNKÖPINGS LÄN</t>
        </is>
      </c>
      <c r="G295" t="inlineStr">
        <is>
          <t>EKSJÖ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45231</v>
      </c>
      <c r="E296" s="1" t="n">
        <v>46305</v>
      </c>
      <c r="F296" t="inlineStr">
        <is>
          <t>JÖNKÖPINGS LÄN</t>
        </is>
      </c>
      <c r="G296" t="inlineStr">
        <is>
          <t>EKSJÖ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50289-2025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46305</v>
      </c>
      <c r="F297" t="inlineStr">
        <is>
          <t>JÖNKÖPINGS LÄN</t>
        </is>
      </c>
      <c r="G297" t="inlineStr">
        <is>
          <t>EKSJÖ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46305</v>
      </c>
      <c r="F298" t="inlineStr">
        <is>
          <t>JÖNKÖPINGS LÄN</t>
        </is>
      </c>
      <c r="G298" t="inlineStr">
        <is>
          <t>EKSJÖ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45076</v>
      </c>
      <c r="E299" s="1" t="n">
        <v>46305</v>
      </c>
      <c r="F299" t="inlineStr">
        <is>
          <t>JÖNKÖPINGS LÄN</t>
        </is>
      </c>
      <c r="G299" t="inlineStr">
        <is>
          <t>EKSJÖ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46305</v>
      </c>
      <c r="F300" t="inlineStr">
        <is>
          <t>JÖNKÖPINGS LÄN</t>
        </is>
      </c>
      <c r="G300" t="inlineStr">
        <is>
          <t>EKSJÖ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44803</v>
      </c>
      <c r="E301" s="1" t="n">
        <v>46305</v>
      </c>
      <c r="F301" t="inlineStr">
        <is>
          <t>JÖNKÖPINGS LÄN</t>
        </is>
      </c>
      <c r="G301" t="inlineStr">
        <is>
          <t>EKSJÖ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46305</v>
      </c>
      <c r="F302" t="inlineStr">
        <is>
          <t>JÖNKÖPINGS LÄN</t>
        </is>
      </c>
      <c r="G302" t="inlineStr">
        <is>
          <t>EKSJÖ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46305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44909</v>
      </c>
      <c r="E304" s="1" t="n">
        <v>46305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54292-2023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45232</v>
      </c>
      <c r="E305" s="1" t="n">
        <v>46305</v>
      </c>
      <c r="F305" t="inlineStr">
        <is>
          <t>JÖNKÖPINGS LÄN</t>
        </is>
      </c>
      <c r="G305" t="inlineStr">
        <is>
          <t>EKSJÖ</t>
        </is>
      </c>
      <c r="I305" t="n">
        <v>18.3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45161</v>
      </c>
      <c r="E306" s="1" t="n">
        <v>46305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46305</v>
      </c>
      <c r="F307" t="inlineStr">
        <is>
          <t>JÖNKÖPINGS LÄN</t>
        </is>
      </c>
      <c r="G307" t="inlineStr">
        <is>
          <t>EKSJÖ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45628</v>
      </c>
      <c r="E308" s="1" t="n">
        <v>46305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18062-2024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46305</v>
      </c>
      <c r="F309" t="inlineStr">
        <is>
          <t>JÖNKÖPINGS LÄN</t>
        </is>
      </c>
      <c r="G309" t="inlineStr">
        <is>
          <t>EKSJÖ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45819</v>
      </c>
      <c r="E310" s="1" t="n">
        <v>46305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46305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45826</v>
      </c>
      <c r="E312" s="1" t="n">
        <v>46305</v>
      </c>
      <c r="F312" t="inlineStr">
        <is>
          <t>JÖNKÖPINGS LÄN</t>
        </is>
      </c>
      <c r="G312" t="inlineStr">
        <is>
          <t>EKSJÖ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45223</v>
      </c>
      <c r="E313" s="1" t="n">
        <v>46305</v>
      </c>
      <c r="F313" t="inlineStr">
        <is>
          <t>JÖNKÖPINGS LÄN</t>
        </is>
      </c>
      <c r="G313" t="inlineStr">
        <is>
          <t>EKSJÖ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45666</v>
      </c>
      <c r="E314" s="1" t="n">
        <v>46305</v>
      </c>
      <c r="F314" t="inlineStr">
        <is>
          <t>JÖNKÖPINGS LÄN</t>
        </is>
      </c>
      <c r="G314" t="inlineStr">
        <is>
          <t>EKSJÖ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46305</v>
      </c>
      <c r="F315" t="inlineStr">
        <is>
          <t>JÖNKÖPINGS LÄN</t>
        </is>
      </c>
      <c r="G315" t="inlineStr">
        <is>
          <t>EKSJÖ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45523</v>
      </c>
      <c r="E316" s="1" t="n">
        <v>46305</v>
      </c>
      <c r="F316" t="inlineStr">
        <is>
          <t>JÖNKÖPINGS LÄN</t>
        </is>
      </c>
      <c r="G316" t="inlineStr">
        <is>
          <t>EKSJÖ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46305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46305</v>
      </c>
      <c r="F318" t="inlineStr">
        <is>
          <t>JÖNKÖPINGS LÄN</t>
        </is>
      </c>
      <c r="G318" t="inlineStr">
        <is>
          <t>EKSJÖ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46305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46305</v>
      </c>
      <c r="F320" t="inlineStr">
        <is>
          <t>JÖNKÖPINGS LÄN</t>
        </is>
      </c>
      <c r="G320" t="inlineStr">
        <is>
          <t>EKSJÖ</t>
        </is>
      </c>
      <c r="H320" t="inlineStr">
        <is>
          <t>Kyrkan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46305</v>
      </c>
      <c r="F321" t="inlineStr">
        <is>
          <t>JÖNKÖPINGS LÄN</t>
        </is>
      </c>
      <c r="G321" t="inlineStr">
        <is>
          <t>EKSJÖ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46305</v>
      </c>
      <c r="F322" t="inlineStr">
        <is>
          <t>JÖNKÖPINGS LÄN</t>
        </is>
      </c>
      <c r="G322" t="inlineStr">
        <is>
          <t>EKSJÖ</t>
        </is>
      </c>
      <c r="H322" t="inlineStr">
        <is>
          <t>Kyrkan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13273-2023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45003</v>
      </c>
      <c r="E323" s="1" t="n">
        <v>46305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45175</v>
      </c>
      <c r="E324" s="1" t="n">
        <v>46305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46305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45680</v>
      </c>
      <c r="E326" s="1" t="n">
        <v>46305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45560</v>
      </c>
      <c r="E327" s="1" t="n">
        <v>46305</v>
      </c>
      <c r="F327" t="inlineStr">
        <is>
          <t>JÖNKÖPINGS LÄN</t>
        </is>
      </c>
      <c r="G327" t="inlineStr">
        <is>
          <t>EKSJÖ</t>
        </is>
      </c>
      <c r="H327" t="inlineStr">
        <is>
          <t>Kyrkan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44719</v>
      </c>
      <c r="E328" s="1" t="n">
        <v>46305</v>
      </c>
      <c r="F328" t="inlineStr">
        <is>
          <t>JÖNKÖPINGS LÄN</t>
        </is>
      </c>
      <c r="G328" t="inlineStr">
        <is>
          <t>EKSJÖ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46305</v>
      </c>
      <c r="F329" t="inlineStr">
        <is>
          <t>JÖNKÖPINGS LÄN</t>
        </is>
      </c>
      <c r="G329" t="inlineStr">
        <is>
          <t>EKSJÖ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18324-2022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44685</v>
      </c>
      <c r="E330" s="1" t="n">
        <v>46305</v>
      </c>
      <c r="F330" t="inlineStr">
        <is>
          <t>JÖNKÖPINGS LÄN</t>
        </is>
      </c>
      <c r="G330" t="inlineStr">
        <is>
          <t>EKSJÖ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46305</v>
      </c>
      <c r="F331" t="inlineStr">
        <is>
          <t>JÖNKÖPINGS LÄN</t>
        </is>
      </c>
      <c r="G331" t="inlineStr">
        <is>
          <t>EKSJÖ</t>
        </is>
      </c>
      <c r="H331" t="inlineStr">
        <is>
          <t>Övriga Aktiebolag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46305</v>
      </c>
      <c r="F332" t="inlineStr">
        <is>
          <t>JÖNKÖPINGS LÄN</t>
        </is>
      </c>
      <c r="G332" t="inlineStr">
        <is>
          <t>EKSJÖ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46305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27082-2023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45096</v>
      </c>
      <c r="E334" s="1" t="n">
        <v>46305</v>
      </c>
      <c r="F334" t="inlineStr">
        <is>
          <t>JÖNKÖPINGS LÄN</t>
        </is>
      </c>
      <c r="G334" t="inlineStr">
        <is>
          <t>EKSJÖ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46305</v>
      </c>
      <c r="F335" t="inlineStr">
        <is>
          <t>JÖNKÖPINGS LÄN</t>
        </is>
      </c>
      <c r="G335" t="inlineStr">
        <is>
          <t>EKSJÖ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59905-2022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44908</v>
      </c>
      <c r="E336" s="1" t="n">
        <v>46305</v>
      </c>
      <c r="F336" t="inlineStr">
        <is>
          <t>JÖNKÖPINGS LÄN</t>
        </is>
      </c>
      <c r="G336" t="inlineStr">
        <is>
          <t>EKSJÖ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46305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45841</v>
      </c>
      <c r="E338" s="1" t="n">
        <v>46305</v>
      </c>
      <c r="F338" t="inlineStr">
        <is>
          <t>JÖNKÖPINGS LÄN</t>
        </is>
      </c>
      <c r="G338" t="inlineStr">
        <is>
          <t>EKSJÖ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46305</v>
      </c>
      <c r="F339" t="inlineStr">
        <is>
          <t>JÖNKÖPINGS LÄN</t>
        </is>
      </c>
      <c r="G339" t="inlineStr">
        <is>
          <t>EKSJÖ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46305</v>
      </c>
      <c r="F340" t="inlineStr">
        <is>
          <t>JÖNKÖPINGS LÄN</t>
        </is>
      </c>
      <c r="G340" t="inlineStr">
        <is>
          <t>EKSJÖ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46305</v>
      </c>
      <c r="F341" t="inlineStr">
        <is>
          <t>JÖNKÖPINGS LÄN</t>
        </is>
      </c>
      <c r="G341" t="inlineStr">
        <is>
          <t>EKSJÖ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45972</v>
      </c>
      <c r="E342" s="1" t="n">
        <v>46305</v>
      </c>
      <c r="F342" t="inlineStr">
        <is>
          <t>JÖNKÖPINGS LÄN</t>
        </is>
      </c>
      <c r="G342" t="inlineStr">
        <is>
          <t>EKSJÖ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46305</v>
      </c>
      <c r="F343" t="inlineStr">
        <is>
          <t>JÖNKÖPINGS LÄN</t>
        </is>
      </c>
      <c r="G343" t="inlineStr">
        <is>
          <t>EKSJÖ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46305</v>
      </c>
      <c r="F344" t="inlineStr">
        <is>
          <t>JÖNKÖPINGS LÄN</t>
        </is>
      </c>
      <c r="G344" t="inlineStr">
        <is>
          <t>EKSJÖ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46305</v>
      </c>
      <c r="F345" t="inlineStr">
        <is>
          <t>JÖNKÖPINGS LÄN</t>
        </is>
      </c>
      <c r="G345" t="inlineStr">
        <is>
          <t>EKSJÖ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46305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45239</v>
      </c>
      <c r="E347" s="1" t="n">
        <v>46305</v>
      </c>
      <c r="F347" t="inlineStr">
        <is>
          <t>JÖNKÖPINGS LÄN</t>
        </is>
      </c>
      <c r="G347" t="inlineStr">
        <is>
          <t>EKSJÖ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57868-2024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46305</v>
      </c>
      <c r="F348" t="inlineStr">
        <is>
          <t>JÖNKÖPINGS LÄN</t>
        </is>
      </c>
      <c r="G348" t="inlineStr">
        <is>
          <t>EKSJÖ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46305</v>
      </c>
      <c r="F349" t="inlineStr">
        <is>
          <t>JÖNKÖPINGS LÄN</t>
        </is>
      </c>
      <c r="G349" t="inlineStr">
        <is>
          <t>EKSJÖ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46305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45695</v>
      </c>
      <c r="E351" s="1" t="n">
        <v>46305</v>
      </c>
      <c r="F351" t="inlineStr">
        <is>
          <t>JÖNKÖPINGS LÄN</t>
        </is>
      </c>
      <c r="G351" t="inlineStr">
        <is>
          <t>EKSJÖ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46305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46305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46305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46305</v>
      </c>
      <c r="F355" t="inlineStr">
        <is>
          <t>JÖNKÖPINGS LÄN</t>
        </is>
      </c>
      <c r="G355" t="inlineStr">
        <is>
          <t>EKSJÖ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46305</v>
      </c>
      <c r="F356" t="inlineStr">
        <is>
          <t>JÖNKÖPINGS LÄN</t>
        </is>
      </c>
      <c r="G356" t="inlineStr">
        <is>
          <t>EKSJÖ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44783</v>
      </c>
      <c r="E357" s="1" t="n">
        <v>46305</v>
      </c>
      <c r="F357" t="inlineStr">
        <is>
          <t>JÖNKÖPINGS LÄN</t>
        </is>
      </c>
      <c r="G357" t="inlineStr">
        <is>
          <t>EKSJÖ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45328</v>
      </c>
      <c r="E358" s="1" t="n">
        <v>46305</v>
      </c>
      <c r="F358" t="inlineStr">
        <is>
          <t>JÖNKÖPINGS LÄN</t>
        </is>
      </c>
      <c r="G358" t="inlineStr">
        <is>
          <t>EKSJÖ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45328</v>
      </c>
      <c r="E359" s="1" t="n">
        <v>46305</v>
      </c>
      <c r="F359" t="inlineStr">
        <is>
          <t>JÖNKÖPINGS LÄN</t>
        </is>
      </c>
      <c r="G359" t="inlineStr">
        <is>
          <t>EKSJÖ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47390-2022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44853</v>
      </c>
      <c r="E360" s="1" t="n">
        <v>46305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46305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45461</v>
      </c>
      <c r="E362" s="1" t="n">
        <v>46305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45860</v>
      </c>
      <c r="E363" s="1" t="n">
        <v>46305</v>
      </c>
      <c r="F363" t="inlineStr">
        <is>
          <t>JÖNKÖPINGS LÄN</t>
        </is>
      </c>
      <c r="G363" t="inlineStr">
        <is>
          <t>EKSJÖ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45860</v>
      </c>
      <c r="E364" s="1" t="n">
        <v>46305</v>
      </c>
      <c r="F364" t="inlineStr">
        <is>
          <t>JÖNKÖPINGS LÄN</t>
        </is>
      </c>
      <c r="G364" t="inlineStr">
        <is>
          <t>EKSJÖ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46305</v>
      </c>
      <c r="F365" t="inlineStr">
        <is>
          <t>JÖNKÖPINGS LÄN</t>
        </is>
      </c>
      <c r="G365" t="inlineStr">
        <is>
          <t>EKSJÖ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46305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44746</v>
      </c>
      <c r="E367" s="1" t="n">
        <v>46305</v>
      </c>
      <c r="F367" t="inlineStr">
        <is>
          <t>JÖNKÖPINGS LÄN</t>
        </is>
      </c>
      <c r="G367" t="inlineStr">
        <is>
          <t>EKSJÖ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56491-2025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46305</v>
      </c>
      <c r="F368" t="inlineStr">
        <is>
          <t>JÖNKÖPINGS LÄN</t>
        </is>
      </c>
      <c r="G368" t="inlineStr">
        <is>
          <t>EKSJÖ</t>
        </is>
      </c>
      <c r="H368" t="inlineStr">
        <is>
          <t>Kyrkan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45866</v>
      </c>
      <c r="E369" s="1" t="n">
        <v>46305</v>
      </c>
      <c r="F369" t="inlineStr">
        <is>
          <t>JÖNKÖPINGS LÄN</t>
        </is>
      </c>
      <c r="G369" t="inlineStr">
        <is>
          <t>EKSJÖ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46305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41744-2023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45176</v>
      </c>
      <c r="E371" s="1" t="n">
        <v>46305</v>
      </c>
      <c r="F371" t="inlineStr">
        <is>
          <t>JÖNKÖPINGS LÄN</t>
        </is>
      </c>
      <c r="G371" t="inlineStr">
        <is>
          <t>EKSJÖ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45485</v>
      </c>
      <c r="E372" s="1" t="n">
        <v>46305</v>
      </c>
      <c r="F372" t="inlineStr">
        <is>
          <t>JÖNKÖPINGS LÄN</t>
        </is>
      </c>
      <c r="G372" t="inlineStr">
        <is>
          <t>EKSJÖ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44888</v>
      </c>
      <c r="E373" s="1" t="n">
        <v>46305</v>
      </c>
      <c r="F373" t="inlineStr">
        <is>
          <t>JÖNKÖPINGS LÄN</t>
        </is>
      </c>
      <c r="G373" t="inlineStr">
        <is>
          <t>EKSJÖ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46305</v>
      </c>
      <c r="F374" t="inlineStr">
        <is>
          <t>JÖNKÖPINGS LÄN</t>
        </is>
      </c>
      <c r="G374" t="inlineStr">
        <is>
          <t>EKSJÖ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38199-2023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45161</v>
      </c>
      <c r="E375" s="1" t="n">
        <v>46305</v>
      </c>
      <c r="F375" t="inlineStr">
        <is>
          <t>JÖNKÖPINGS LÄN</t>
        </is>
      </c>
      <c r="G375" t="inlineStr">
        <is>
          <t>EKSJÖ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46305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45237</v>
      </c>
      <c r="E377" s="1" t="n">
        <v>46305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59734-2022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46305</v>
      </c>
      <c r="F378" t="inlineStr">
        <is>
          <t>JÖNKÖPINGS LÄN</t>
        </is>
      </c>
      <c r="G378" t="inlineStr">
        <is>
          <t>EKSJÖ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46305</v>
      </c>
      <c r="F379" t="inlineStr">
        <is>
          <t>JÖNKÖPINGS LÄN</t>
        </is>
      </c>
      <c r="G379" t="inlineStr">
        <is>
          <t>EKSJÖ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46305</v>
      </c>
      <c r="F380" t="inlineStr">
        <is>
          <t>JÖNKÖPINGS LÄN</t>
        </is>
      </c>
      <c r="G380" t="inlineStr">
        <is>
          <t>EKSJÖ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44813</v>
      </c>
      <c r="E381" s="1" t="n">
        <v>46305</v>
      </c>
      <c r="F381" t="inlineStr">
        <is>
          <t>JÖNKÖPINGS LÄN</t>
        </is>
      </c>
      <c r="G381" t="inlineStr">
        <is>
          <t>EKSJÖ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46305</v>
      </c>
      <c r="F382" t="inlineStr">
        <is>
          <t>JÖNKÖPINGS LÄN</t>
        </is>
      </c>
      <c r="G382" t="inlineStr">
        <is>
          <t>EKSJÖ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46305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45715</v>
      </c>
      <c r="E384" s="1" t="n">
        <v>46305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46305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45875</v>
      </c>
      <c r="E386" s="1" t="n">
        <v>46305</v>
      </c>
      <c r="F386" t="inlineStr">
        <is>
          <t>JÖNKÖPINGS LÄN</t>
        </is>
      </c>
      <c r="G386" t="inlineStr">
        <is>
          <t>EKSJÖ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46305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46305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46013-2022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44846</v>
      </c>
      <c r="E389" s="1" t="n">
        <v>46305</v>
      </c>
      <c r="F389" t="inlineStr">
        <is>
          <t>JÖNKÖPINGS LÄN</t>
        </is>
      </c>
      <c r="G389" t="inlineStr">
        <is>
          <t>EKSJÖ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46014-2022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44846</v>
      </c>
      <c r="E390" s="1" t="n">
        <v>46305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45819</v>
      </c>
      <c r="E391" s="1" t="n">
        <v>46305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45358</v>
      </c>
      <c r="E392" s="1" t="n">
        <v>46305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46305</v>
      </c>
      <c r="F393" t="inlineStr">
        <is>
          <t>JÖNKÖPINGS LÄN</t>
        </is>
      </c>
      <c r="G393" t="inlineStr">
        <is>
          <t>EKSJÖ</t>
        </is>
      </c>
      <c r="H393" t="inlineStr">
        <is>
          <t>Övriga Aktiebolag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46305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45008</v>
      </c>
      <c r="E395" s="1" t="n">
        <v>46305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57802-2025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45981</v>
      </c>
      <c r="E396" s="1" t="n">
        <v>46305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45762</v>
      </c>
      <c r="E397" s="1" t="n">
        <v>46305</v>
      </c>
      <c r="F397" t="inlineStr">
        <is>
          <t>JÖNKÖPINGS LÄN</t>
        </is>
      </c>
      <c r="G397" t="inlineStr">
        <is>
          <t>EKSJÖ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46305</v>
      </c>
      <c r="F398" t="inlineStr">
        <is>
          <t>JÖNKÖPINGS LÄN</t>
        </is>
      </c>
      <c r="G398" t="inlineStr">
        <is>
          <t>EKSJÖ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46305</v>
      </c>
      <c r="F399" t="inlineStr">
        <is>
          <t>JÖNKÖPINGS LÄN</t>
        </is>
      </c>
      <c r="G399" t="inlineStr">
        <is>
          <t>EKSJÖ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45334</v>
      </c>
      <c r="E400" s="1" t="n">
        <v>46305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44630</v>
      </c>
      <c r="E401" s="1" t="n">
        <v>46305</v>
      </c>
      <c r="F401" t="inlineStr">
        <is>
          <t>JÖNKÖPINGS LÄN</t>
        </is>
      </c>
      <c r="G401" t="inlineStr">
        <is>
          <t>EKSJÖ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46305</v>
      </c>
      <c r="F402" t="inlineStr">
        <is>
          <t>JÖNKÖPINGS LÄN</t>
        </is>
      </c>
      <c r="G402" t="inlineStr">
        <is>
          <t>EKSJÖ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46305</v>
      </c>
      <c r="F403" t="inlineStr">
        <is>
          <t>JÖNKÖPINGS LÄN</t>
        </is>
      </c>
      <c r="G403" t="inlineStr">
        <is>
          <t>EKSJÖ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50275-2023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45209</v>
      </c>
      <c r="E404" s="1" t="n">
        <v>46305</v>
      </c>
      <c r="F404" t="inlineStr">
        <is>
          <t>JÖNKÖPINGS LÄN</t>
        </is>
      </c>
      <c r="G404" t="inlineStr">
        <is>
          <t>EKSJÖ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47204-2022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44851</v>
      </c>
      <c r="E405" s="1" t="n">
        <v>46305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46305</v>
      </c>
      <c r="F406" t="inlineStr">
        <is>
          <t>JÖNKÖPINGS LÄN</t>
        </is>
      </c>
      <c r="G406" t="inlineStr">
        <is>
          <t>EKSJÖ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45197</v>
      </c>
      <c r="E407" s="1" t="n">
        <v>46305</v>
      </c>
      <c r="F407" t="inlineStr">
        <is>
          <t>JÖNKÖPINGS LÄN</t>
        </is>
      </c>
      <c r="G407" t="inlineStr">
        <is>
          <t>EKSJÖ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45173</v>
      </c>
      <c r="E408" s="1" t="n">
        <v>46305</v>
      </c>
      <c r="F408" t="inlineStr">
        <is>
          <t>JÖNKÖPINGS LÄN</t>
        </is>
      </c>
      <c r="G408" t="inlineStr">
        <is>
          <t>EKSJÖ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46305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46305</v>
      </c>
      <c r="F410" t="inlineStr">
        <is>
          <t>JÖNKÖPINGS LÄN</t>
        </is>
      </c>
      <c r="G410" t="inlineStr">
        <is>
          <t>EKSJÖ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46305</v>
      </c>
      <c r="F411" t="inlineStr">
        <is>
          <t>JÖNKÖPINGS LÄN</t>
        </is>
      </c>
      <c r="G411" t="inlineStr">
        <is>
          <t>EKSJÖ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45072</v>
      </c>
      <c r="E412" s="1" t="n">
        <v>46305</v>
      </c>
      <c r="F412" t="inlineStr">
        <is>
          <t>JÖNKÖPINGS LÄN</t>
        </is>
      </c>
      <c r="G412" t="inlineStr">
        <is>
          <t>EKSJÖ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46305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46305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46305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46305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15754-2026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46305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45418</v>
      </c>
      <c r="E418" s="1" t="n">
        <v>46305</v>
      </c>
      <c r="F418" t="inlineStr">
        <is>
          <t>JÖNKÖPINGS LÄN</t>
        </is>
      </c>
      <c r="G418" t="inlineStr">
        <is>
          <t>EKSJÖ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46305</v>
      </c>
      <c r="F419" t="inlineStr">
        <is>
          <t>JÖNKÖPINGS LÄN</t>
        </is>
      </c>
      <c r="G419" t="inlineStr">
        <is>
          <t>EKSJÖ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46305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46305</v>
      </c>
      <c r="F421" t="inlineStr">
        <is>
          <t>JÖNKÖPINGS LÄN</t>
        </is>
      </c>
      <c r="G421" t="inlineStr">
        <is>
          <t>EKSJÖ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46305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46577-2022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44848</v>
      </c>
      <c r="E423" s="1" t="n">
        <v>46305</v>
      </c>
      <c r="F423" t="inlineStr">
        <is>
          <t>JÖNKÖPINGS LÄN</t>
        </is>
      </c>
      <c r="G423" t="inlineStr">
        <is>
          <t>EKSJÖ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45741</v>
      </c>
      <c r="E424" s="1" t="n">
        <v>46305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22670-2023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45071</v>
      </c>
      <c r="E425" s="1" t="n">
        <v>46305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45532</v>
      </c>
      <c r="E426" s="1" t="n">
        <v>46305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46305</v>
      </c>
      <c r="F427" t="inlineStr">
        <is>
          <t>JÖNKÖPINGS LÄN</t>
        </is>
      </c>
      <c r="G427" t="inlineStr">
        <is>
          <t>EKSJÖ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46305</v>
      </c>
      <c r="F428" t="inlineStr">
        <is>
          <t>JÖNKÖPINGS LÄN</t>
        </is>
      </c>
      <c r="G428" t="inlineStr">
        <is>
          <t>EKSJÖ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46305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45992</v>
      </c>
      <c r="E430" s="1" t="n">
        <v>46305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46305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45991</v>
      </c>
      <c r="E432" s="1" t="n">
        <v>46305</v>
      </c>
      <c r="F432" t="inlineStr">
        <is>
          <t>JÖNKÖPINGS LÄN</t>
        </is>
      </c>
      <c r="G432" t="inlineStr">
        <is>
          <t>EKSJÖ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46305</v>
      </c>
      <c r="F433" t="inlineStr">
        <is>
          <t>JÖNKÖPINGS LÄN</t>
        </is>
      </c>
      <c r="G433" t="inlineStr">
        <is>
          <t>EKSJÖ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46305</v>
      </c>
      <c r="F434" t="inlineStr">
        <is>
          <t>JÖNKÖPINGS LÄN</t>
        </is>
      </c>
      <c r="G434" t="inlineStr">
        <is>
          <t>EKSJÖ</t>
        </is>
      </c>
      <c r="H434" t="inlineStr">
        <is>
          <t>Övriga Aktiebolag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46305</v>
      </c>
      <c r="F435" t="inlineStr">
        <is>
          <t>JÖNKÖPINGS LÄN</t>
        </is>
      </c>
      <c r="G435" t="inlineStr">
        <is>
          <t>EKSJÖ</t>
        </is>
      </c>
      <c r="H435" t="inlineStr">
        <is>
          <t>Övriga Aktiebolag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46305</v>
      </c>
      <c r="F436" t="inlineStr">
        <is>
          <t>JÖNKÖPINGS LÄN</t>
        </is>
      </c>
      <c r="G436" t="inlineStr">
        <is>
          <t>EKSJÖ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46305</v>
      </c>
      <c r="F437" t="inlineStr">
        <is>
          <t>JÖNKÖPINGS LÄN</t>
        </is>
      </c>
      <c r="G437" t="inlineStr">
        <is>
          <t>EKSJÖ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45741</v>
      </c>
      <c r="E438" s="1" t="n">
        <v>46305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45391</v>
      </c>
      <c r="E439" s="1" t="n">
        <v>46305</v>
      </c>
      <c r="F439" t="inlineStr">
        <is>
          <t>JÖNKÖPINGS LÄN</t>
        </is>
      </c>
      <c r="G439" t="inlineStr">
        <is>
          <t>EKSJÖ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46305</v>
      </c>
      <c r="F440" t="inlineStr">
        <is>
          <t>JÖNKÖPINGS LÄN</t>
        </is>
      </c>
      <c r="G440" t="inlineStr">
        <is>
          <t>EKSJÖ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45576</v>
      </c>
      <c r="E441" s="1" t="n">
        <v>46305</v>
      </c>
      <c r="F441" t="inlineStr">
        <is>
          <t>JÖNKÖPINGS LÄN</t>
        </is>
      </c>
      <c r="G441" t="inlineStr">
        <is>
          <t>EKSJÖ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46305</v>
      </c>
      <c r="F442" t="inlineStr">
        <is>
          <t>JÖNKÖPINGS LÄN</t>
        </is>
      </c>
      <c r="G442" t="inlineStr">
        <is>
          <t>EKSJÖ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44739</v>
      </c>
      <c r="E443" s="1" t="n">
        <v>46305</v>
      </c>
      <c r="F443" t="inlineStr">
        <is>
          <t>JÖNKÖPINGS LÄN</t>
        </is>
      </c>
      <c r="G443" t="inlineStr">
        <is>
          <t>EKSJÖ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71313-2021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46305</v>
      </c>
      <c r="F444" t="inlineStr">
        <is>
          <t>JÖNKÖPINGS LÄN</t>
        </is>
      </c>
      <c r="G444" t="inlineStr">
        <is>
          <t>EKSJÖ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45628</v>
      </c>
      <c r="E445" s="1" t="n">
        <v>46305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46305</v>
      </c>
      <c r="F446" t="inlineStr">
        <is>
          <t>JÖNKÖPINGS LÄN</t>
        </is>
      </c>
      <c r="G446" t="inlineStr">
        <is>
          <t>EKSJÖ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44939</v>
      </c>
      <c r="E447" s="1" t="n">
        <v>46305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38102-2025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45882</v>
      </c>
      <c r="E448" s="1" t="n">
        <v>46305</v>
      </c>
      <c r="F448" t="inlineStr">
        <is>
          <t>JÖNKÖPINGS LÄN</t>
        </is>
      </c>
      <c r="G448" t="inlineStr">
        <is>
          <t>EKSJÖ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45758</v>
      </c>
      <c r="E449" s="1" t="n">
        <v>46305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45086</v>
      </c>
      <c r="E450" s="1" t="n">
        <v>46305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45091</v>
      </c>
      <c r="E451" s="1" t="n">
        <v>46305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45894</v>
      </c>
      <c r="E452" s="1" t="n">
        <v>46305</v>
      </c>
      <c r="F452" t="inlineStr">
        <is>
          <t>JÖNKÖPINGS LÄN</t>
        </is>
      </c>
      <c r="G452" t="inlineStr">
        <is>
          <t>EKSJÖ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62892-2025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46305</v>
      </c>
      <c r="F453" t="inlineStr">
        <is>
          <t>JÖNKÖPINGS LÄN</t>
        </is>
      </c>
      <c r="G453" t="inlineStr">
        <is>
          <t>EKSJÖ</t>
        </is>
      </c>
      <c r="H453" t="inlineStr">
        <is>
          <t>Kommuner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46305</v>
      </c>
      <c r="F454" t="inlineStr">
        <is>
          <t>JÖNKÖPINGS LÄN</t>
        </is>
      </c>
      <c r="G454" t="inlineStr">
        <is>
          <t>EKSJÖ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46305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63643-2025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46014</v>
      </c>
      <c r="E456" s="1" t="n">
        <v>46305</v>
      </c>
      <c r="F456" t="inlineStr">
        <is>
          <t>JÖNKÖPINGS LÄN</t>
        </is>
      </c>
      <c r="G456" t="inlineStr">
        <is>
          <t>EKSJÖ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46305</v>
      </c>
      <c r="F457" t="inlineStr">
        <is>
          <t>JÖNKÖPINGS LÄN</t>
        </is>
      </c>
      <c r="G457" t="inlineStr">
        <is>
          <t>EKSJÖ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45051</v>
      </c>
      <c r="E458" s="1" t="n">
        <v>46305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44789</v>
      </c>
      <c r="E459" s="1" t="n">
        <v>46305</v>
      </c>
      <c r="F459" t="inlineStr">
        <is>
          <t>JÖNKÖPINGS LÄN</t>
        </is>
      </c>
      <c r="G459" t="inlineStr">
        <is>
          <t>EKSJÖ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17030-2024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45411</v>
      </c>
      <c r="E460" s="1" t="n">
        <v>46305</v>
      </c>
      <c r="F460" t="inlineStr">
        <is>
          <t>JÖNKÖPINGS LÄN</t>
        </is>
      </c>
      <c r="G460" t="inlineStr">
        <is>
          <t>EKSJÖ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46305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45086</v>
      </c>
      <c r="E462" s="1" t="n">
        <v>46305</v>
      </c>
      <c r="F462" t="inlineStr">
        <is>
          <t>JÖNKÖPINGS LÄN</t>
        </is>
      </c>
      <c r="G462" t="inlineStr">
        <is>
          <t>EKSJÖ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44925</v>
      </c>
      <c r="E463" s="1" t="n">
        <v>46305</v>
      </c>
      <c r="F463" t="inlineStr">
        <is>
          <t>JÖNKÖPINGS LÄN</t>
        </is>
      </c>
      <c r="G463" t="inlineStr">
        <is>
          <t>EKSJÖ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45251</v>
      </c>
      <c r="E464" s="1" t="n">
        <v>46305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46034</v>
      </c>
      <c r="E465" s="1" t="n">
        <v>46305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46305</v>
      </c>
      <c r="F466" t="inlineStr">
        <is>
          <t>JÖNKÖPINGS LÄN</t>
        </is>
      </c>
      <c r="G466" t="inlineStr">
        <is>
          <t>EKSJÖ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45078</v>
      </c>
      <c r="E467" s="1" t="n">
        <v>46305</v>
      </c>
      <c r="F467" t="inlineStr">
        <is>
          <t>JÖNKÖPINGS LÄN</t>
        </is>
      </c>
      <c r="G467" t="inlineStr">
        <is>
          <t>EKSJÖ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46305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46305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65554-2021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46305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28276-2025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46305</v>
      </c>
      <c r="F471" t="inlineStr">
        <is>
          <t>JÖNKÖPINGS LÄN</t>
        </is>
      </c>
      <c r="G471" t="inlineStr">
        <is>
          <t>EKSJÖ</t>
        </is>
      </c>
      <c r="H471" t="inlineStr">
        <is>
          <t>Övriga Aktiebolag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46305</v>
      </c>
      <c r="F472" t="inlineStr">
        <is>
          <t>JÖNKÖPINGS LÄN</t>
        </is>
      </c>
      <c r="G472" t="inlineStr">
        <is>
          <t>EKSJÖ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46305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46305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46305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46305</v>
      </c>
      <c r="F476" t="inlineStr">
        <is>
          <t>JÖNKÖPINGS LÄN</t>
        </is>
      </c>
      <c r="G476" t="inlineStr">
        <is>
          <t>EKSJÖ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46037</v>
      </c>
      <c r="E477" s="1" t="n">
        <v>46305</v>
      </c>
      <c r="F477" t="inlineStr">
        <is>
          <t>JÖNKÖPINGS LÄN</t>
        </is>
      </c>
      <c r="G477" t="inlineStr">
        <is>
          <t>EKSJÖ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44746</v>
      </c>
      <c r="E478" s="1" t="n">
        <v>46305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32333-2022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44781</v>
      </c>
      <c r="E479" s="1" t="n">
        <v>46305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44781</v>
      </c>
      <c r="E480" s="1" t="n">
        <v>46305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45337</v>
      </c>
      <c r="E481" s="1" t="n">
        <v>46305</v>
      </c>
      <c r="F481" t="inlineStr">
        <is>
          <t>JÖNKÖPINGS LÄN</t>
        </is>
      </c>
      <c r="G481" t="inlineStr">
        <is>
          <t>EKSJÖ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45680</v>
      </c>
      <c r="E482" s="1" t="n">
        <v>46305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46918-2023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45201</v>
      </c>
      <c r="E483" s="1" t="n">
        <v>46305</v>
      </c>
      <c r="F483" t="inlineStr">
        <is>
          <t>JÖNKÖPINGS LÄN</t>
        </is>
      </c>
      <c r="G483" t="inlineStr">
        <is>
          <t>EKSJÖ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8183-2023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46305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45882</v>
      </c>
      <c r="E485" s="1" t="n">
        <v>46305</v>
      </c>
      <c r="F485" t="inlineStr">
        <is>
          <t>JÖNKÖPINGS LÄN</t>
        </is>
      </c>
      <c r="G485" t="inlineStr">
        <is>
          <t>EKSJÖ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46305</v>
      </c>
      <c r="F486" t="inlineStr">
        <is>
          <t>JÖNKÖPINGS LÄN</t>
        </is>
      </c>
      <c r="G486" t="inlineStr">
        <is>
          <t>EKSJÖ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46305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45281</v>
      </c>
      <c r="E488" s="1" t="n">
        <v>46305</v>
      </c>
      <c r="F488" t="inlineStr">
        <is>
          <t>JÖNKÖPINGS LÄN</t>
        </is>
      </c>
      <c r="G488" t="inlineStr">
        <is>
          <t>EKSJÖ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44949</v>
      </c>
      <c r="E489" s="1" t="n">
        <v>46305</v>
      </c>
      <c r="F489" t="inlineStr">
        <is>
          <t>JÖNKÖPINGS LÄN</t>
        </is>
      </c>
      <c r="G489" t="inlineStr">
        <is>
          <t>EKSJÖ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46305</v>
      </c>
      <c r="F490" t="inlineStr">
        <is>
          <t>JÖNKÖPINGS LÄN</t>
        </is>
      </c>
      <c r="G490" t="inlineStr">
        <is>
          <t>EKSJÖ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46305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46305</v>
      </c>
      <c r="F492" t="inlineStr">
        <is>
          <t>JÖNKÖPINGS LÄN</t>
        </is>
      </c>
      <c r="G492" t="inlineStr">
        <is>
          <t>EKSJÖ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45057</v>
      </c>
      <c r="E493" s="1" t="n">
        <v>46305</v>
      </c>
      <c r="F493" t="inlineStr">
        <is>
          <t>JÖNKÖPINGS LÄN</t>
        </is>
      </c>
      <c r="G493" t="inlineStr">
        <is>
          <t>EKSJÖ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46305</v>
      </c>
      <c r="F494" t="inlineStr">
        <is>
          <t>JÖNKÖPINGS LÄN</t>
        </is>
      </c>
      <c r="G494" t="inlineStr">
        <is>
          <t>EKSJÖ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46305</v>
      </c>
      <c r="F495" t="inlineStr">
        <is>
          <t>JÖNKÖPINGS LÄN</t>
        </is>
      </c>
      <c r="G495" t="inlineStr">
        <is>
          <t>EKSJÖ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64993-2023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45286</v>
      </c>
      <c r="E496" s="1" t="n">
        <v>46305</v>
      </c>
      <c r="F496" t="inlineStr">
        <is>
          <t>JÖNKÖPINGS LÄN</t>
        </is>
      </c>
      <c r="G496" t="inlineStr">
        <is>
          <t>EKSJÖ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46305</v>
      </c>
      <c r="F497" t="inlineStr">
        <is>
          <t>JÖNKÖPINGS LÄN</t>
        </is>
      </c>
      <c r="G497" t="inlineStr">
        <is>
          <t>EKSJÖ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44991</v>
      </c>
      <c r="E498" s="1" t="n">
        <v>46305</v>
      </c>
      <c r="F498" t="inlineStr">
        <is>
          <t>JÖNKÖPINGS LÄN</t>
        </is>
      </c>
      <c r="G498" t="inlineStr">
        <is>
          <t>EKSJÖ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46305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46305</v>
      </c>
      <c r="F500" t="inlineStr">
        <is>
          <t>JÖNKÖPINGS LÄN</t>
        </is>
      </c>
      <c r="G500" t="inlineStr">
        <is>
          <t>EKSJÖ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46305</v>
      </c>
      <c r="F501" t="inlineStr">
        <is>
          <t>JÖNKÖPINGS LÄN</t>
        </is>
      </c>
      <c r="G501" t="inlineStr">
        <is>
          <t>EKSJÖ</t>
        </is>
      </c>
      <c r="H501" t="inlineStr">
        <is>
          <t>Kommuner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63439-2025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46305</v>
      </c>
      <c r="F502" t="inlineStr">
        <is>
          <t>JÖNKÖPINGS LÄN</t>
        </is>
      </c>
      <c r="G502" t="inlineStr">
        <is>
          <t>EKSJÖ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46037</v>
      </c>
      <c r="E503" s="1" t="n">
        <v>46305</v>
      </c>
      <c r="F503" t="inlineStr">
        <is>
          <t>JÖNKÖPINGS LÄN</t>
        </is>
      </c>
      <c r="G503" t="inlineStr">
        <is>
          <t>EKSJÖ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60920-2025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45996</v>
      </c>
      <c r="E504" s="1" t="n">
        <v>46305</v>
      </c>
      <c r="F504" t="inlineStr">
        <is>
          <t>JÖNKÖPINGS LÄN</t>
        </is>
      </c>
      <c r="G504" t="inlineStr">
        <is>
          <t>EKSJÖ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46305</v>
      </c>
      <c r="F505" t="inlineStr">
        <is>
          <t>JÖNKÖPINGS LÄN</t>
        </is>
      </c>
      <c r="G505" t="inlineStr">
        <is>
          <t>EKSJÖ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23533-2026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46305</v>
      </c>
      <c r="F506" t="inlineStr">
        <is>
          <t>JÖNKÖPINGS LÄN</t>
        </is>
      </c>
      <c r="G506" t="inlineStr">
        <is>
          <t>EKSJÖ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46305</v>
      </c>
      <c r="F507" t="inlineStr">
        <is>
          <t>JÖNKÖPINGS LÄN</t>
        </is>
      </c>
      <c r="G507" t="inlineStr">
        <is>
          <t>EKSJÖ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46305</v>
      </c>
      <c r="F508" t="inlineStr">
        <is>
          <t>JÖNKÖPINGS LÄN</t>
        </is>
      </c>
      <c r="G508" t="inlineStr">
        <is>
          <t>EKSJÖ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23451-2026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46305</v>
      </c>
      <c r="F509" t="inlineStr">
        <is>
          <t>JÖNKÖPINGS LÄN</t>
        </is>
      </c>
      <c r="G509" t="inlineStr">
        <is>
          <t>EKSJÖ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46305</v>
      </c>
      <c r="F510" t="inlineStr">
        <is>
          <t>JÖNKÖPINGS LÄN</t>
        </is>
      </c>
      <c r="G510" t="inlineStr">
        <is>
          <t>EKSJÖ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46305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46305</v>
      </c>
      <c r="F512" t="inlineStr">
        <is>
          <t>JÖNKÖPINGS LÄN</t>
        </is>
      </c>
      <c r="G512" t="inlineStr">
        <is>
          <t>EKSJÖ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44293-2025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45916</v>
      </c>
      <c r="E513" s="1" t="n">
        <v>46305</v>
      </c>
      <c r="F513" t="inlineStr">
        <is>
          <t>JÖNKÖPINGS LÄN</t>
        </is>
      </c>
      <c r="G513" t="inlineStr">
        <is>
          <t>EKSJÖ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46305</v>
      </c>
      <c r="F514" t="inlineStr">
        <is>
          <t>JÖNKÖPINGS LÄN</t>
        </is>
      </c>
      <c r="G514" t="inlineStr">
        <is>
          <t>EKSJÖ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46305</v>
      </c>
      <c r="F515" t="inlineStr">
        <is>
          <t>JÖNKÖPINGS LÄN</t>
        </is>
      </c>
      <c r="G515" t="inlineStr">
        <is>
          <t>EKSJÖ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46305</v>
      </c>
      <c r="F516" t="inlineStr">
        <is>
          <t>JÖNKÖPINGS LÄN</t>
        </is>
      </c>
      <c r="G516" t="inlineStr">
        <is>
          <t>EKSJÖ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46305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25654-2026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46305</v>
      </c>
      <c r="F518" t="inlineStr">
        <is>
          <t>JÖNKÖPINGS LÄN</t>
        </is>
      </c>
      <c r="G518" t="inlineStr">
        <is>
          <t>EKSJÖ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46305</v>
      </c>
      <c r="F519" t="inlineStr">
        <is>
          <t>JÖNKÖPINGS LÄN</t>
        </is>
      </c>
      <c r="G519" t="inlineStr">
        <is>
          <t>EKSJÖ</t>
        </is>
      </c>
      <c r="H519" t="inlineStr">
        <is>
          <t>Kyrkan</t>
        </is>
      </c>
      <c r="I519" t="n">
        <v>15.2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26644-2026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46184</v>
      </c>
      <c r="E520" s="1" t="n">
        <v>46305</v>
      </c>
      <c r="F520" t="inlineStr">
        <is>
          <t>JÖNKÖPINGS LÄN</t>
        </is>
      </c>
      <c r="G520" t="inlineStr">
        <is>
          <t>EKSJÖ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46305</v>
      </c>
      <c r="F521" t="inlineStr">
        <is>
          <t>JÖNKÖPINGS LÄN</t>
        </is>
      </c>
      <c r="G521" t="inlineStr">
        <is>
          <t>EKSJÖ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46184</v>
      </c>
      <c r="E522" s="1" t="n">
        <v>46305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46184</v>
      </c>
      <c r="E523" s="1" t="n">
        <v>46305</v>
      </c>
      <c r="F523" t="inlineStr">
        <is>
          <t>JÖNKÖPINGS LÄN</t>
        </is>
      </c>
      <c r="G523" t="inlineStr">
        <is>
          <t>EKSJÖ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46305</v>
      </c>
      <c r="F524" t="inlineStr">
        <is>
          <t>JÖNKÖPINGS LÄN</t>
        </is>
      </c>
      <c r="G524" t="inlineStr">
        <is>
          <t>EKSJÖ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28402-2026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46197</v>
      </c>
      <c r="E525" s="1" t="n">
        <v>46305</v>
      </c>
      <c r="F525" t="inlineStr">
        <is>
          <t>JÖNKÖPINGS LÄN</t>
        </is>
      </c>
      <c r="G525" t="inlineStr">
        <is>
          <t>EKSJÖ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46197</v>
      </c>
      <c r="E526" s="1" t="n">
        <v>46305</v>
      </c>
      <c r="F526" t="inlineStr">
        <is>
          <t>JÖNKÖPINGS LÄN</t>
        </is>
      </c>
      <c r="G526" t="inlineStr">
        <is>
          <t>EKSJÖ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46305</v>
      </c>
      <c r="F527" t="inlineStr">
        <is>
          <t>JÖNKÖPINGS LÄN</t>
        </is>
      </c>
      <c r="G527" t="inlineStr">
        <is>
          <t>EKSJÖ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46305</v>
      </c>
      <c r="F528" t="inlineStr">
        <is>
          <t>JÖNKÖPINGS LÄN</t>
        </is>
      </c>
      <c r="G528" t="inlineStr">
        <is>
          <t>EKSJÖ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46305</v>
      </c>
      <c r="F529" t="inlineStr">
        <is>
          <t>JÖNKÖPINGS LÄN</t>
        </is>
      </c>
      <c r="G529" t="inlineStr">
        <is>
          <t>EKSJÖ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46305</v>
      </c>
      <c r="F530" t="inlineStr">
        <is>
          <t>JÖNKÖPINGS LÄN</t>
        </is>
      </c>
      <c r="G530" t="inlineStr">
        <is>
          <t>EKSJÖ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46305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46305</v>
      </c>
      <c r="F532" t="inlineStr">
        <is>
          <t>JÖNKÖPINGS LÄN</t>
        </is>
      </c>
      <c r="G532" t="inlineStr">
        <is>
          <t>EKSJÖ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46305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46305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31332-2026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46305</v>
      </c>
      <c r="F535" t="inlineStr">
        <is>
          <t>JÖNKÖPINGS LÄN</t>
        </is>
      </c>
      <c r="G535" t="inlineStr">
        <is>
          <t>EKSJÖ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46305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19497-2025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45770</v>
      </c>
      <c r="E537" s="1" t="n">
        <v>46305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46305</v>
      </c>
      <c r="F538" t="inlineStr">
        <is>
          <t>JÖNKÖPINGS LÄN</t>
        </is>
      </c>
      <c r="G538" t="inlineStr">
        <is>
          <t>EKSJÖ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46273</v>
      </c>
      <c r="E539" s="1" t="n">
        <v>46305</v>
      </c>
      <c r="F539" t="inlineStr">
        <is>
          <t>JÖNKÖPINGS LÄN</t>
        </is>
      </c>
      <c r="G539" t="inlineStr">
        <is>
          <t>EKSJÖ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46305</v>
      </c>
      <c r="F540" t="inlineStr">
        <is>
          <t>JÖNKÖPINGS LÄN</t>
        </is>
      </c>
      <c r="G540" t="inlineStr">
        <is>
          <t>EKSJÖ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38207-2026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46281</v>
      </c>
      <c r="E541" s="1" t="n">
        <v>46305</v>
      </c>
      <c r="F541" t="inlineStr">
        <is>
          <t>JÖNKÖPINGS LÄN</t>
        </is>
      </c>
      <c r="G541" t="inlineStr">
        <is>
          <t>EKSJÖ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46305</v>
      </c>
      <c r="F542" t="inlineStr">
        <is>
          <t>JÖNKÖPINGS LÄN</t>
        </is>
      </c>
      <c r="G542" t="inlineStr">
        <is>
          <t>EKSJÖ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46281</v>
      </c>
      <c r="E543" s="1" t="n">
        <v>46305</v>
      </c>
      <c r="F543" t="inlineStr">
        <is>
          <t>JÖNKÖPINGS LÄN</t>
        </is>
      </c>
      <c r="G543" t="inlineStr">
        <is>
          <t>EKSJÖ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46305</v>
      </c>
      <c r="F544" t="inlineStr">
        <is>
          <t>JÖNKÖPINGS LÄN</t>
        </is>
      </c>
      <c r="G544" t="inlineStr">
        <is>
          <t>EKSJÖ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46305</v>
      </c>
      <c r="F545" t="inlineStr">
        <is>
          <t>JÖNKÖPINGS LÄN</t>
        </is>
      </c>
      <c r="G545" t="inlineStr">
        <is>
          <t>EKSJÖ</t>
        </is>
      </c>
      <c r="I545" t="n">
        <v>7.1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46305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33453-2026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46305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46247</v>
      </c>
      <c r="E548" s="1" t="n">
        <v>46305</v>
      </c>
      <c r="F548" t="inlineStr">
        <is>
          <t>JÖNKÖPINGS LÄN</t>
        </is>
      </c>
      <c r="G548" t="inlineStr">
        <is>
          <t>EKSJÖ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46305</v>
      </c>
      <c r="F549" t="inlineStr">
        <is>
          <t>JÖNKÖPINGS LÄN</t>
        </is>
      </c>
      <c r="G549" t="inlineStr">
        <is>
          <t>EKSJÖ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46305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46305</v>
      </c>
      <c r="F551" t="inlineStr">
        <is>
          <t>JÖNKÖPINGS LÄN</t>
        </is>
      </c>
      <c r="G551" t="inlineStr">
        <is>
          <t>EKSJÖ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46297</v>
      </c>
      <c r="E552" s="1" t="n">
        <v>46305</v>
      </c>
      <c r="F552" t="inlineStr">
        <is>
          <t>JÖNKÖPINGS LÄN</t>
        </is>
      </c>
      <c r="G552" t="inlineStr">
        <is>
          <t>EKSJÖ</t>
        </is>
      </c>
      <c r="H552" t="inlineStr">
        <is>
          <t>Kyrkan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40998-2026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46297</v>
      </c>
      <c r="E553" s="1" t="n">
        <v>46305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46305</v>
      </c>
      <c r="F554" t="inlineStr">
        <is>
          <t>JÖNKÖPINGS LÄN</t>
        </is>
      </c>
      <c r="G554" t="inlineStr">
        <is>
          <t>EKSJÖ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37519-2025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45877</v>
      </c>
      <c r="E555" s="1" t="n">
        <v>46305</v>
      </c>
      <c r="F555" t="inlineStr">
        <is>
          <t>JÖNKÖPINGS LÄN</t>
        </is>
      </c>
      <c r="G555" t="inlineStr">
        <is>
          <t>EKSJÖ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46305</v>
      </c>
      <c r="F556" t="inlineStr">
        <is>
          <t>JÖNKÖPINGS LÄN</t>
        </is>
      </c>
      <c r="G556" t="inlineStr">
        <is>
          <t>EKSJÖ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46305</v>
      </c>
      <c r="F557" t="inlineStr">
        <is>
          <t>JÖNKÖPINGS LÄN</t>
        </is>
      </c>
      <c r="G557" t="inlineStr">
        <is>
          <t>EKSJÖ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46305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46305</v>
      </c>
      <c r="F559" t="inlineStr">
        <is>
          <t>JÖNKÖPINGS LÄN</t>
        </is>
      </c>
      <c r="G559" t="inlineStr">
        <is>
          <t>EKSJÖ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46247</v>
      </c>
      <c r="E560" s="1" t="n">
        <v>46305</v>
      </c>
      <c r="F560" t="inlineStr">
        <is>
          <t>JÖNKÖPINGS LÄN</t>
        </is>
      </c>
      <c r="G560" t="inlineStr">
        <is>
          <t>EKSJÖ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41004-2026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46297</v>
      </c>
      <c r="E561" s="1" t="n">
        <v>46305</v>
      </c>
      <c r="F561" t="inlineStr">
        <is>
          <t>JÖNKÖPINGS LÄN</t>
        </is>
      </c>
      <c r="G561" t="inlineStr">
        <is>
          <t>EKSJÖ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46300</v>
      </c>
      <c r="E562" s="1" t="n">
        <v>46305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46305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46305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46305</v>
      </c>
      <c r="F565" t="inlineStr">
        <is>
          <t>JÖNKÖPINGS LÄN</t>
        </is>
      </c>
      <c r="G565" t="inlineStr">
        <is>
          <t>EKSJÖ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35021-2026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46305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46305</v>
      </c>
      <c r="F567" t="inlineStr">
        <is>
          <t>JÖNKÖPINGS LÄN</t>
        </is>
      </c>
      <c r="G567" t="inlineStr">
        <is>
          <t>EKSJÖ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46305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46305</v>
      </c>
      <c r="F569" t="inlineStr">
        <is>
          <t>JÖNKÖPINGS LÄN</t>
        </is>
      </c>
      <c r="G569" t="inlineStr">
        <is>
          <t>EKSJÖ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45911</v>
      </c>
      <c r="E570" s="1" t="n">
        <v>46305</v>
      </c>
      <c r="F570" t="inlineStr">
        <is>
          <t>JÖNKÖPINGS LÄN</t>
        </is>
      </c>
      <c r="G570" t="inlineStr">
        <is>
          <t>EKSJÖ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46304</v>
      </c>
      <c r="E571" s="1" t="n">
        <v>46305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46303</v>
      </c>
      <c r="E572" s="1" t="n">
        <v>46305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8.4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41907-2026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46303</v>
      </c>
      <c r="E573" s="1" t="n">
        <v>46305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46305</v>
      </c>
      <c r="F574" t="inlineStr">
        <is>
          <t>JÖNKÖPINGS LÄN</t>
        </is>
      </c>
      <c r="G574" t="inlineStr">
        <is>
          <t>EKSJÖ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39476-2026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46305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26405-2026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46305</v>
      </c>
      <c r="F576" t="inlineStr">
        <is>
          <t>JÖNKÖPINGS LÄN</t>
        </is>
      </c>
      <c r="G576" t="inlineStr">
        <is>
          <t>EKSJÖ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545-2024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45349</v>
      </c>
      <c r="E577" s="1" t="n">
        <v>46305</v>
      </c>
      <c r="F577" t="inlineStr">
        <is>
          <t>JÖNKÖPINGS LÄN</t>
        </is>
      </c>
      <c r="G577" t="inlineStr">
        <is>
          <t>EKSJÖ</t>
        </is>
      </c>
      <c r="I577" t="n">
        <v>40.5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538-2024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45349</v>
      </c>
      <c r="E578" s="1" t="n">
        <v>46305</v>
      </c>
      <c r="F578" t="inlineStr">
        <is>
          <t>JÖNKÖPINGS LÄN</t>
        </is>
      </c>
      <c r="G578" t="inlineStr">
        <is>
          <t>EKSJÖ</t>
        </is>
      </c>
      <c r="I578" t="n">
        <v>25.6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544-2024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45349</v>
      </c>
      <c r="E579" s="1" t="n">
        <v>46305</v>
      </c>
      <c r="F579" t="inlineStr">
        <is>
          <t>JÖNKÖPINGS LÄN</t>
        </is>
      </c>
      <c r="G579" t="inlineStr">
        <is>
          <t>EKSJÖ</t>
        </is>
      </c>
      <c r="I579" t="n">
        <v>37.3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549-2024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46305</v>
      </c>
      <c r="F580" t="inlineStr">
        <is>
          <t>JÖNKÖPINGS LÄN</t>
        </is>
      </c>
      <c r="G580" t="inlineStr">
        <is>
          <t>EKSJÖ</t>
        </is>
      </c>
      <c r="I580" t="n">
        <v>30.9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2245-2023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45100</v>
      </c>
      <c r="E581" s="1" t="n">
        <v>46305</v>
      </c>
      <c r="F581" t="inlineStr">
        <is>
          <t>JÖNKÖPINGS LÄN</t>
        </is>
      </c>
      <c r="G581" t="inlineStr">
        <is>
          <t>EKSJÖ</t>
        </is>
      </c>
      <c r="I581" t="n">
        <v>33.4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46305</v>
      </c>
      <c r="F582" t="inlineStr">
        <is>
          <t>JÖNKÖPINGS LÄN</t>
        </is>
      </c>
      <c r="G582" t="inlineStr">
        <is>
          <t>EKSJÖ</t>
        </is>
      </c>
      <c r="I582" t="n">
        <v>22.7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541-2024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46305</v>
      </c>
      <c r="F583" t="inlineStr">
        <is>
          <t>JÖNKÖPINGS LÄN</t>
        </is>
      </c>
      <c r="G583" t="inlineStr">
        <is>
          <t>EKSJÖ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2270-2023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45103</v>
      </c>
      <c r="E584" s="1" t="n">
        <v>46305</v>
      </c>
      <c r="F584" t="inlineStr">
        <is>
          <t>JÖNKÖPINGS LÄN</t>
        </is>
      </c>
      <c r="G584" t="inlineStr">
        <is>
          <t>EKSJÖ</t>
        </is>
      </c>
      <c r="I584" t="n">
        <v>9.9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4938-2024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45628</v>
      </c>
      <c r="E585" s="1" t="n">
        <v>46305</v>
      </c>
      <c r="F585" t="inlineStr">
        <is>
          <t>JÖNKÖPINGS LÄN</t>
        </is>
      </c>
      <c r="G585" t="inlineStr">
        <is>
          <t>EKSJÖ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546-2024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46305</v>
      </c>
      <c r="F586" t="inlineStr">
        <is>
          <t>JÖNKÖPINGS LÄN</t>
        </is>
      </c>
      <c r="G586" t="inlineStr">
        <is>
          <t>EKSJÖ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46305</v>
      </c>
      <c r="F587" t="inlineStr">
        <is>
          <t>JÖNKÖPINGS LÄN</t>
        </is>
      </c>
      <c r="G587" t="inlineStr">
        <is>
          <t>EKSJÖ</t>
        </is>
      </c>
      <c r="I587" t="n">
        <v>25.9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543-2024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46305</v>
      </c>
      <c r="F588" t="inlineStr">
        <is>
          <t>JÖNKÖPINGS LÄN</t>
        </is>
      </c>
      <c r="G588" t="inlineStr">
        <is>
          <t>EKSJÖ</t>
        </is>
      </c>
      <c r="I588" t="n">
        <v>21.4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1407-2023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45042</v>
      </c>
      <c r="E589" s="1" t="n">
        <v>46305</v>
      </c>
      <c r="F589" t="inlineStr">
        <is>
          <t>JÖNKÖPINGS LÄN</t>
        </is>
      </c>
      <c r="G589" t="inlineStr">
        <is>
          <t>EKSJÖ</t>
        </is>
      </c>
      <c r="I589" t="n">
        <v>60.7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46305</v>
      </c>
      <c r="F590" t="inlineStr">
        <is>
          <t>JÖNKÖPINGS LÄN</t>
        </is>
      </c>
      <c r="G590" t="inlineStr">
        <is>
          <t>EKSJÖ</t>
        </is>
      </c>
      <c r="I590" t="n">
        <v>41.7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2244-2023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46305</v>
      </c>
      <c r="F591" t="inlineStr">
        <is>
          <t>JÖNKÖPINGS LÄN</t>
        </is>
      </c>
      <c r="G591" t="inlineStr">
        <is>
          <t>EKSJÖ</t>
        </is>
      </c>
      <c r="I591" t="n">
        <v>26.1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2704-2023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45155</v>
      </c>
      <c r="E592" s="1" t="n">
        <v>46305</v>
      </c>
      <c r="F592" t="inlineStr">
        <is>
          <t>JÖNKÖPINGS LÄN</t>
        </is>
      </c>
      <c r="G592" t="inlineStr">
        <is>
          <t>EKSJÖ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1298-2025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45770</v>
      </c>
      <c r="E593" s="1" t="n">
        <v>46305</v>
      </c>
      <c r="F593" t="inlineStr">
        <is>
          <t>JÖNKÖPINGS LÄN</t>
        </is>
      </c>
      <c r="G593" t="inlineStr">
        <is>
          <t>EKSJÖ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949-2025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45741</v>
      </c>
      <c r="E594" s="1" t="n">
        <v>46305</v>
      </c>
      <c r="F594" t="inlineStr">
        <is>
          <t>JÖNKÖPINGS LÄN</t>
        </is>
      </c>
      <c r="G594" t="inlineStr">
        <is>
          <t>EKSJÖ</t>
        </is>
      </c>
      <c r="H594" t="inlineStr">
        <is>
          <t>Sveaskog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583-2025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45712</v>
      </c>
      <c r="E595" s="1" t="n">
        <v>46305</v>
      </c>
      <c r="F595" t="inlineStr">
        <is>
          <t>JÖNKÖPINGS LÄN</t>
        </is>
      </c>
      <c r="G595" t="inlineStr">
        <is>
          <t>EKSJÖ</t>
        </is>
      </c>
      <c r="I595" t="n">
        <v>18.6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45707</v>
      </c>
      <c r="E596" s="1" t="n">
        <v>46305</v>
      </c>
      <c r="F596" t="inlineStr">
        <is>
          <t>JÖNKÖPINGS LÄN</t>
        </is>
      </c>
      <c r="G596" t="inlineStr">
        <is>
          <t>EKSJÖ</t>
        </is>
      </c>
      <c r="I596" t="n">
        <v>114.6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1670-2025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45804</v>
      </c>
      <c r="E597" s="1" t="n">
        <v>46305</v>
      </c>
      <c r="F597" t="inlineStr">
        <is>
          <t>JÖNKÖPINGS LÄN</t>
        </is>
      </c>
      <c r="G597" t="inlineStr">
        <is>
          <t>EKSJÖ</t>
        </is>
      </c>
      <c r="I597" t="n">
        <v>21.5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2606-2025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45916</v>
      </c>
      <c r="E598" s="1" t="n">
        <v>46305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2834-2025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45940</v>
      </c>
      <c r="E599" s="1" t="n">
        <v>46305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1004-2026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46121</v>
      </c>
      <c r="E600" s="1" t="n">
        <v>46305</v>
      </c>
      <c r="F600" t="inlineStr">
        <is>
          <t>JÖNKÖPINGS LÄN</t>
        </is>
      </c>
      <c r="G600" t="inlineStr">
        <is>
          <t>EKSJÖ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1412-2026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46154</v>
      </c>
      <c r="E601" s="1" t="n">
        <v>46305</v>
      </c>
      <c r="F601" t="inlineStr">
        <is>
          <t>JÖNKÖPINGS LÄN</t>
        </is>
      </c>
      <c r="G601" t="inlineStr">
        <is>
          <t>EKSJÖ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1521-2026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46166</v>
      </c>
      <c r="E602" s="1" t="n">
        <v>46305</v>
      </c>
      <c r="F602" t="inlineStr">
        <is>
          <t>JÖNKÖPINGS LÄN</t>
        </is>
      </c>
      <c r="G602" t="inlineStr">
        <is>
          <t>EKSJÖ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1826-2026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46190</v>
      </c>
      <c r="E603" s="1" t="n">
        <v>46305</v>
      </c>
      <c r="F603" t="inlineStr">
        <is>
          <t>JÖNKÖPINGS LÄN</t>
        </is>
      </c>
      <c r="G603" t="inlineStr">
        <is>
          <t>EKSJÖ</t>
        </is>
      </c>
      <c r="I603" t="n">
        <v>117.5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1825-2026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46190</v>
      </c>
      <c r="E604" s="1" t="n">
        <v>46305</v>
      </c>
      <c r="F604" t="inlineStr">
        <is>
          <t>JÖNKÖPINGS LÄN</t>
        </is>
      </c>
      <c r="G604" t="inlineStr">
        <is>
          <t>EKSJÖ</t>
        </is>
      </c>
      <c r="I604" t="n">
        <v>14.8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1842-2026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46153</v>
      </c>
      <c r="E605" s="1" t="n">
        <v>46305</v>
      </c>
      <c r="F605" t="inlineStr">
        <is>
          <t>JÖNKÖPINGS LÄN</t>
        </is>
      </c>
      <c r="G605" t="inlineStr">
        <is>
          <t>EKSJÖ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1973-2026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46210</v>
      </c>
      <c r="E606" s="1" t="n">
        <v>46305</v>
      </c>
      <c r="F606" t="inlineStr">
        <is>
          <t>JÖNKÖPINGS LÄN</t>
        </is>
      </c>
      <c r="G606" t="inlineStr">
        <is>
          <t>EKSJÖ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2026-10-10T02:06:16Z</dcterms:created>
  <dcterms:modified xmlns:dcterms="http://purl.org/dc/terms/" xmlns:xsi="http://www.w3.org/2001/XMLSchema-instance" xsi:type="dcterms:W3CDTF">2026-10-10T02:06:17Z</dcterms:modified>
</cp:coreProperties>
</file>