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45688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45688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45688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45688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45688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45688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45688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45688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45688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45688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45688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45688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45688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45688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45688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45688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45688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45688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45688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45688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45688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45688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45688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45688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45688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45688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45688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45688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1065-2025</t>
        </is>
      </c>
      <c r="B30" s="1" t="n">
        <v>45666</v>
      </c>
      <c r="C30" s="1" t="n">
        <v>45688</v>
      </c>
      <c r="D30" t="inlineStr">
        <is>
          <t>JÖNKÖPINGS LÄN</t>
        </is>
      </c>
      <c r="E30" t="inlineStr">
        <is>
          <t>EKSJÖ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Lindvedvivel</t>
        </is>
      </c>
      <c r="S30">
        <f>HYPERLINK("https://klasma.github.io/Logging_0686/artfynd/A 1065-2025 artfynd.xlsx", "A 1065-2025")</f>
        <v/>
      </c>
      <c r="T30">
        <f>HYPERLINK("https://klasma.github.io/Logging_0686/kartor/A 1065-2025 karta.png", "A 1065-2025")</f>
        <v/>
      </c>
      <c r="V30">
        <f>HYPERLINK("https://klasma.github.io/Logging_0686/klagomål/A 1065-2025 FSC-klagomål.docx", "A 1065-2025")</f>
        <v/>
      </c>
      <c r="W30">
        <f>HYPERLINK("https://klasma.github.io/Logging_0686/klagomålsmail/A 1065-2025 FSC-klagomål mail.docx", "A 1065-2025")</f>
        <v/>
      </c>
      <c r="X30">
        <f>HYPERLINK("https://klasma.github.io/Logging_0686/tillsyn/A 1065-2025 tillsynsbegäran.docx", "A 1065-2025")</f>
        <v/>
      </c>
      <c r="Y30">
        <f>HYPERLINK("https://klasma.github.io/Logging_0686/tillsynsmail/A 1065-2025 tillsynsbegäran mail.docx", "A 1065-2025")</f>
        <v/>
      </c>
    </row>
    <row r="31" ht="15" customHeight="1">
      <c r="A31" t="inlineStr">
        <is>
          <t>A 1073-2025</t>
        </is>
      </c>
      <c r="B31" s="1" t="n">
        <v>45666</v>
      </c>
      <c r="C31" s="1" t="n">
        <v>45688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Myggblomster</t>
        </is>
      </c>
      <c r="S31">
        <f>HYPERLINK("https://klasma.github.io/Logging_0686/artfynd/A 1073-2025 artfynd.xlsx", "A 1073-2025")</f>
        <v/>
      </c>
      <c r="T31">
        <f>HYPERLINK("https://klasma.github.io/Logging_0686/kartor/A 1073-2025 karta.png", "A 1073-2025")</f>
        <v/>
      </c>
      <c r="V31">
        <f>HYPERLINK("https://klasma.github.io/Logging_0686/klagomål/A 1073-2025 FSC-klagomål.docx", "A 1073-2025")</f>
        <v/>
      </c>
      <c r="W31">
        <f>HYPERLINK("https://klasma.github.io/Logging_0686/klagomålsmail/A 1073-2025 FSC-klagomål mail.docx", "A 1073-2025")</f>
        <v/>
      </c>
      <c r="X31">
        <f>HYPERLINK("https://klasma.github.io/Logging_0686/tillsyn/A 1073-2025 tillsynsbegäran.docx", "A 1073-2025")</f>
        <v/>
      </c>
      <c r="Y31">
        <f>HYPERLINK("https://klasma.github.io/Logging_0686/tillsynsmail/A 1073-2025 tillsynsbegäran mail.docx", "A 1073-2025")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45688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45688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45688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45688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45688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45688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45688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45688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45688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45688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45688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45688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45688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45688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45688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45688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45688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45688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45688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45688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45688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45688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45688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45688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45688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45688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45688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45688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45688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45688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45688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45688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45688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45688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45688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45688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45688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45688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45688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45688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45688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45688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45688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45688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45688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45688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45688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45688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45688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45688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45688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45688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45688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45688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45688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45688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45688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45688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45688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45688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45688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45688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45688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45688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45688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45688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45688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45688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45688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45688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45688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45688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45688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45688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45688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45688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45688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45688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45688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45688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45688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45688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45688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45688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45688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45688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45688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45688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45688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45688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45688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45688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45688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45688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45688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45688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45688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45688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45688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45688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45688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45688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45688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45688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45688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45688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45688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45688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45688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45688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45688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45688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45688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45688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45688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45688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45688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45688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45688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45688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45688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45688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45688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45688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45688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45688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45688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45688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45688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45688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45688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45688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45688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45688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45688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45688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45688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45688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45688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45688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45688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45688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45688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45688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45688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45688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45688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45688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45688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45688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45688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45688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45688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45688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45688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45688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45688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45688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45688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45688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45688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45688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45688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45688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45688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45688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45688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45688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45688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45688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45688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45688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45688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45688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45688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45688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45688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45688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45688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45688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45688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45688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45688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45688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45688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45688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45688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45688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45688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45688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45688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45688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45688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45688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45688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45688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45688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45688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45688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45688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45688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45688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45688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45688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45688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45688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45688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45688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45688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45688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45688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45688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45688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45688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45688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45688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45688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45688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45688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45688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45688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45688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45688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45688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45688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45688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45688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45688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45688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45688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45688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45688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45688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45688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45688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45688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45688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45688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45688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45688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45688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45688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45688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45688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45688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45688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45688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45688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45688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45688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45688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45688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45688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45688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45688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45688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45688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45688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45688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45688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45688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45688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45688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45688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45688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45688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45688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45688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45688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45688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45688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45688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45688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45688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45688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45688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45688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45688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45688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45688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45688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45688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45688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45688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45688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45688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45688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45688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45688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45688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45688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45688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45688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45688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45688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45688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45688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45688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45688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45688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45688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45688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45688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45688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45688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45688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45688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45688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45688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45688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45688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45688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45688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45688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45688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45688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45688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45688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45688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45688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45688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45688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45688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45688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45688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45688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45688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45688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45688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45688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45688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45688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45688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45688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45688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45688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45688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45688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45688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45688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45688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45688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45688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45688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45688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45688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45688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45688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45688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45688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45688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45688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45688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45688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45688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45688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45688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45688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45688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45688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45688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45688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45688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45688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45688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45688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45688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45688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45688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45688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45688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45688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45688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45688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45688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45688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45688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45688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45688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45688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45688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45688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45688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45688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45688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45688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45688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45688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45688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45688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45688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45688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45688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45688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45688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45688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45688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45688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45688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45688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45688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45688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45688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45688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45688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45688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45688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45688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45688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45688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45688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45688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45688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45688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45688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45688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45688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45688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45688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45688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45688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45688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45688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45688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45688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45688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45688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45688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45688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45688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45688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45688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45688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45688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45688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45688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45688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45688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45688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45688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45688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45688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45688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45688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45688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45688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45688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45688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45688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45688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45688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45688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45688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45688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45688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45688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45688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45688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45688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45688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45688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45688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45688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45688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45688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45688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45688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45688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45688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45688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45688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45688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45688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45688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45688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45688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45688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45688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45688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45688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45688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45688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45688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45688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45688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45688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45688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45688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45688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45688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45688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45688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45688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45688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45688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45688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45688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45688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45688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45688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45688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45688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45688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45688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45688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45688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45688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45688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45688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45688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45688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45688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45688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45688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45688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45688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45688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45688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45688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45688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45688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45688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45688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45688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45688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45688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45688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45688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45688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45688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45688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45688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45688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45688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45688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45688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45688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45688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45688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45688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45688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45688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45688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45688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45688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45688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45688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45688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45688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45688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45688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45688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45688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45688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45688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45688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45688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45688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45688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45688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45688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45688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45688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45688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45688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45688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45688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45688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45688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45688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45688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45688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45688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45688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45688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45688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45688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45688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45688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45688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45688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45688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45688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45688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45688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45688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45688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45688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45688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45688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45688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45688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45688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45688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45688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45688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45688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45688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45688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45688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45688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45688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45688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45688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45688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45688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45688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45688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45688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45688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45688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45688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45688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45688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45688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45688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45688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45688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45688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45688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45688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45688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45688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45688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45688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45688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45688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45688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45688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45688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45688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45688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45688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45688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45688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45688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45688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45688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45688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45688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45688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45688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45688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45688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45688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45688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45688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45688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45688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45688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45688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45688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45688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45688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45688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45688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45688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45688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45688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45688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45688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45688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45688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45688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45688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45688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45688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45688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45688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45688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45688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45688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45688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45688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45688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45688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45688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45688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45688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45688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45688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45688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45688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45688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45688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45688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45688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45688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45688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45688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45688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45688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45688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45688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45688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45688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45688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45688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45688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45688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45688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45688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45688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45688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45688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45688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45688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45688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45688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45688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45688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45688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45688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45688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45688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45688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45688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45688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45688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45688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45688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45688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45688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45688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45688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45688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45688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45688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45688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45688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45688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45688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45688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45688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45688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45688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45688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45688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45688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45688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45688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45688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45688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45688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45688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45688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45688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45688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45688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45688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45688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45688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45688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45688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45688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45688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45688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45688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45688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45688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45688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45688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45688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45688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45688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45688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45688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45688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45688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45688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45688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45688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45688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45688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45688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45688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45688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45688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45688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45688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45688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45688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45688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45688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45688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45688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45688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45688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45688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45688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45688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45688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45688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45688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45688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45688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45688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45688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45688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45688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45688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45688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45688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45688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45688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45688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45688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45688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45688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45688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45688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45688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45688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45688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45688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45688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45688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45688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45688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45688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45688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45688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45688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45688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45688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45688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45688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45688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45688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45688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45688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45688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45688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45688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45688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45688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45688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45688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45688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45688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45688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45688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45688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45688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45688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45688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45688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45688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45688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45688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45688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45688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45688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45688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45688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45688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45688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45688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45688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45688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45688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45688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45688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45688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45688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45688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45688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45688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45688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45688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45688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45688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45688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45688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45688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45688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45688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45688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45688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45688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45688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45688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45688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45688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45688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45688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45688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45688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45688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45688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45688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45688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45688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45688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45688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45688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45688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45688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45688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45688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45688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45688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45688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45688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45688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45688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45688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45688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45688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45688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45688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45688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45688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45688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45688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45688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45688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45688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45688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45688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45688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45688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45688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45688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45688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45688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45688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45688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45688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45688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45688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45688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45688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45688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45688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45688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45688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45688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45688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45688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45688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45688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45688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45688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45688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45688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45688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45688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45688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45688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45688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45688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45688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45688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45688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45688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45688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45688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45688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45688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45688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45688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45688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45688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45688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45688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45688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45688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45688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45688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45688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45688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45688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45688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45688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45688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45688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45688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45688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45688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45688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45688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45688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45688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45688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45688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45688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45688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45688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45688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45688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45688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45688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45688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45688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45688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45688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45688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45688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45688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45688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45688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45688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2835-2025</t>
        </is>
      </c>
      <c r="B1035" s="1" t="n">
        <v>45677</v>
      </c>
      <c r="C1035" s="1" t="n">
        <v>45688</v>
      </c>
      <c r="D1035" t="inlineStr">
        <is>
          <t>JÖNKÖPINGS LÄN</t>
        </is>
      </c>
      <c r="E1035" t="inlineStr">
        <is>
          <t>EKSJÖ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2851-2025</t>
        </is>
      </c>
      <c r="B1036" s="1" t="n">
        <v>45677</v>
      </c>
      <c r="C1036" s="1" t="n">
        <v>45688</v>
      </c>
      <c r="D1036" t="inlineStr">
        <is>
          <t>JÖNKÖPINGS LÄN</t>
        </is>
      </c>
      <c r="E1036" t="inlineStr">
        <is>
          <t>EKSJÖ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2901-2025</t>
        </is>
      </c>
      <c r="B1037" s="1" t="n">
        <v>45677</v>
      </c>
      <c r="C1037" s="1" t="n">
        <v>45688</v>
      </c>
      <c r="D1037" t="inlineStr">
        <is>
          <t>JÖNKÖPINGS LÄN</t>
        </is>
      </c>
      <c r="E1037" t="inlineStr">
        <is>
          <t>EKSJÖ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2828-2025</t>
        </is>
      </c>
      <c r="B1038" s="1" t="n">
        <v>45677</v>
      </c>
      <c r="C1038" s="1" t="n">
        <v>45688</v>
      </c>
      <c r="D1038" t="inlineStr">
        <is>
          <t>JÖNKÖPINGS LÄN</t>
        </is>
      </c>
      <c r="E1038" t="inlineStr">
        <is>
          <t>EKSJÖ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3484-2025</t>
        </is>
      </c>
      <c r="B1039" s="1" t="n">
        <v>45680</v>
      </c>
      <c r="C1039" s="1" t="n">
        <v>45688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3496-2025</t>
        </is>
      </c>
      <c r="B1040" s="1" t="n">
        <v>45680</v>
      </c>
      <c r="C1040" s="1" t="n">
        <v>45688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3549-2025</t>
        </is>
      </c>
      <c r="B1041" s="1" t="n">
        <v>45680</v>
      </c>
      <c r="C1041" s="1" t="n">
        <v>45688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3526-2025</t>
        </is>
      </c>
      <c r="B1042" s="1" t="n">
        <v>45680</v>
      </c>
      <c r="C1042" s="1" t="n">
        <v>45688</v>
      </c>
      <c r="D1042" t="inlineStr">
        <is>
          <t>JÖNKÖPINGS LÄN</t>
        </is>
      </c>
      <c r="E1042" t="inlineStr">
        <is>
          <t>EKSJÖ</t>
        </is>
      </c>
      <c r="F1042" t="inlineStr">
        <is>
          <t>Övriga Aktiebolag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45688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4439-2025</t>
        </is>
      </c>
      <c r="B1044" s="1" t="n">
        <v>45686</v>
      </c>
      <c r="C1044" s="1" t="n">
        <v>45688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2025-01-31T22:01:46Z</dcterms:created>
  <dcterms:modified xmlns:dcterms="http://purl.org/dc/terms/" xmlns:xsi="http://www.w3.org/2001/XMLSchema-instance" xsi:type="dcterms:W3CDTF">2025-01-31T22:01:47Z</dcterms:modified>
</cp:coreProperties>
</file>