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V2">
        <f>HYPERLINK("https://klasma.github.io/Logging_0686/artfynd/S 1084-2023 artfynd.xlsx", "S 1084-2023")</f>
        <v/>
      </c>
      <c r="W2">
        <f>HYPERLINK("https://klasma.github.io/Logging_0686/kartor/S 1084-2023 karta.png", "S 1084-2023")</f>
        <v/>
      </c>
      <c r="X2">
        <f>HYPERLINK("https://klasma.github.io/Logging_0686/kartor_geotiff/S 1084-2023 georefererad karta.tif", "S 1084-2023")</f>
        <v/>
      </c>
      <c r="Y2">
        <f>HYPERLINK("https://klasma.github.io/Logging_0686/knärot/S 1084-2023 karta knärot.png", "S 1084-2023")</f>
        <v/>
      </c>
      <c r="Z2">
        <f>HYPERLINK("https://klasma.github.io/Logging_0686/klagomål/S 1084-2023 FSC-klagomål.docx", "S 1084-2023")</f>
        <v/>
      </c>
      <c r="AA2">
        <f>HYPERLINK("https://klasma.github.io/Logging_0686/klagomålsmail/S 1084-2023 FSC-klagomål mail.docx", "S 1084-2023")</f>
        <v/>
      </c>
      <c r="AB2">
        <f>HYPERLINK("https://klasma.github.io/Logging_0686/tillsyn/S 1084-2023 tillsynsbegäran.docx", "S 1084-2023")</f>
        <v/>
      </c>
      <c r="AC2">
        <f>HYPERLINK("https://klasma.github.io/Logging_0686/tillsynsmail/S 1084-2023 tillsynsbegäran mail.docx", "S 1084-2023")</f>
        <v/>
      </c>
      <c r="AD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s="2" t="inlineStr">
        <is>
          <t>Ask
Grönfink
Stare
Tornseglare
Entita
Ladusvala
Nötkråka
Sparvuggla
Sädesärla
Nattskärra
Spillkråka
Kråka
Svartvit flugsnappare
Trana
Törnskata
Ärtsångare</t>
        </is>
      </c>
      <c r="V3">
        <f>HYPERLINK("https://klasma.github.io/Logging_0686/artfynd/A 48030-2023 artfynd.xlsx", "A 48030-2023")</f>
        <v/>
      </c>
      <c r="W3">
        <f>HYPERLINK("https://klasma.github.io/Logging_0686/kartor/A 48030-2023 karta.png", "A 48030-2023")</f>
        <v/>
      </c>
      <c r="X3">
        <f>HYPERLINK("https://klasma.github.io/Logging_0686/kartor_geotiff/A 48030-2023 georefererad karta.tif", "A 48030-2023")</f>
        <v/>
      </c>
      <c r="Z3">
        <f>HYPERLINK("https://klasma.github.io/Logging_0686/klagomål/A 48030-2023 FSC-klagomål.docx", "A 48030-2023")</f>
        <v/>
      </c>
      <c r="AA3">
        <f>HYPERLINK("https://klasma.github.io/Logging_0686/klagomålsmail/A 48030-2023 FSC-klagomål mail.docx", "A 48030-2023")</f>
        <v/>
      </c>
      <c r="AB3">
        <f>HYPERLINK("https://klasma.github.io/Logging_0686/tillsyn/A 48030-2023 tillsynsbegäran.docx", "A 48030-2023")</f>
        <v/>
      </c>
      <c r="AC3">
        <f>HYPERLINK("https://klasma.github.io/Logging_0686/tillsynsmail/A 48030-2023 tillsynsbegäran mail.docx", "A 48030-2023")</f>
        <v/>
      </c>
      <c r="AD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s="2" t="inlineStr">
        <is>
          <t>Knärot
Tallticka
Vedtrappmossa
Blomkålssvamp
Grönpyrola</t>
        </is>
      </c>
      <c r="V4">
        <f>HYPERLINK("https://klasma.github.io/Logging_0686/artfynd/A 30131-2023 artfynd.xlsx", "A 30131-2023")</f>
        <v/>
      </c>
      <c r="W4">
        <f>HYPERLINK("https://klasma.github.io/Logging_0686/kartor/A 30131-2023 karta.png", "A 30131-2023")</f>
        <v/>
      </c>
      <c r="X4">
        <f>HYPERLINK("https://klasma.github.io/Logging_0686/kartor_geotiff/A 30131-2023 georefererad karta.tif", "A 30131-2023")</f>
        <v/>
      </c>
      <c r="Y4">
        <f>HYPERLINK("https://klasma.github.io/Logging_0686/knärot/A 30131-2023 karta knärot.png", "A 30131-2023")</f>
        <v/>
      </c>
      <c r="Z4">
        <f>HYPERLINK("https://klasma.github.io/Logging_0686/klagomål/A 30131-2023 FSC-klagomål.docx", "A 30131-2023")</f>
        <v/>
      </c>
      <c r="AA4">
        <f>HYPERLINK("https://klasma.github.io/Logging_0686/klagomålsmail/A 30131-2023 FSC-klagomål mail.docx", "A 30131-2023")</f>
        <v/>
      </c>
      <c r="AB4">
        <f>HYPERLINK("https://klasma.github.io/Logging_0686/tillsyn/A 30131-2023 tillsynsbegäran.docx", "A 30131-2023")</f>
        <v/>
      </c>
      <c r="AC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s="2" t="inlineStr">
        <is>
          <t>Ask
Slåtterfibbla
Vårstarr
Fläcknycklar</t>
        </is>
      </c>
      <c r="V5">
        <f>HYPERLINK("https://klasma.github.io/Logging_0686/artfynd/S 569-2025 artfynd.xlsx", "S 569-2025")</f>
        <v/>
      </c>
      <c r="W5">
        <f>HYPERLINK("https://klasma.github.io/Logging_0686/kartor/S 569-2025 karta.png", "S 569-2025")</f>
        <v/>
      </c>
      <c r="X5">
        <f>HYPERLINK("https://klasma.github.io/Logging_0686/kartor_geotiff/S 569-2025 georefererad karta.tif", "S 569-2025")</f>
        <v/>
      </c>
      <c r="Z5">
        <f>HYPERLINK("https://klasma.github.io/Logging_0686/klagomål/S 569-2025 FSC-klagomål.docx", "S 569-2025")</f>
        <v/>
      </c>
      <c r="AA5">
        <f>HYPERLINK("https://klasma.github.io/Logging_0686/klagomålsmail/S 569-2025 FSC-klagomål mail.docx", "S 569-2025")</f>
        <v/>
      </c>
      <c r="AB5">
        <f>HYPERLINK("https://klasma.github.io/Logging_0686/tillsyn/S 569-2025 tillsynsbegäran.docx", "S 569-2025")</f>
        <v/>
      </c>
      <c r="AC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Brunlångöra
Nordfladdermus
Vattenfladdermus</t>
        </is>
      </c>
      <c r="V6">
        <f>HYPERLINK("https://klasma.github.io/Logging_0686/artfynd/A 12574-2023 artfynd.xlsx", "A 12574-2023")</f>
        <v/>
      </c>
      <c r="W6">
        <f>HYPERLINK("https://klasma.github.io/Logging_0686/kartor/A 12574-2023 karta.png", "A 12574-2023")</f>
        <v/>
      </c>
      <c r="X6">
        <f>HYPERLINK("https://klasma.github.io/Logging_0686/kartor_geotiff/A 12574-2023 georefererad karta.tif", "A 12574-2023")</f>
        <v/>
      </c>
      <c r="Z6">
        <f>HYPERLINK("https://klasma.github.io/Logging_0686/klagomål/A 12574-2023 FSC-klagomål.docx", "A 12574-2023")</f>
        <v/>
      </c>
      <c r="AA6">
        <f>HYPERLINK("https://klasma.github.io/Logging_0686/klagomålsmail/A 12574-2023 FSC-klagomål mail.docx", "A 12574-2023")</f>
        <v/>
      </c>
      <c r="AB6">
        <f>HYPERLINK("https://klasma.github.io/Logging_0686/tillsyn/A 12574-2023 tillsynsbegäran.docx", "A 12574-2023")</f>
        <v/>
      </c>
      <c r="AC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Stubbspretmossa
Terpentinmossa</t>
        </is>
      </c>
      <c r="V7">
        <f>HYPERLINK("https://klasma.github.io/Logging_0686/artfynd/A 65405-2021 artfynd.xlsx", "A 65405-2021")</f>
        <v/>
      </c>
      <c r="W7">
        <f>HYPERLINK("https://klasma.github.io/Logging_0686/kartor/A 65405-2021 karta.png", "A 65405-2021")</f>
        <v/>
      </c>
      <c r="X7">
        <f>HYPERLINK("https://klasma.github.io/Logging_0686/kartor_geotiff/A 65405-2021 georefererad karta.tif", "A 65405-2021")</f>
        <v/>
      </c>
      <c r="Z7">
        <f>HYPERLINK("https://klasma.github.io/Logging_0686/klagomål/A 65405-2021 FSC-klagomål.docx", "A 65405-2021")</f>
        <v/>
      </c>
      <c r="AA7">
        <f>HYPERLINK("https://klasma.github.io/Logging_0686/klagomålsmail/A 65405-2021 FSC-klagomål mail.docx", "A 65405-2021")</f>
        <v/>
      </c>
      <c r="AB7">
        <f>HYPERLINK("https://klasma.github.io/Logging_0686/tillsyn/A 65405-2021 tillsynsbegäran.docx", "A 65405-2021")</f>
        <v/>
      </c>
      <c r="AC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Knärot
Grönpyrola
Svart trolldruva</t>
        </is>
      </c>
      <c r="V8">
        <f>HYPERLINK("https://klasma.github.io/Logging_0686/artfynd/S 2221-2024 artfynd.xlsx", "S 2221-2024")</f>
        <v/>
      </c>
      <c r="W8">
        <f>HYPERLINK("https://klasma.github.io/Logging_0686/kartor/S 2221-2024 karta.png", "S 2221-2024")</f>
        <v/>
      </c>
      <c r="X8">
        <f>HYPERLINK("https://klasma.github.io/Logging_0686/kartor_geotiff/S 2221-2024 georefererad karta.tif", "S 2221-2024")</f>
        <v/>
      </c>
      <c r="Y8">
        <f>HYPERLINK("https://klasma.github.io/Logging_0686/knärot/S 2221-2024 karta knärot.png", "S 2221-2024")</f>
        <v/>
      </c>
      <c r="Z8">
        <f>HYPERLINK("https://klasma.github.io/Logging_0686/klagomål/S 2221-2024 FSC-klagomål.docx", "S 2221-2024")</f>
        <v/>
      </c>
      <c r="AA8">
        <f>HYPERLINK("https://klasma.github.io/Logging_0686/klagomålsmail/S 2221-2024 FSC-klagomål mail.docx", "S 2221-2024")</f>
        <v/>
      </c>
      <c r="AB8">
        <f>HYPERLINK("https://klasma.github.io/Logging_0686/tillsyn/S 2221-2024 tillsynsbegäran.docx", "S 2221-2024")</f>
        <v/>
      </c>
      <c r="AC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s="2" t="inlineStr">
        <is>
          <t>Knärot
Fjällig taggsvamp s.str.
Nattviol</t>
        </is>
      </c>
      <c r="V9">
        <f>HYPERLINK("https://klasma.github.io/Logging_0686/artfynd/S 1650-2025 artfynd.xlsx", "S 1650-2025")</f>
        <v/>
      </c>
      <c r="W9">
        <f>HYPERLINK("https://klasma.github.io/Logging_0686/kartor/S 1650-2025 karta.png", "S 1650-2025")</f>
        <v/>
      </c>
      <c r="X9">
        <f>HYPERLINK("https://klasma.github.io/Logging_0686/kartor_geotiff/S 1650-2025 georefererad karta.tif", "S 1650-2025")</f>
        <v/>
      </c>
      <c r="Y9">
        <f>HYPERLINK("https://klasma.github.io/Logging_0686/knärot/S 1650-2025 karta knärot.png", "S 1650-2025")</f>
        <v/>
      </c>
      <c r="Z9">
        <f>HYPERLINK("https://klasma.github.io/Logging_0686/klagomål/S 1650-2025 FSC-klagomål.docx", "S 1650-2025")</f>
        <v/>
      </c>
      <c r="AA9">
        <f>HYPERLINK("https://klasma.github.io/Logging_0686/klagomålsmail/S 1650-2025 FSC-klagomål mail.docx", "S 1650-2025")</f>
        <v/>
      </c>
      <c r="AB9">
        <f>HYPERLINK("https://klasma.github.io/Logging_0686/tillsyn/S 1650-2025 tillsynsbegäran.docx", "S 1650-2025")</f>
        <v/>
      </c>
      <c r="AC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Blåmossa
Stubbspretmossa
Terpentinmossa</t>
        </is>
      </c>
      <c r="V10">
        <f>HYPERLINK("https://klasma.github.io/Logging_0686/artfynd/S 1140-2026 artfynd.xlsx", "S 1140-2026")</f>
        <v/>
      </c>
      <c r="W10">
        <f>HYPERLINK("https://klasma.github.io/Logging_0686/kartor/S 1140-2026 karta.png", "S 1140-2026")</f>
        <v/>
      </c>
      <c r="X10">
        <f>HYPERLINK("https://klasma.github.io/Logging_0686/kartor_geotiff/S 1140-2026 georefererad karta.tif", "S 1140-2026")</f>
        <v/>
      </c>
      <c r="Z10">
        <f>HYPERLINK("https://klasma.github.io/Logging_0686/klagomål/S 1140-2026 FSC-klagomål.docx", "S 1140-2026")</f>
        <v/>
      </c>
      <c r="AA10">
        <f>HYPERLINK("https://klasma.github.io/Logging_0686/klagomålsmail/S 1140-2026 FSC-klagomål mail.docx", "S 1140-2026")</f>
        <v/>
      </c>
      <c r="AB10">
        <f>HYPERLINK("https://klasma.github.io/Logging_0686/tillsyn/S 1140-2026 tillsynsbegäran.docx", "S 1140-2026")</f>
        <v/>
      </c>
      <c r="AC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46223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Gulsparv
Björksplintborre</t>
        </is>
      </c>
      <c r="V11">
        <f>HYPERLINK("https://klasma.github.io/Logging_0686/artfynd/A 16876-2024 artfynd.xlsx", "A 16876-2024")</f>
        <v/>
      </c>
      <c r="W11">
        <f>HYPERLINK("https://klasma.github.io/Logging_0686/kartor/A 16876-2024 karta.png", "A 16876-2024")</f>
        <v/>
      </c>
      <c r="X11">
        <f>HYPERLINK("https://klasma.github.io/Logging_0686/kartor_geotiff/A 16876-2024 georefererad karta.tif", "A 16876-2024")</f>
        <v/>
      </c>
      <c r="Z11">
        <f>HYPERLINK("https://klasma.github.io/Logging_0686/klagomål/A 16876-2024 FSC-klagomål.docx", "A 16876-2024")</f>
        <v/>
      </c>
      <c r="AA11">
        <f>HYPERLINK("https://klasma.github.io/Logging_0686/klagomålsmail/A 16876-2024 FSC-klagomål mail.docx", "A 16876-2024")</f>
        <v/>
      </c>
      <c r="AB11">
        <f>HYPERLINK("https://klasma.github.io/Logging_0686/tillsyn/A 16876-2024 tillsynsbegäran.docx", "A 16876-2024")</f>
        <v/>
      </c>
      <c r="AC11">
        <f>HYPERLINK("https://klasma.github.io/Logging_0686/tillsynsmail/A 16876-2024 tillsynsbegäran mail.docx", "A 16876-2024")</f>
        <v/>
      </c>
      <c r="AD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46223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Dvärghäxört
Springkorn</t>
        </is>
      </c>
      <c r="V12">
        <f>HYPERLINK("https://klasma.github.io/Logging_0686/artfynd/A 55636-2022 artfynd.xlsx", "A 55636-2022")</f>
        <v/>
      </c>
      <c r="W12">
        <f>HYPERLINK("https://klasma.github.io/Logging_0686/kartor/A 55636-2022 karta.png", "A 55636-2022")</f>
        <v/>
      </c>
      <c r="X12">
        <f>HYPERLINK("https://klasma.github.io/Logging_0686/kartor_geotiff/A 55636-2022 georefererad karta.tif", "A 55636-2022")</f>
        <v/>
      </c>
      <c r="Z12">
        <f>HYPERLINK("https://klasma.github.io/Logging_0686/klagomål/A 55636-2022 FSC-klagomål.docx", "A 55636-2022")</f>
        <v/>
      </c>
      <c r="AA12">
        <f>HYPERLINK("https://klasma.github.io/Logging_0686/klagomålsmail/A 55636-2022 FSC-klagomål mail.docx", "A 55636-2022")</f>
        <v/>
      </c>
      <c r="AB12">
        <f>HYPERLINK("https://klasma.github.io/Logging_0686/tillsyn/A 55636-2022 tillsynsbegäran.docx", "A 55636-2022")</f>
        <v/>
      </c>
      <c r="AC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46223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Fjällig taggsvamp s.str.
Rökmusseron</t>
        </is>
      </c>
      <c r="V13">
        <f>HYPERLINK("https://klasma.github.io/Logging_0686/artfynd/A 19135-2025 artfynd.xlsx", "A 19135-2025")</f>
        <v/>
      </c>
      <c r="W13">
        <f>HYPERLINK("https://klasma.github.io/Logging_0686/kartor/A 19135-2025 karta.png", "A 19135-2025")</f>
        <v/>
      </c>
      <c r="X13">
        <f>HYPERLINK("https://klasma.github.io/Logging_0686/kartor_geotiff/A 19135-2025 georefererad karta.tif", "A 19135-2025")</f>
        <v/>
      </c>
      <c r="Z13">
        <f>HYPERLINK("https://klasma.github.io/Logging_0686/klagomål/A 19135-2025 FSC-klagomål.docx", "A 19135-2025")</f>
        <v/>
      </c>
      <c r="AA13">
        <f>HYPERLINK("https://klasma.github.io/Logging_0686/klagomålsmail/A 19135-2025 FSC-klagomål mail.docx", "A 19135-2025")</f>
        <v/>
      </c>
      <c r="AB13">
        <f>HYPERLINK("https://klasma.github.io/Logging_0686/tillsyn/A 19135-2025 tillsynsbegäran.docx", "A 19135-2025")</f>
        <v/>
      </c>
      <c r="AC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46223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s="2" t="inlineStr">
        <is>
          <t>Svart trolldruva
Blåsippa</t>
        </is>
      </c>
      <c r="V14">
        <f>HYPERLINK("https://klasma.github.io/Logging_0686/artfynd/A 64978-2023 artfynd.xlsx", "A 64978-2023")</f>
        <v/>
      </c>
      <c r="W14">
        <f>HYPERLINK("https://klasma.github.io/Logging_0686/kartor/A 64978-2023 karta.png", "A 64978-2023")</f>
        <v/>
      </c>
      <c r="X14">
        <f>HYPERLINK("https://klasma.github.io/Logging_0686/kartor_geotiff/A 64978-2023 georefererad karta.tif", "A 64978-2023")</f>
        <v/>
      </c>
      <c r="Z14">
        <f>HYPERLINK("https://klasma.github.io/Logging_0686/klagomål/A 64978-2023 FSC-klagomål.docx", "A 64978-2023")</f>
        <v/>
      </c>
      <c r="AA14">
        <f>HYPERLINK("https://klasma.github.io/Logging_0686/klagomålsmail/A 64978-2023 FSC-klagomål mail.docx", "A 64978-2023")</f>
        <v/>
      </c>
      <c r="AB14">
        <f>HYPERLINK("https://klasma.github.io/Logging_0686/tillsyn/A 64978-2023 tillsynsbegäran.docx", "A 64978-2023")</f>
        <v/>
      </c>
      <c r="AC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46223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Nordfladdermus
Större brunfladdermus</t>
        </is>
      </c>
      <c r="V15">
        <f>HYPERLINK("https://klasma.github.io/Logging_0686/artfynd/A 44585-2024 artfynd.xlsx", "A 44585-2024")</f>
        <v/>
      </c>
      <c r="W15">
        <f>HYPERLINK("https://klasma.github.io/Logging_0686/kartor/A 44585-2024 karta.png", "A 44585-2024")</f>
        <v/>
      </c>
      <c r="X15">
        <f>HYPERLINK("https://klasma.github.io/Logging_0686/kartor_geotiff/A 44585-2024 georefererad karta.tif", "A 44585-2024")</f>
        <v/>
      </c>
      <c r="Z15">
        <f>HYPERLINK("https://klasma.github.io/Logging_0686/klagomål/A 44585-2024 FSC-klagomål.docx", "A 44585-2024")</f>
        <v/>
      </c>
      <c r="AA15">
        <f>HYPERLINK("https://klasma.github.io/Logging_0686/klagomålsmail/A 44585-2024 FSC-klagomål mail.docx", "A 44585-2024")</f>
        <v/>
      </c>
      <c r="AB15">
        <f>HYPERLINK("https://klasma.github.io/Logging_0686/tillsyn/A 44585-2024 tillsynsbegäran.docx", "A 44585-2024")</f>
        <v/>
      </c>
      <c r="AC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s="2" t="inlineStr">
        <is>
          <t>Knärot
Fjällig taggsvamp s.str.</t>
        </is>
      </c>
      <c r="V16">
        <f>HYPERLINK("https://klasma.github.io/Logging_0686/artfynd/S 548-2024 artfynd.xlsx", "S 548-2024")</f>
        <v/>
      </c>
      <c r="W16">
        <f>HYPERLINK("https://klasma.github.io/Logging_0686/kartor/S 548-2024 karta.png", "S 548-2024")</f>
        <v/>
      </c>
      <c r="X16">
        <f>HYPERLINK("https://klasma.github.io/Logging_0686/kartor_geotiff/S 548-2024 georefererad karta.tif", "S 548-2024")</f>
        <v/>
      </c>
      <c r="Y16">
        <f>HYPERLINK("https://klasma.github.io/Logging_0686/knärot/S 548-2024 karta knärot.png", "S 548-2024")</f>
        <v/>
      </c>
      <c r="Z16">
        <f>HYPERLINK("https://klasma.github.io/Logging_0686/klagomål/S 548-2024 FSC-klagomål.docx", "S 548-2024")</f>
        <v/>
      </c>
      <c r="AA16">
        <f>HYPERLINK("https://klasma.github.io/Logging_0686/klagomålsmail/S 548-2024 FSC-klagomål mail.docx", "S 548-2024")</f>
        <v/>
      </c>
      <c r="AB16">
        <f>HYPERLINK("https://klasma.github.io/Logging_0686/tillsyn/S 548-2024 tillsynsbegäran.docx", "S 548-2024")</f>
        <v/>
      </c>
      <c r="AC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Revlummer</t>
        </is>
      </c>
      <c r="V17">
        <f>HYPERLINK("https://klasma.github.io/Logging_0686/artfynd/S 2513-2023 artfynd.xlsx", "S 2513-2023")</f>
        <v/>
      </c>
      <c r="W17">
        <f>HYPERLINK("https://klasma.github.io/Logging_0686/kartor/S 2513-2023 karta.png", "S 2513-2023")</f>
        <v/>
      </c>
      <c r="X17">
        <f>HYPERLINK("https://klasma.github.io/Logging_0686/kartor_geotiff/S 2513-2023 georefererad karta.tif", "S 2513-2023")</f>
        <v/>
      </c>
      <c r="Y17">
        <f>HYPERLINK("https://klasma.github.io/Logging_0686/knärot/S 2513-2023 karta knärot.png", "S 2513-2023")</f>
        <v/>
      </c>
      <c r="Z17">
        <f>HYPERLINK("https://klasma.github.io/Logging_0686/klagomål/S 2513-2023 FSC-klagomål.docx", "S 2513-2023")</f>
        <v/>
      </c>
      <c r="AA17">
        <f>HYPERLINK("https://klasma.github.io/Logging_0686/klagomålsmail/S 2513-2023 FSC-klagomål mail.docx", "S 2513-2023")</f>
        <v/>
      </c>
      <c r="AB17">
        <f>HYPERLINK("https://klasma.github.io/Logging_0686/tillsyn/S 2513-2023 tillsynsbegäran.docx", "S 2513-2023")</f>
        <v/>
      </c>
      <c r="AC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Spindelört
Svartvit flugsnappare</t>
        </is>
      </c>
      <c r="V18">
        <f>HYPERLINK("https://klasma.github.io/Logging_0686/artfynd/S 542-2024 artfynd.xlsx", "S 542-2024")</f>
        <v/>
      </c>
      <c r="W18">
        <f>HYPERLINK("https://klasma.github.io/Logging_0686/kartor/S 542-2024 karta.png", "S 542-2024")</f>
        <v/>
      </c>
      <c r="X18">
        <f>HYPERLINK("https://klasma.github.io/Logging_0686/kartor_geotiff/S 542-2024 georefererad karta.tif", "S 542-2024")</f>
        <v/>
      </c>
      <c r="Z18">
        <f>HYPERLINK("https://klasma.github.io/Logging_0686/klagomål/S 542-2024 FSC-klagomål.docx", "S 542-2024")</f>
        <v/>
      </c>
      <c r="AA18">
        <f>HYPERLINK("https://klasma.github.io/Logging_0686/klagomålsmail/S 542-2024 FSC-klagomål mail.docx", "S 542-2024")</f>
        <v/>
      </c>
      <c r="AB18">
        <f>HYPERLINK("https://klasma.github.io/Logging_0686/tillsyn/S 542-2024 tillsynsbegäran.docx", "S 542-2024")</f>
        <v/>
      </c>
      <c r="AC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Blåsippa</t>
        </is>
      </c>
      <c r="V19">
        <f>HYPERLINK("https://klasma.github.io/Logging_0686/artfynd/S 2708-2025 artfynd.xlsx", "S 2708-2025")</f>
        <v/>
      </c>
      <c r="W19">
        <f>HYPERLINK("https://klasma.github.io/Logging_0686/kartor/S 2708-2025 karta.png", "S 2708-2025")</f>
        <v/>
      </c>
      <c r="X19">
        <f>HYPERLINK("https://klasma.github.io/Logging_0686/kartor_geotiff/S 2708-2025 georefererad karta.tif", "S 2708-2025")</f>
        <v/>
      </c>
      <c r="Z19">
        <f>HYPERLINK("https://klasma.github.io/Logging_0686/klagomål/S 2708-2025 FSC-klagomål.docx", "S 2708-2025")</f>
        <v/>
      </c>
      <c r="AA19">
        <f>HYPERLINK("https://klasma.github.io/Logging_0686/klagomålsmail/S 2708-2025 FSC-klagomål mail.docx", "S 2708-2025")</f>
        <v/>
      </c>
      <c r="AB19">
        <f>HYPERLINK("https://klasma.github.io/Logging_0686/tillsyn/S 2708-2025 tillsynsbegäran.docx", "S 2708-2025")</f>
        <v/>
      </c>
      <c r="AC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HYPERLINK("https://klasma.github.io/Logging_0686/artfynd/A 13839-2022 artfynd.xlsx", "A 13839-2022")</f>
        <v/>
      </c>
      <c r="W20">
        <f>HYPERLINK("https://klasma.github.io/Logging_0686/kartor/A 13839-2022 karta.png", "A 13839-2022")</f>
        <v/>
      </c>
      <c r="X20">
        <f>HYPERLINK("https://klasma.github.io/Logging_0686/kartor_geotiff/A 13839-2022 georefererad karta.tif", "A 13839-2022")</f>
        <v/>
      </c>
      <c r="Z20">
        <f>HYPERLINK("https://klasma.github.io/Logging_0686/klagomål/A 13839-2022 FSC-klagomål.docx", "A 13839-2022")</f>
        <v/>
      </c>
      <c r="AA20">
        <f>HYPERLINK("https://klasma.github.io/Logging_0686/klagomålsmail/A 13839-2022 FSC-klagomål mail.docx", "A 13839-2022")</f>
        <v/>
      </c>
      <c r="AB20">
        <f>HYPERLINK("https://klasma.github.io/Logging_0686/tillsyn/A 13839-2022 tillsynsbegäran.docx", "A 13839-2022")</f>
        <v/>
      </c>
      <c r="AC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Ladusvala</t>
        </is>
      </c>
      <c r="V21">
        <f>HYPERLINK("https://klasma.github.io/Logging_0686/artfynd/A 58083-2021 artfynd.xlsx", "A 58083-2021")</f>
        <v/>
      </c>
      <c r="W21">
        <f>HYPERLINK("https://klasma.github.io/Logging_0686/kartor/A 58083-2021 karta.png", "A 58083-2021")</f>
        <v/>
      </c>
      <c r="X21">
        <f>HYPERLINK("https://klasma.github.io/Logging_0686/kartor_geotiff/A 58083-2021 georefererad karta.tif", "A 58083-2021")</f>
        <v/>
      </c>
      <c r="Z21">
        <f>HYPERLINK("https://klasma.github.io/Logging_0686/klagomål/A 58083-2021 FSC-klagomål.docx", "A 58083-2021")</f>
        <v/>
      </c>
      <c r="AA21">
        <f>HYPERLINK("https://klasma.github.io/Logging_0686/klagomålsmail/A 58083-2021 FSC-klagomål mail.docx", "A 58083-2021")</f>
        <v/>
      </c>
      <c r="AB21">
        <f>HYPERLINK("https://klasma.github.io/Logging_0686/tillsyn/A 58083-2021 tillsynsbegäran.docx", "A 58083-2021")</f>
        <v/>
      </c>
      <c r="AC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Stoftfibbla</t>
        </is>
      </c>
      <c r="V22">
        <f>HYPERLINK("https://klasma.github.io/Logging_0686/artfynd/A 62904-2021 artfynd.xlsx", "A 62904-2021")</f>
        <v/>
      </c>
      <c r="W22">
        <f>HYPERLINK("https://klasma.github.io/Logging_0686/kartor/A 62904-2021 karta.png", "A 62904-2021")</f>
        <v/>
      </c>
      <c r="X22">
        <f>HYPERLINK("https://klasma.github.io/Logging_0686/kartor_geotiff/A 62904-2021 georefererad karta.tif", "A 62904-2021")</f>
        <v/>
      </c>
      <c r="Z22">
        <f>HYPERLINK("https://klasma.github.io/Logging_0686/klagomål/A 62904-2021 FSC-klagomål.docx", "A 62904-2021")</f>
        <v/>
      </c>
      <c r="AA22">
        <f>HYPERLINK("https://klasma.github.io/Logging_0686/klagomålsmail/A 62904-2021 FSC-klagomål mail.docx", "A 62904-2021")</f>
        <v/>
      </c>
      <c r="AB22">
        <f>HYPERLINK("https://klasma.github.io/Logging_0686/tillsyn/A 62904-2021 tillsynsbegäran.docx", "A 62904-2021")</f>
        <v/>
      </c>
      <c r="AC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Fjällig taggsvamp s.str.</t>
        </is>
      </c>
      <c r="V23">
        <f>HYPERLINK("https://klasma.github.io/Logging_0686/artfynd/A 46852-2022 artfynd.xlsx", "A 46852-2022")</f>
        <v/>
      </c>
      <c r="W23">
        <f>HYPERLINK("https://klasma.github.io/Logging_0686/kartor/A 46852-2022 karta.png", "A 46852-2022")</f>
        <v/>
      </c>
      <c r="X23">
        <f>HYPERLINK("https://klasma.github.io/Logging_0686/kartor_geotiff/A 46852-2022 georefererad karta.tif", "A 46852-2022")</f>
        <v/>
      </c>
      <c r="Z23">
        <f>HYPERLINK("https://klasma.github.io/Logging_0686/klagomål/A 46852-2022 FSC-klagomål.docx", "A 46852-2022")</f>
        <v/>
      </c>
      <c r="AA23">
        <f>HYPERLINK("https://klasma.github.io/Logging_0686/klagomålsmail/A 46852-2022 FSC-klagomål mail.docx", "A 46852-2022")</f>
        <v/>
      </c>
      <c r="AB23">
        <f>HYPERLINK("https://klasma.github.io/Logging_0686/tillsyn/A 46852-2022 tillsynsbegäran.docx", "A 46852-2022")</f>
        <v/>
      </c>
      <c r="AC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HYPERLINK("https://klasma.github.io/Logging_0686/artfynd/A 72037-2021 artfynd.xlsx", "A 72037-2021")</f>
        <v/>
      </c>
      <c r="W24">
        <f>HYPERLINK("https://klasma.github.io/Logging_0686/kartor/A 72037-2021 karta.png", "A 72037-2021")</f>
        <v/>
      </c>
      <c r="X24">
        <f>HYPERLINK("https://klasma.github.io/Logging_0686/kartor_geotiff/A 72037-2021 georefererad karta.tif", "A 72037-2021")</f>
        <v/>
      </c>
      <c r="Z24">
        <f>HYPERLINK("https://klasma.github.io/Logging_0686/klagomål/A 72037-2021 FSC-klagomål.docx", "A 72037-2021")</f>
        <v/>
      </c>
      <c r="AA24">
        <f>HYPERLINK("https://klasma.github.io/Logging_0686/klagomålsmail/A 72037-2021 FSC-klagomål mail.docx", "A 72037-2021")</f>
        <v/>
      </c>
      <c r="AB24">
        <f>HYPERLINK("https://klasma.github.io/Logging_0686/tillsyn/A 72037-2021 tillsynsbegäran.docx", "A 72037-2021")</f>
        <v/>
      </c>
      <c r="AC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46223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HYPERLINK("https://klasma.github.io/Logging_0686/artfynd/A 5519-2024 artfynd.xlsx", "A 5519-2024")</f>
        <v/>
      </c>
      <c r="W25">
        <f>HYPERLINK("https://klasma.github.io/Logging_0686/kartor/A 5519-2024 karta.png", "A 5519-2024")</f>
        <v/>
      </c>
      <c r="X25">
        <f>HYPERLINK("https://klasma.github.io/Logging_0686/kartor_geotiff/A 5519-2024 georefererad karta.tif", "A 5519-2024")</f>
        <v/>
      </c>
      <c r="Z25">
        <f>HYPERLINK("https://klasma.github.io/Logging_0686/klagomål/A 5519-2024 FSC-klagomål.docx", "A 5519-2024")</f>
        <v/>
      </c>
      <c r="AA25">
        <f>HYPERLINK("https://klasma.github.io/Logging_0686/klagomålsmail/A 5519-2024 FSC-klagomål mail.docx", "A 5519-2024")</f>
        <v/>
      </c>
      <c r="AB25">
        <f>HYPERLINK("https://klasma.github.io/Logging_0686/tillsyn/A 5519-2024 tillsynsbegäran.docx", "A 5519-2024")</f>
        <v/>
      </c>
      <c r="AC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46223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Tibast</t>
        </is>
      </c>
      <c r="V26">
        <f>HYPERLINK("https://klasma.github.io/Logging_0686/artfynd/A 47729-2022 artfynd.xlsx", "A 47729-2022")</f>
        <v/>
      </c>
      <c r="W26">
        <f>HYPERLINK("https://klasma.github.io/Logging_0686/kartor/A 47729-2022 karta.png", "A 47729-2022")</f>
        <v/>
      </c>
      <c r="X26">
        <f>HYPERLINK("https://klasma.github.io/Logging_0686/kartor_geotiff/A 47729-2022 georefererad karta.tif", "A 47729-2022")</f>
        <v/>
      </c>
      <c r="Z26">
        <f>HYPERLINK("https://klasma.github.io/Logging_0686/klagomål/A 47729-2022 FSC-klagomål.docx", "A 47729-2022")</f>
        <v/>
      </c>
      <c r="AA26">
        <f>HYPERLINK("https://klasma.github.io/Logging_0686/klagomålsmail/A 47729-2022 FSC-klagomål mail.docx", "A 47729-2022")</f>
        <v/>
      </c>
      <c r="AB26">
        <f>HYPERLINK("https://klasma.github.io/Logging_0686/tillsyn/A 47729-2022 tillsynsbegäran.docx", "A 47729-2022")</f>
        <v/>
      </c>
      <c r="AC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46223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Sotvaxskivling</t>
        </is>
      </c>
      <c r="V27">
        <f>HYPERLINK("https://klasma.github.io/Logging_0686/artfynd/A 10726-2024 artfynd.xlsx", "A 10726-2024")</f>
        <v/>
      </c>
      <c r="W27">
        <f>HYPERLINK("https://klasma.github.io/Logging_0686/kartor/A 10726-2024 karta.png", "A 10726-2024")</f>
        <v/>
      </c>
      <c r="X27">
        <f>HYPERLINK("https://klasma.github.io/Logging_0686/kartor_geotiff/A 10726-2024 georefererad karta.tif", "A 10726-2024")</f>
        <v/>
      </c>
      <c r="Z27">
        <f>HYPERLINK("https://klasma.github.io/Logging_0686/klagomål/A 10726-2024 FSC-klagomål.docx", "A 10726-2024")</f>
        <v/>
      </c>
      <c r="AA27">
        <f>HYPERLINK("https://klasma.github.io/Logging_0686/klagomålsmail/A 10726-2024 FSC-klagomål mail.docx", "A 10726-2024")</f>
        <v/>
      </c>
      <c r="AB27">
        <f>HYPERLINK("https://klasma.github.io/Logging_0686/tillsyn/A 10726-2024 tillsynsbegäran.docx", "A 10726-2024")</f>
        <v/>
      </c>
      <c r="AC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46223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HYPERLINK("https://klasma.github.io/Logging_0686/artfynd/A 4786-2024 artfynd.xlsx", "A 4786-2024")</f>
        <v/>
      </c>
      <c r="W28">
        <f>HYPERLINK("https://klasma.github.io/Logging_0686/kartor/A 4786-2024 karta.png", "A 4786-2024")</f>
        <v/>
      </c>
      <c r="X28">
        <f>HYPERLINK("https://klasma.github.io/Logging_0686/kartor_geotiff/A 4786-2024 georefererad karta.tif", "A 4786-2024")</f>
        <v/>
      </c>
      <c r="Z28">
        <f>HYPERLINK("https://klasma.github.io/Logging_0686/klagomål/A 4786-2024 FSC-klagomål.docx", "A 4786-2024")</f>
        <v/>
      </c>
      <c r="AA28">
        <f>HYPERLINK("https://klasma.github.io/Logging_0686/klagomålsmail/A 4786-2024 FSC-klagomål mail.docx", "A 4786-2024")</f>
        <v/>
      </c>
      <c r="AB28">
        <f>HYPERLINK("https://klasma.github.io/Logging_0686/tillsyn/A 4786-2024 tillsynsbegäran.docx", "A 4786-2024")</f>
        <v/>
      </c>
      <c r="AC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46223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Gränsticka</t>
        </is>
      </c>
      <c r="V29">
        <f>HYPERLINK("https://klasma.github.io/Logging_0686/artfynd/A 41029-2025 artfynd.xlsx", "A 41029-2025")</f>
        <v/>
      </c>
      <c r="W29">
        <f>HYPERLINK("https://klasma.github.io/Logging_0686/kartor/A 41029-2025 karta.png", "A 41029-2025")</f>
        <v/>
      </c>
      <c r="X29">
        <f>HYPERLINK("https://klasma.github.io/Logging_0686/kartor_geotiff/A 41029-2025 georefererad karta.tif", "A 41029-2025")</f>
        <v/>
      </c>
      <c r="Z29">
        <f>HYPERLINK("https://klasma.github.io/Logging_0686/klagomål/A 41029-2025 FSC-klagomål.docx", "A 41029-2025")</f>
        <v/>
      </c>
      <c r="AA29">
        <f>HYPERLINK("https://klasma.github.io/Logging_0686/klagomålsmail/A 41029-2025 FSC-klagomål mail.docx", "A 41029-2025")</f>
        <v/>
      </c>
      <c r="AB29">
        <f>HYPERLINK("https://klasma.github.io/Logging_0686/tillsyn/A 41029-2025 tillsynsbegäran.docx", "A 41029-2025")</f>
        <v/>
      </c>
      <c r="AC29">
        <f>HYPERLINK("https://klasma.github.io/Logging_0686/tillsynsmail/A 41029-2025 tillsynsbegäran mail.docx", "A 41029-2025")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46223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Gullklöver</t>
        </is>
      </c>
      <c r="V30">
        <f>HYPERLINK("https://klasma.github.io/Logging_0686/artfynd/A 58-2023 artfynd.xlsx", "A 58-2023")</f>
        <v/>
      </c>
      <c r="W30">
        <f>HYPERLINK("https://klasma.github.io/Logging_0686/kartor/A 58-2023 karta.png", "A 58-2023")</f>
        <v/>
      </c>
      <c r="X30">
        <f>HYPERLINK("https://klasma.github.io/Logging_0686/kartor_geotiff/A 58-2023 georefererad karta.tif", "A 58-2023")</f>
        <v/>
      </c>
      <c r="Z30">
        <f>HYPERLINK("https://klasma.github.io/Logging_0686/klagomål/A 58-2023 FSC-klagomål.docx", "A 58-2023")</f>
        <v/>
      </c>
      <c r="AA30">
        <f>HYPERLINK("https://klasma.github.io/Logging_0686/klagomålsmail/A 58-2023 FSC-klagomål mail.docx", "A 58-2023")</f>
        <v/>
      </c>
      <c r="AB30">
        <f>HYPERLINK("https://klasma.github.io/Logging_0686/tillsyn/A 58-2023 tillsynsbegäran.docx", "A 58-2023")</f>
        <v/>
      </c>
      <c r="AC30">
        <f>HYPERLINK("https://klasma.github.io/Logging_0686/tillsynsmail/A 58-2023 tillsynsbegäran mail.docx", "A 58-2023")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46223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Myggblomster</t>
        </is>
      </c>
      <c r="V31">
        <f>HYPERLINK("https://klasma.github.io/Logging_0686/artfynd/A 1073-2025 artfynd.xlsx", "A 1073-2025")</f>
        <v/>
      </c>
      <c r="W31">
        <f>HYPERLINK("https://klasma.github.io/Logging_0686/kartor/A 1073-2025 karta.png", "A 1073-2025")</f>
        <v/>
      </c>
      <c r="X31">
        <f>HYPERLINK("https://klasma.github.io/Logging_0686/kartor_geotiff/A 1073-2025 georefererad karta.tif", "A 1073-2025")</f>
        <v/>
      </c>
      <c r="Z31">
        <f>HYPERLINK("https://klasma.github.io/Logging_0686/klagomål/A 1073-2025 FSC-klagomål.docx", "A 1073-2025")</f>
        <v/>
      </c>
      <c r="AA31">
        <f>HYPERLINK("https://klasma.github.io/Logging_0686/klagomålsmail/A 1073-2025 FSC-klagomål mail.docx", "A 1073-2025")</f>
        <v/>
      </c>
      <c r="AB31">
        <f>HYPERLINK("https://klasma.github.io/Logging_0686/tillsyn/A 1073-2025 tillsynsbegäran.docx", "A 1073-2025")</f>
        <v/>
      </c>
      <c r="AC31">
        <f>HYPERLINK("https://klasma.github.io/Logging_0686/tillsynsmail/A 1073-2025 tillsynsbegäran mail.docx", "A 1073-2025")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46223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s="2" t="inlineStr">
        <is>
          <t>Ask</t>
        </is>
      </c>
      <c r="V32">
        <f>HYPERLINK("https://klasma.github.io/Logging_0686/artfynd/A 52446-2025 artfynd.xlsx", "A 52446-2025")</f>
        <v/>
      </c>
      <c r="W32">
        <f>HYPERLINK("https://klasma.github.io/Logging_0686/kartor/A 52446-2025 karta.png", "A 52446-2025")</f>
        <v/>
      </c>
      <c r="X32">
        <f>HYPERLINK("https://klasma.github.io/Logging_0686/kartor_geotiff/A 52446-2025 georefererad karta.tif", "A 52446-2025")</f>
        <v/>
      </c>
      <c r="Z32">
        <f>HYPERLINK("https://klasma.github.io/Logging_0686/klagomål/A 52446-2025 FSC-klagomål.docx", "A 52446-2025")</f>
        <v/>
      </c>
      <c r="AA32">
        <f>HYPERLINK("https://klasma.github.io/Logging_0686/klagomålsmail/A 52446-2025 FSC-klagomål mail.docx", "A 52446-2025")</f>
        <v/>
      </c>
      <c r="AB32">
        <f>HYPERLINK("https://klasma.github.io/Logging_0686/tillsyn/A 52446-2025 tillsynsbegäran.docx", "A 52446-2025")</f>
        <v/>
      </c>
      <c r="AC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46223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Brunfläckig pärlemorfjäril</t>
        </is>
      </c>
      <c r="V33">
        <f>HYPERLINK("https://klasma.github.io/Logging_0686/artfynd/A 56410-2025 artfynd.xlsx", "A 56410-2025")</f>
        <v/>
      </c>
      <c r="W33">
        <f>HYPERLINK("https://klasma.github.io/Logging_0686/kartor/A 56410-2025 karta.png", "A 56410-2025")</f>
        <v/>
      </c>
      <c r="X33">
        <f>HYPERLINK("https://klasma.github.io/Logging_0686/kartor_geotiff/A 56410-2025 georefererad karta.tif", "A 56410-2025")</f>
        <v/>
      </c>
      <c r="Z33">
        <f>HYPERLINK("https://klasma.github.io/Logging_0686/klagomål/A 56410-2025 FSC-klagomål.docx", "A 56410-2025")</f>
        <v/>
      </c>
      <c r="AA33">
        <f>HYPERLINK("https://klasma.github.io/Logging_0686/klagomålsmail/A 56410-2025 FSC-klagomål mail.docx", "A 56410-2025")</f>
        <v/>
      </c>
      <c r="AB33">
        <f>HYPERLINK("https://klasma.github.io/Logging_0686/tillsyn/A 56410-2025 tillsynsbegäran.docx", "A 56410-2025")</f>
        <v/>
      </c>
      <c r="AC33">
        <f>HYPERLINK("https://klasma.github.io/Logging_0686/tillsynsmail/A 56410-2025 tillsynsbegäran mail.docx", "A 56410-2025")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46223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Tibast</t>
        </is>
      </c>
      <c r="V34">
        <f>HYPERLINK("https://klasma.github.io/Logging_0686/artfynd/A 15419-2026 artfynd.xlsx", "A 15419-2026")</f>
        <v/>
      </c>
      <c r="W34">
        <f>HYPERLINK("https://klasma.github.io/Logging_0686/kartor/A 15419-2026 karta.png", "A 15419-2026")</f>
        <v/>
      </c>
      <c r="X34">
        <f>HYPERLINK("https://klasma.github.io/Logging_0686/kartor_geotiff/A 15419-2026 georefererad karta.tif", "A 15419-2026")</f>
        <v/>
      </c>
      <c r="Z34">
        <f>HYPERLINK("https://klasma.github.io/Logging_0686/klagomål/A 15419-2026 FSC-klagomål.docx", "A 15419-2026")</f>
        <v/>
      </c>
      <c r="AA34">
        <f>HYPERLINK("https://klasma.github.io/Logging_0686/klagomålsmail/A 15419-2026 FSC-klagomål mail.docx", "A 15419-2026")</f>
        <v/>
      </c>
      <c r="AB34">
        <f>HYPERLINK("https://klasma.github.io/Logging_0686/tillsyn/A 15419-2026 tillsynsbegäran.docx", "A 15419-2026")</f>
        <v/>
      </c>
      <c r="AC34">
        <f>HYPERLINK("https://klasma.github.io/Logging_0686/tillsynsmail/A 15419-2026 tillsynsbegäran mail.docx", "A 15419-2026")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46223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Dvärgbägarlav</t>
        </is>
      </c>
      <c r="V35">
        <f>HYPERLINK("https://klasma.github.io/Logging_0686/artfynd/A 18327-2024 artfynd.xlsx", "A 18327-2024")</f>
        <v/>
      </c>
      <c r="W35">
        <f>HYPERLINK("https://klasma.github.io/Logging_0686/kartor/A 18327-2024 karta.png", "A 18327-2024")</f>
        <v/>
      </c>
      <c r="X35">
        <f>HYPERLINK("https://klasma.github.io/Logging_0686/kartor_geotiff/A 18327-2024 georefererad karta.tif", "A 18327-2024")</f>
        <v/>
      </c>
      <c r="Z35">
        <f>HYPERLINK("https://klasma.github.io/Logging_0686/klagomål/A 18327-2024 FSC-klagomål.docx", "A 18327-2024")</f>
        <v/>
      </c>
      <c r="AA35">
        <f>HYPERLINK("https://klasma.github.io/Logging_0686/klagomålsmail/A 18327-2024 FSC-klagomål mail.docx", "A 18327-2024")</f>
        <v/>
      </c>
      <c r="AB35">
        <f>HYPERLINK("https://klasma.github.io/Logging_0686/tillsyn/A 18327-2024 tillsynsbegäran.docx", "A 18327-2024")</f>
        <v/>
      </c>
      <c r="AC35">
        <f>HYPERLINK("https://klasma.github.io/Logging_0686/tillsynsmail/A 18327-2024 tillsynsbegäran mail.docx", "A 18327-2024")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46223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Spindelblomster</t>
        </is>
      </c>
      <c r="V36">
        <f>HYPERLINK("https://klasma.github.io/Logging_0686/artfynd/A 32830-2025 artfynd.xlsx", "A 32830-2025")</f>
        <v/>
      </c>
      <c r="W36">
        <f>HYPERLINK("https://klasma.github.io/Logging_0686/kartor/A 32830-2025 karta.png", "A 32830-2025")</f>
        <v/>
      </c>
      <c r="X36">
        <f>HYPERLINK("https://klasma.github.io/Logging_0686/kartor_geotiff/A 32830-2025 georefererad karta.tif", "A 32830-2025")</f>
        <v/>
      </c>
      <c r="Z36">
        <f>HYPERLINK("https://klasma.github.io/Logging_0686/klagomål/A 32830-2025 FSC-klagomål.docx", "A 32830-2025")</f>
        <v/>
      </c>
      <c r="AA36">
        <f>HYPERLINK("https://klasma.github.io/Logging_0686/klagomålsmail/A 32830-2025 FSC-klagomål mail.docx", "A 32830-2025")</f>
        <v/>
      </c>
      <c r="AB36">
        <f>HYPERLINK("https://klasma.github.io/Logging_0686/tillsyn/A 32830-2025 tillsynsbegäran.docx", "A 32830-2025")</f>
        <v/>
      </c>
      <c r="AC36">
        <f>HYPERLINK("https://klasma.github.io/Logging_0686/tillsynsmail/A 32830-2025 tillsynsbegäran mail.docx", "A 32830-2025")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46223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Loppstarr</t>
        </is>
      </c>
      <c r="V37">
        <f>HYPERLINK("https://klasma.github.io/Logging_0686/artfynd/A 4446-2023 artfynd.xlsx", "A 4446-2023")</f>
        <v/>
      </c>
      <c r="W37">
        <f>HYPERLINK("https://klasma.github.io/Logging_0686/kartor/A 4446-2023 karta.png", "A 4446-2023")</f>
        <v/>
      </c>
      <c r="X37">
        <f>HYPERLINK("https://klasma.github.io/Logging_0686/kartor_geotiff/A 4446-2023 georefererad karta.tif", "A 4446-2023")</f>
        <v/>
      </c>
      <c r="Z37">
        <f>HYPERLINK("https://klasma.github.io/Logging_0686/klagomål/A 4446-2023 FSC-klagomål.docx", "A 4446-2023")</f>
        <v/>
      </c>
      <c r="AA37">
        <f>HYPERLINK("https://klasma.github.io/Logging_0686/klagomålsmail/A 4446-2023 FSC-klagomål mail.docx", "A 4446-2023")</f>
        <v/>
      </c>
      <c r="AB37">
        <f>HYPERLINK("https://klasma.github.io/Logging_0686/tillsyn/A 4446-2023 tillsynsbegäran.docx", "A 4446-2023")</f>
        <v/>
      </c>
      <c r="AC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46223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Mindre vattensalamander</t>
        </is>
      </c>
      <c r="V38">
        <f>HYPERLINK("https://klasma.github.io/Logging_0686/artfynd/A 41746-2023 artfynd.xlsx", "A 41746-2023")</f>
        <v/>
      </c>
      <c r="W38">
        <f>HYPERLINK("https://klasma.github.io/Logging_0686/kartor/A 41746-2023 karta.png", "A 41746-2023")</f>
        <v/>
      </c>
      <c r="X38">
        <f>HYPERLINK("https://klasma.github.io/Logging_0686/kartor_geotiff/A 41746-2023 georefererad karta.tif", "A 41746-2023")</f>
        <v/>
      </c>
      <c r="Z38">
        <f>HYPERLINK("https://klasma.github.io/Logging_0686/klagomål/A 41746-2023 FSC-klagomål.docx", "A 41746-2023")</f>
        <v/>
      </c>
      <c r="AA38">
        <f>HYPERLINK("https://klasma.github.io/Logging_0686/klagomålsmail/A 41746-2023 FSC-klagomål mail.docx", "A 41746-2023")</f>
        <v/>
      </c>
      <c r="AB38">
        <f>HYPERLINK("https://klasma.github.io/Logging_0686/tillsyn/A 41746-2023 tillsynsbegäran.docx", "A 41746-2023")</f>
        <v/>
      </c>
      <c r="AC38">
        <f>HYPERLINK("https://klasma.github.io/Logging_0686/tillsynsmail/A 41746-2023 tillsynsbegäran mail.docx", "A 41746-2023")</f>
        <v/>
      </c>
    </row>
    <row r="39" ht="15" customHeight="1">
      <c r="A39" t="inlineStr">
        <is>
          <t>A 38224-2023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46223</v>
      </c>
      <c r="F39" t="inlineStr">
        <is>
          <t>JÖNKÖPINGS LÄN</t>
        </is>
      </c>
      <c r="G39" t="inlineStr">
        <is>
          <t>EKSJÖ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s="2" t="inlineStr">
        <is>
          <t>Ask</t>
        </is>
      </c>
      <c r="V39">
        <f>HYPERLINK("https://klasma.github.io/Logging_0686/artfynd/A 38224-2023 artfynd.xlsx", "A 38224-2023")</f>
        <v/>
      </c>
      <c r="W39">
        <f>HYPERLINK("https://klasma.github.io/Logging_0686/kartor/A 38224-2023 karta.png", "A 38224-2023")</f>
        <v/>
      </c>
      <c r="X39">
        <f>HYPERLINK("https://klasma.github.io/Logging_0686/kartor_geotiff/A 38224-2023 georefererad karta.tif", "A 38224-2023")</f>
        <v/>
      </c>
      <c r="Z39">
        <f>HYPERLINK("https://klasma.github.io/Logging_0686/klagomål/A 38224-2023 FSC-klagomål.docx", "A 38224-2023")</f>
        <v/>
      </c>
      <c r="AA39">
        <f>HYPERLINK("https://klasma.github.io/Logging_0686/klagomålsmail/A 38224-2023 FSC-klagomål mail.docx", "A 38224-2023")</f>
        <v/>
      </c>
      <c r="AB39">
        <f>HYPERLINK("https://klasma.github.io/Logging_0686/tillsyn/A 38224-2023 tillsynsbegäran.docx", "A 38224-2023")</f>
        <v/>
      </c>
      <c r="AC39">
        <f>HYPERLINK("https://klasma.github.io/Logging_0686/tillsynsmail/A 38224-2023 tillsynsbegäran mail.docx", "A 38224-2023")</f>
        <v/>
      </c>
    </row>
    <row r="40" ht="15" customHeight="1">
      <c r="A40" t="inlineStr">
        <is>
          <t>A 48033-2023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45204</v>
      </c>
      <c r="E40" s="1" t="n">
        <v>46223</v>
      </c>
      <c r="F40" t="inlineStr">
        <is>
          <t>JÖNKÖPINGS LÄN</t>
        </is>
      </c>
      <c r="G40" t="inlineStr">
        <is>
          <t>EKSJÖ</t>
        </is>
      </c>
      <c r="H40" t="inlineStr">
        <is>
          <t>Sveaskog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5</v>
      </c>
      <c r="U40" s="2" t="inlineStr">
        <is>
          <t>Ask</t>
        </is>
      </c>
      <c r="V40">
        <f>HYPERLINK("https://klasma.github.io/Logging_0686/artfynd/A 48033-2023 artfynd.xlsx", "A 48033-2023")</f>
        <v/>
      </c>
      <c r="W40">
        <f>HYPERLINK("https://klasma.github.io/Logging_0686/kartor/A 48033-2023 karta.png", "A 48033-2023")</f>
        <v/>
      </c>
      <c r="X40">
        <f>HYPERLINK("https://klasma.github.io/Logging_0686/kartor_geotiff/A 48033-2023 georefererad karta.tif", "A 48033-2023")</f>
        <v/>
      </c>
      <c r="Z40">
        <f>HYPERLINK("https://klasma.github.io/Logging_0686/klagomål/A 48033-2023 FSC-klagomål.docx", "A 48033-2023")</f>
        <v/>
      </c>
      <c r="AA40">
        <f>HYPERLINK("https://klasma.github.io/Logging_0686/klagomålsmail/A 48033-2023 FSC-klagomål mail.docx", "A 48033-2023")</f>
        <v/>
      </c>
      <c r="AB40">
        <f>HYPERLINK("https://klasma.github.io/Logging_0686/tillsyn/A 48033-2023 tillsynsbegäran.docx", "A 48033-2023")</f>
        <v/>
      </c>
      <c r="AC40">
        <f>HYPERLINK("https://klasma.github.io/Logging_0686/tillsynsmail/A 48033-2023 tillsynsbegäran mail.docx", "A 48033-2023")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46223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Spindelört</t>
        </is>
      </c>
      <c r="V41">
        <f>HYPERLINK("https://klasma.github.io/Logging_0686/artfynd/A 23536-2026 artfynd.xlsx", "A 23536-2026")</f>
        <v/>
      </c>
      <c r="W41">
        <f>HYPERLINK("https://klasma.github.io/Logging_0686/kartor/A 23536-2026 karta.png", "A 23536-2026")</f>
        <v/>
      </c>
      <c r="X41">
        <f>HYPERLINK("https://klasma.github.io/Logging_0686/kartor_geotiff/A 23536-2026 georefererad karta.tif", "A 23536-2026")</f>
        <v/>
      </c>
      <c r="Z41">
        <f>HYPERLINK("https://klasma.github.io/Logging_0686/klagomål/A 23536-2026 FSC-klagomål.docx", "A 23536-2026")</f>
        <v/>
      </c>
      <c r="AA41">
        <f>HYPERLINK("https://klasma.github.io/Logging_0686/klagomålsmail/A 23536-2026 FSC-klagomål mail.docx", "A 23536-2026")</f>
        <v/>
      </c>
      <c r="AB41">
        <f>HYPERLINK("https://klasma.github.io/Logging_0686/tillsyn/A 23536-2026 tillsynsbegäran.docx", "A 23536-2026")</f>
        <v/>
      </c>
      <c r="AC41">
        <f>HYPERLINK("https://klasma.github.io/Logging_0686/tillsynsmail/A 23536-2026 tillsynsbegäran mail.docx", "A 23536-2026")</f>
        <v/>
      </c>
    </row>
    <row r="42" ht="15" customHeight="1">
      <c r="A42" t="inlineStr">
        <is>
          <t>A 23519-2026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46163</v>
      </c>
      <c r="E42" s="1" t="n">
        <v>46223</v>
      </c>
      <c r="F42" t="inlineStr">
        <is>
          <t>JÖNKÖPINGS LÄN</t>
        </is>
      </c>
      <c r="G42" t="inlineStr">
        <is>
          <t>EKSJÖ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Svartvit flugsnappare</t>
        </is>
      </c>
      <c r="V42">
        <f>HYPERLINK("https://klasma.github.io/Logging_0686/artfynd/A 23519-2026 artfynd.xlsx", "A 23519-2026")</f>
        <v/>
      </c>
      <c r="W42">
        <f>HYPERLINK("https://klasma.github.io/Logging_0686/kartor/A 23519-2026 karta.png", "A 23519-2026")</f>
        <v/>
      </c>
      <c r="X42">
        <f>HYPERLINK("https://klasma.github.io/Logging_0686/kartor_geotiff/A 23519-2026 georefererad karta.tif", "A 23519-2026")</f>
        <v/>
      </c>
      <c r="Z42">
        <f>HYPERLINK("https://klasma.github.io/Logging_0686/klagomål/A 23519-2026 FSC-klagomål.docx", "A 23519-2026")</f>
        <v/>
      </c>
      <c r="AA42">
        <f>HYPERLINK("https://klasma.github.io/Logging_0686/klagomålsmail/A 23519-2026 FSC-klagomål mail.docx", "A 23519-2026")</f>
        <v/>
      </c>
      <c r="AB42">
        <f>HYPERLINK("https://klasma.github.io/Logging_0686/tillsyn/A 23519-2026 tillsynsbegäran.docx", "A 23519-2026")</f>
        <v/>
      </c>
      <c r="AC42">
        <f>HYPERLINK("https://klasma.github.io/Logging_0686/tillsynsmail/A 23519-2026 tillsynsbegäran mail.docx", "A 23519-2026")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46223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Gröngöling</t>
        </is>
      </c>
      <c r="V43">
        <f>HYPERLINK("https://klasma.github.io/Logging_0686/artfynd/A 4964-2023 artfynd.xlsx", "A 4964-2023")</f>
        <v/>
      </c>
      <c r="W43">
        <f>HYPERLINK("https://klasma.github.io/Logging_0686/kartor/A 4964-2023 karta.png", "A 4964-2023")</f>
        <v/>
      </c>
      <c r="X43">
        <f>HYPERLINK("https://klasma.github.io/Logging_0686/kartor_geotiff/A 4964-2023 georefererad karta.tif", "A 4964-2023")</f>
        <v/>
      </c>
      <c r="Z43">
        <f>HYPERLINK("https://klasma.github.io/Logging_0686/klagomål/A 4964-2023 FSC-klagomål.docx", "A 4964-2023")</f>
        <v/>
      </c>
      <c r="AA43">
        <f>HYPERLINK("https://klasma.github.io/Logging_0686/klagomålsmail/A 4964-2023 FSC-klagomål mail.docx", "A 4964-2023")</f>
        <v/>
      </c>
      <c r="AB43">
        <f>HYPERLINK("https://klasma.github.io/Logging_0686/tillsyn/A 4964-2023 tillsynsbegäran.docx", "A 4964-2023")</f>
        <v/>
      </c>
      <c r="AC43">
        <f>HYPERLINK("https://klasma.github.io/Logging_0686/tillsynsmail/A 4964-2023 tillsynsbegäran mail.docx", "A 4964-2023")</f>
        <v/>
      </c>
    </row>
    <row r="44" ht="15" customHeight="1">
      <c r="A44" t="inlineStr">
        <is>
          <t>A 29121-2026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46202</v>
      </c>
      <c r="E44" s="1" t="n">
        <v>46223</v>
      </c>
      <c r="F44" t="inlineStr">
        <is>
          <t>JÖNKÖPINGS LÄN</t>
        </is>
      </c>
      <c r="G44" t="inlineStr">
        <is>
          <t>EKSJÖ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Ask</t>
        </is>
      </c>
      <c r="V44">
        <f>HYPERLINK("https://klasma.github.io/Logging_0686/artfynd/A 29121-2026 artfynd.xlsx", "A 29121-2026")</f>
        <v/>
      </c>
      <c r="W44">
        <f>HYPERLINK("https://klasma.github.io/Logging_0686/kartor/A 29121-2026 karta.png", "A 29121-2026")</f>
        <v/>
      </c>
      <c r="X44">
        <f>HYPERLINK("https://klasma.github.io/Logging_0686/kartor_geotiff/A 29121-2026 georefererad karta.tif", "A 29121-2026")</f>
        <v/>
      </c>
      <c r="Z44">
        <f>HYPERLINK("https://klasma.github.io/Logging_0686/klagomål/A 29121-2026 FSC-klagomål.docx", "A 29121-2026")</f>
        <v/>
      </c>
      <c r="AA44">
        <f>HYPERLINK("https://klasma.github.io/Logging_0686/klagomålsmail/A 29121-2026 FSC-klagomål mail.docx", "A 29121-2026")</f>
        <v/>
      </c>
      <c r="AB44">
        <f>HYPERLINK("https://klasma.github.io/Logging_0686/tillsyn/A 29121-2026 tillsynsbegäran.docx", "A 29121-2026")</f>
        <v/>
      </c>
      <c r="AC44">
        <f>HYPERLINK("https://klasma.github.io/Logging_0686/tillsynsmail/A 29121-2026 tillsynsbegäran mail.docx", "A 29121-2026")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46223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Ladusvala</t>
        </is>
      </c>
      <c r="V45">
        <f>HYPERLINK("https://klasma.github.io/Logging_0686/artfynd/A 49412-2021 artfynd.xlsx", "A 49412-2021")</f>
        <v/>
      </c>
      <c r="W45">
        <f>HYPERLINK("https://klasma.github.io/Logging_0686/kartor/A 49412-2021 karta.png", "A 49412-2021")</f>
        <v/>
      </c>
      <c r="X45">
        <f>HYPERLINK("https://klasma.github.io/Logging_0686/kartor_geotiff/A 49412-2021 georefererad karta.tif", "A 49412-2021")</f>
        <v/>
      </c>
      <c r="Z45">
        <f>HYPERLINK("https://klasma.github.io/Logging_0686/klagomål/A 49412-2021 FSC-klagomål.docx", "A 49412-2021")</f>
        <v/>
      </c>
      <c r="AA45">
        <f>HYPERLINK("https://klasma.github.io/Logging_0686/klagomålsmail/A 49412-2021 FSC-klagomål mail.docx", "A 49412-2021")</f>
        <v/>
      </c>
      <c r="AB45">
        <f>HYPERLINK("https://klasma.github.io/Logging_0686/tillsyn/A 49412-2021 tillsynsbegäran.docx", "A 49412-2021")</f>
        <v/>
      </c>
      <c r="AC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46223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s="2" t="inlineStr">
        <is>
          <t>Ask</t>
        </is>
      </c>
      <c r="V46">
        <f>HYPERLINK("https://klasma.github.io/Logging_0686/artfynd/A 5128-2024 artfynd.xlsx", "A 5128-2024")</f>
        <v/>
      </c>
      <c r="W46">
        <f>HYPERLINK("https://klasma.github.io/Logging_0686/kartor/A 5128-2024 karta.png", "A 5128-2024")</f>
        <v/>
      </c>
      <c r="X46">
        <f>HYPERLINK("https://klasma.github.io/Logging_0686/kartor_geotiff/A 5128-2024 georefererad karta.tif", "A 5128-2024")</f>
        <v/>
      </c>
      <c r="Z46">
        <f>HYPERLINK("https://klasma.github.io/Logging_0686/klagomål/A 5128-2024 FSC-klagomål.docx", "A 5128-2024")</f>
        <v/>
      </c>
      <c r="AA46">
        <f>HYPERLINK("https://klasma.github.io/Logging_0686/klagomålsmail/A 5128-2024 FSC-klagomål mail.docx", "A 5128-2024")</f>
        <v/>
      </c>
      <c r="AB46">
        <f>HYPERLINK("https://klasma.github.io/Logging_0686/tillsyn/A 5128-2024 tillsynsbegäran.docx", "A 5128-2024")</f>
        <v/>
      </c>
      <c r="AC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Styvnate</t>
        </is>
      </c>
      <c r="V47">
        <f>HYPERLINK("https://klasma.github.io/Logging_0686/artfynd/S 3702-2024 artfynd.xlsx", "S 3702-2024")</f>
        <v/>
      </c>
      <c r="W47">
        <f>HYPERLINK("https://klasma.github.io/Logging_0686/kartor/S 3702-2024 karta.png", "S 3702-2024")</f>
        <v/>
      </c>
      <c r="X47">
        <f>HYPERLINK("https://klasma.github.io/Logging_0686/kartor_geotiff/S 3702-2024 georefererad karta.tif", "S 3702-2024")</f>
        <v/>
      </c>
      <c r="Z47">
        <f>HYPERLINK("https://klasma.github.io/Logging_0686/klagomål/S 3702-2024 FSC-klagomål.docx", "S 3702-2024")</f>
        <v/>
      </c>
      <c r="AA47">
        <f>HYPERLINK("https://klasma.github.io/Logging_0686/klagomålsmail/S 3702-2024 FSC-klagomål mail.docx", "S 3702-2024")</f>
        <v/>
      </c>
      <c r="AB47">
        <f>HYPERLINK("https://klasma.github.io/Logging_0686/tillsyn/S 3702-2024 tillsynsbegäran.docx", "S 3702-2024")</f>
        <v/>
      </c>
      <c r="AC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Brandticka</t>
        </is>
      </c>
      <c r="V48">
        <f>HYPERLINK("https://klasma.github.io/Logging_0686/artfynd/S 2100-2024 artfynd.xlsx", "S 2100-2024")</f>
        <v/>
      </c>
      <c r="W48">
        <f>HYPERLINK("https://klasma.github.io/Logging_0686/kartor/S 2100-2024 karta.png", "S 2100-2024")</f>
        <v/>
      </c>
      <c r="X48">
        <f>HYPERLINK("https://klasma.github.io/Logging_0686/kartor_geotiff/S 2100-2024 georefererad karta.tif", "S 2100-2024")</f>
        <v/>
      </c>
      <c r="Z48">
        <f>HYPERLINK("https://klasma.github.io/Logging_0686/klagomål/S 2100-2024 FSC-klagomål.docx", "S 2100-2024")</f>
        <v/>
      </c>
      <c r="AA48">
        <f>HYPERLINK("https://klasma.github.io/Logging_0686/klagomålsmail/S 2100-2024 FSC-klagomål mail.docx", "S 2100-2024")</f>
        <v/>
      </c>
      <c r="AB48">
        <f>HYPERLINK("https://klasma.github.io/Logging_0686/tillsyn/S 2100-2024 tillsynsbegäran.docx", "S 2100-2024")</f>
        <v/>
      </c>
      <c r="AC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Spindelört</t>
        </is>
      </c>
      <c r="V49">
        <f>HYPERLINK("https://klasma.github.io/Logging_0686/artfynd/S 3314-2023 artfynd.xlsx", "S 3314-2023")</f>
        <v/>
      </c>
      <c r="W49">
        <f>HYPERLINK("https://klasma.github.io/Logging_0686/kartor/S 3314-2023 karta.png", "S 3314-2023")</f>
        <v/>
      </c>
      <c r="X49">
        <f>HYPERLINK("https://klasma.github.io/Logging_0686/kartor_geotiff/S 3314-2023 georefererad karta.tif", "S 3314-2023")</f>
        <v/>
      </c>
      <c r="Z49">
        <f>HYPERLINK("https://klasma.github.io/Logging_0686/klagomål/S 3314-2023 FSC-klagomål.docx", "S 3314-2023")</f>
        <v/>
      </c>
      <c r="AA49">
        <f>HYPERLINK("https://klasma.github.io/Logging_0686/klagomålsmail/S 3314-2023 FSC-klagomål mail.docx", "S 3314-2023")</f>
        <v/>
      </c>
      <c r="AB49">
        <f>HYPERLINK("https://klasma.github.io/Logging_0686/tillsyn/S 3314-2023 tillsynsbegäran.docx", "S 3314-2023")</f>
        <v/>
      </c>
      <c r="AC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Spindelört</t>
        </is>
      </c>
      <c r="V50">
        <f>HYPERLINK("https://klasma.github.io/Logging_0686/artfynd/S 523-2025 artfynd.xlsx", "S 523-2025")</f>
        <v/>
      </c>
      <c r="W50">
        <f>HYPERLINK("https://klasma.github.io/Logging_0686/kartor/S 523-2025 karta.png", "S 523-2025")</f>
        <v/>
      </c>
      <c r="X50">
        <f>HYPERLINK("https://klasma.github.io/Logging_0686/kartor_geotiff/S 523-2025 georefererad karta.tif", "S 523-2025")</f>
        <v/>
      </c>
      <c r="Z50">
        <f>HYPERLINK("https://klasma.github.io/Logging_0686/klagomål/S 523-2025 FSC-klagomål.docx", "S 523-2025")</f>
        <v/>
      </c>
      <c r="AA50">
        <f>HYPERLINK("https://klasma.github.io/Logging_0686/klagomålsmail/S 523-2025 FSC-klagomål mail.docx", "S 523-2025")</f>
        <v/>
      </c>
      <c r="AB50">
        <f>HYPERLINK("https://klasma.github.io/Logging_0686/tillsyn/S 523-2025 tillsynsbegäran.docx", "S 523-2025")</f>
        <v/>
      </c>
      <c r="AC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s="2" t="inlineStr">
        <is>
          <t>Ask</t>
        </is>
      </c>
      <c r="V51">
        <f>HYPERLINK("https://klasma.github.io/Logging_0686/artfynd/S 2968-2025 artfynd.xlsx", "S 2968-2025")</f>
        <v/>
      </c>
      <c r="W51">
        <f>HYPERLINK("https://klasma.github.io/Logging_0686/kartor/S 2968-2025 karta.png", "S 2968-2025")</f>
        <v/>
      </c>
      <c r="X51">
        <f>HYPERLINK("https://klasma.github.io/Logging_0686/kartor_geotiff/S 2968-2025 georefererad karta.tif", "S 2968-2025")</f>
        <v/>
      </c>
      <c r="Z51">
        <f>HYPERLINK("https://klasma.github.io/Logging_0686/klagomål/S 2968-2025 FSC-klagomål.docx", "S 2968-2025")</f>
        <v/>
      </c>
      <c r="AA51">
        <f>HYPERLINK("https://klasma.github.io/Logging_0686/klagomålsmail/S 2968-2025 FSC-klagomål mail.docx", "S 2968-2025")</f>
        <v/>
      </c>
      <c r="AB51">
        <f>HYPERLINK("https://klasma.github.io/Logging_0686/tillsyn/S 2968-2025 tillsynsbegäran.docx", "S 2968-2025")</f>
        <v/>
      </c>
      <c r="AC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46223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46223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46223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46223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46223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46223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46223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46223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46223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46223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46223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46223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44853</v>
      </c>
      <c r="E71" s="1" t="n">
        <v>46223</v>
      </c>
      <c r="F71" t="inlineStr">
        <is>
          <t>JÖNKÖPINGS LÄN</t>
        </is>
      </c>
      <c r="G71" t="inlineStr">
        <is>
          <t>EKSJÖ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46223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46223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46223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46223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46223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46223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46223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46223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46223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46223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46223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46223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46223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46223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46223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46223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46223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46223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46223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46223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46223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46223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46223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46223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46223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46223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46223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46223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46223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46223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46223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46223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46223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46223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46223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46223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46223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46223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46223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46223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46223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46223</v>
      </c>
      <c r="F114" t="inlineStr">
        <is>
          <t>JÖNKÖPINGS LÄN</t>
        </is>
      </c>
      <c r="G114" t="inlineStr">
        <is>
          <t>EKSJÖ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46223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46223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46223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46223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5608-2024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46223</v>
      </c>
      <c r="F119" t="inlineStr">
        <is>
          <t>JÖNKÖPINGS LÄN</t>
        </is>
      </c>
      <c r="G119" t="inlineStr">
        <is>
          <t>EKSJÖ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43411-2022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44834</v>
      </c>
      <c r="E120" s="1" t="n">
        <v>46223</v>
      </c>
      <c r="F120" t="inlineStr">
        <is>
          <t>JÖNKÖPINGS LÄN</t>
        </is>
      </c>
      <c r="G120" t="inlineStr">
        <is>
          <t>EKSJÖ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46223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46223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46223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9845-2025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46223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43483-2023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46223</v>
      </c>
      <c r="F125" t="inlineStr">
        <is>
          <t>JÖNKÖPINGS LÄN</t>
        </is>
      </c>
      <c r="G125" t="inlineStr">
        <is>
          <t>EKSJÖ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19468-2023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46223</v>
      </c>
      <c r="F126" t="inlineStr">
        <is>
          <t>JÖNKÖPINGS LÄN</t>
        </is>
      </c>
      <c r="G126" t="inlineStr">
        <is>
          <t>EKSJÖ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54255-2023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46223</v>
      </c>
      <c r="F127" t="inlineStr">
        <is>
          <t>JÖNKÖPINGS LÄN</t>
        </is>
      </c>
      <c r="G127" t="inlineStr">
        <is>
          <t>EKSJÖ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46223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10169-2025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46223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23535-2023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45076</v>
      </c>
      <c r="E130" s="1" t="n">
        <v>46223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46223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45741</v>
      </c>
      <c r="E132" s="1" t="n">
        <v>46223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46223</v>
      </c>
      <c r="F133" t="inlineStr">
        <is>
          <t>JÖNKÖPINGS LÄN</t>
        </is>
      </c>
      <c r="G133" t="inlineStr">
        <is>
          <t>EKSJÖ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46223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5530-2024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46223</v>
      </c>
      <c r="F135" t="inlineStr">
        <is>
          <t>JÖNKÖPINGS LÄN</t>
        </is>
      </c>
      <c r="G135" t="inlineStr">
        <is>
          <t>EKSJÖ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57327-2023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45245</v>
      </c>
      <c r="E136" s="1" t="n">
        <v>46223</v>
      </c>
      <c r="F136" t="inlineStr">
        <is>
          <t>JÖNKÖPINGS LÄN</t>
        </is>
      </c>
      <c r="G136" t="inlineStr">
        <is>
          <t>EKSJÖ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46223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27077-2023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45096</v>
      </c>
      <c r="E138" s="1" t="n">
        <v>46223</v>
      </c>
      <c r="F138" t="inlineStr">
        <is>
          <t>JÖNKÖPINGS LÄN</t>
        </is>
      </c>
      <c r="G138" t="inlineStr">
        <is>
          <t>EKSJÖ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46223</v>
      </c>
      <c r="F139" t="inlineStr">
        <is>
          <t>JÖNKÖPINGS LÄN</t>
        </is>
      </c>
      <c r="G139" t="inlineStr">
        <is>
          <t>EKSJÖ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46012-2022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46223</v>
      </c>
      <c r="F140" t="inlineStr">
        <is>
          <t>JÖNKÖPINGS LÄN</t>
        </is>
      </c>
      <c r="G140" t="inlineStr">
        <is>
          <t>EKSJÖ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46017-2022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44846</v>
      </c>
      <c r="E141" s="1" t="n">
        <v>46223</v>
      </c>
      <c r="F141" t="inlineStr">
        <is>
          <t>JÖNKÖPINGS LÄN</t>
        </is>
      </c>
      <c r="G141" t="inlineStr">
        <is>
          <t>EKSJÖ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56689-2021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44481</v>
      </c>
      <c r="E142" s="1" t="n">
        <v>46223</v>
      </c>
      <c r="F142" t="inlineStr">
        <is>
          <t>JÖNKÖPINGS LÄN</t>
        </is>
      </c>
      <c r="G142" t="inlineStr">
        <is>
          <t>EKSJÖ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46223</v>
      </c>
      <c r="F143" t="inlineStr">
        <is>
          <t>JÖNKÖPINGS LÄN</t>
        </is>
      </c>
      <c r="G143" t="inlineStr">
        <is>
          <t>EKSJÖ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36042-2024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46223</v>
      </c>
      <c r="F144" t="inlineStr">
        <is>
          <t>JÖNKÖPINGS LÄN</t>
        </is>
      </c>
      <c r="G144" t="inlineStr">
        <is>
          <t>EKSJÖ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36069-2024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46223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8070-2023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44974</v>
      </c>
      <c r="E146" s="1" t="n">
        <v>46223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46223</v>
      </c>
      <c r="F147" t="inlineStr">
        <is>
          <t>JÖNKÖPINGS LÄN</t>
        </is>
      </c>
      <c r="G147" t="inlineStr">
        <is>
          <t>EKSJÖ</t>
        </is>
      </c>
      <c r="H147" t="inlineStr">
        <is>
          <t>Övriga Aktiebolag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44942</v>
      </c>
      <c r="E148" s="1" t="n">
        <v>46223</v>
      </c>
      <c r="F148" t="inlineStr">
        <is>
          <t>JÖNKÖPINGS LÄN</t>
        </is>
      </c>
      <c r="G148" t="inlineStr">
        <is>
          <t>EKSJÖ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45154</v>
      </c>
      <c r="E149" s="1" t="n">
        <v>46223</v>
      </c>
      <c r="F149" t="inlineStr">
        <is>
          <t>JÖNKÖPINGS LÄN</t>
        </is>
      </c>
      <c r="G149" t="inlineStr">
        <is>
          <t>EKSJÖ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30931-2023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45113</v>
      </c>
      <c r="E150" s="1" t="n">
        <v>46223</v>
      </c>
      <c r="F150" t="inlineStr">
        <is>
          <t>JÖNKÖPINGS LÄN</t>
        </is>
      </c>
      <c r="G150" t="inlineStr">
        <is>
          <t>EKSJÖ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5528-2024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46223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5587-2024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46223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35256-2024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45530</v>
      </c>
      <c r="E153" s="1" t="n">
        <v>46223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50498-2022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46223</v>
      </c>
      <c r="F154" t="inlineStr">
        <is>
          <t>JÖNKÖPINGS LÄN</t>
        </is>
      </c>
      <c r="G154" t="inlineStr">
        <is>
          <t>EKSJÖ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29773-2024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45485</v>
      </c>
      <c r="E155" s="1" t="n">
        <v>46223</v>
      </c>
      <c r="F155" t="inlineStr">
        <is>
          <t>JÖNKÖPINGS LÄN</t>
        </is>
      </c>
      <c r="G155" t="inlineStr">
        <is>
          <t>EKSJÖ</t>
        </is>
      </c>
      <c r="H155" t="inlineStr">
        <is>
          <t>Övriga Aktiebolag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46223</v>
      </c>
      <c r="F156" t="inlineStr">
        <is>
          <t>JÖNKÖPINGS LÄN</t>
        </is>
      </c>
      <c r="G156" t="inlineStr">
        <is>
          <t>EKSJÖ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46223</v>
      </c>
      <c r="F157" t="inlineStr">
        <is>
          <t>JÖNKÖPINGS LÄN</t>
        </is>
      </c>
      <c r="G157" t="inlineStr">
        <is>
          <t>EKSJÖ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44600</v>
      </c>
      <c r="E158" s="1" t="n">
        <v>46223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59961-2022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46223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46223</v>
      </c>
      <c r="F160" t="inlineStr">
        <is>
          <t>JÖNKÖPINGS LÄN</t>
        </is>
      </c>
      <c r="G160" t="inlineStr">
        <is>
          <t>EKSJÖ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46223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59050-2021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46223</v>
      </c>
      <c r="F162" t="inlineStr">
        <is>
          <t>JÖNKÖPINGS LÄN</t>
        </is>
      </c>
      <c r="G162" t="inlineStr">
        <is>
          <t>EKSJÖ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46223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46223</v>
      </c>
      <c r="F164" t="inlineStr">
        <is>
          <t>JÖNKÖPINGS LÄN</t>
        </is>
      </c>
      <c r="G164" t="inlineStr">
        <is>
          <t>EKSJÖ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26306-2023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46223</v>
      </c>
      <c r="F165" t="inlineStr">
        <is>
          <t>JÖNKÖPINGS LÄN</t>
        </is>
      </c>
      <c r="G165" t="inlineStr">
        <is>
          <t>EKSJÖ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50299-2023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46223</v>
      </c>
      <c r="F166" t="inlineStr">
        <is>
          <t>JÖNKÖPINGS LÄN</t>
        </is>
      </c>
      <c r="G166" t="inlineStr">
        <is>
          <t>EKSJÖ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19856-2025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46223</v>
      </c>
      <c r="F167" t="inlineStr">
        <is>
          <t>JÖNKÖPINGS LÄN</t>
        </is>
      </c>
      <c r="G167" t="inlineStr">
        <is>
          <t>EKSJÖ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51020-2023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46223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44574</v>
      </c>
      <c r="E169" s="1" t="n">
        <v>46223</v>
      </c>
      <c r="F169" t="inlineStr">
        <is>
          <t>JÖNKÖPINGS LÄN</t>
        </is>
      </c>
      <c r="G169" t="inlineStr">
        <is>
          <t>EKSJÖ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27089-2025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45811</v>
      </c>
      <c r="E170" s="1" t="n">
        <v>46223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32601-2024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45513</v>
      </c>
      <c r="E171" s="1" t="n">
        <v>46223</v>
      </c>
      <c r="F171" t="inlineStr">
        <is>
          <t>JÖNKÖPINGS LÄN</t>
        </is>
      </c>
      <c r="G171" t="inlineStr">
        <is>
          <t>EKSJÖ</t>
        </is>
      </c>
      <c r="H171" t="inlineStr">
        <is>
          <t>Kyrkan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32362-2025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46223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46223</v>
      </c>
      <c r="F173" t="inlineStr">
        <is>
          <t>JÖNKÖPINGS LÄN</t>
        </is>
      </c>
      <c r="G173" t="inlineStr">
        <is>
          <t>EKSJÖ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46223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46223</v>
      </c>
      <c r="F175" t="inlineStr">
        <is>
          <t>JÖNKÖPINGS LÄN</t>
        </is>
      </c>
      <c r="G175" t="inlineStr">
        <is>
          <t>EKSJÖ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46223</v>
      </c>
      <c r="F176" t="inlineStr">
        <is>
          <t>JÖNKÖPINGS LÄN</t>
        </is>
      </c>
      <c r="G176" t="inlineStr">
        <is>
          <t>EKSJÖ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28441-2025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46223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55633-2022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46223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46223</v>
      </c>
      <c r="F179" t="inlineStr">
        <is>
          <t>JÖNKÖPINGS LÄN</t>
        </is>
      </c>
      <c r="G179" t="inlineStr">
        <is>
          <t>EKSJÖ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29653-2025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46223</v>
      </c>
      <c r="F180" t="inlineStr">
        <is>
          <t>JÖNKÖPINGS LÄN</t>
        </is>
      </c>
      <c r="G180" t="inlineStr">
        <is>
          <t>EKSJÖ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46223</v>
      </c>
      <c r="F181" t="inlineStr">
        <is>
          <t>JÖNKÖPINGS LÄN</t>
        </is>
      </c>
      <c r="G181" t="inlineStr">
        <is>
          <t>EKSJÖ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46223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4804-2026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46223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4801-2026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46223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30137-2025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46223</v>
      </c>
      <c r="F185" t="inlineStr">
        <is>
          <t>JÖNKÖPINGS LÄN</t>
        </is>
      </c>
      <c r="G185" t="inlineStr">
        <is>
          <t>EKSJÖ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46223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41035-2025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46223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11474-2024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46223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45911-2023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45195</v>
      </c>
      <c r="E189" s="1" t="n">
        <v>46223</v>
      </c>
      <c r="F189" t="inlineStr">
        <is>
          <t>JÖNKÖPINGS LÄN</t>
        </is>
      </c>
      <c r="G189" t="inlineStr">
        <is>
          <t>EKSJÖ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46223</v>
      </c>
      <c r="F190" t="inlineStr">
        <is>
          <t>JÖNKÖPINGS LÄN</t>
        </is>
      </c>
      <c r="G190" t="inlineStr">
        <is>
          <t>EKSJÖ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45837</v>
      </c>
      <c r="E191" s="1" t="n">
        <v>46223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8172-2023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46223</v>
      </c>
      <c r="F192" t="inlineStr">
        <is>
          <t>JÖNKÖPINGS LÄN</t>
        </is>
      </c>
      <c r="G192" t="inlineStr">
        <is>
          <t>EKSJÖ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44623</v>
      </c>
      <c r="E193" s="1" t="n">
        <v>46223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41440-2024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45560</v>
      </c>
      <c r="E194" s="1" t="n">
        <v>46223</v>
      </c>
      <c r="F194" t="inlineStr">
        <is>
          <t>JÖNKÖPINGS LÄN</t>
        </is>
      </c>
      <c r="G194" t="inlineStr">
        <is>
          <t>EKSJÖ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12821-2024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45384</v>
      </c>
      <c r="E195" s="1" t="n">
        <v>46223</v>
      </c>
      <c r="F195" t="inlineStr">
        <is>
          <t>JÖNKÖPINGS LÄN</t>
        </is>
      </c>
      <c r="G195" t="inlineStr">
        <is>
          <t>EKSJÖ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19491-2025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46223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42897-2025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46223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45370-2024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45576</v>
      </c>
      <c r="E198" s="1" t="n">
        <v>46223</v>
      </c>
      <c r="F198" t="inlineStr">
        <is>
          <t>JÖNKÖPINGS LÄN</t>
        </is>
      </c>
      <c r="G198" t="inlineStr">
        <is>
          <t>EKSJÖ</t>
        </is>
      </c>
      <c r="H198" t="inlineStr">
        <is>
          <t>Övriga Aktiebolag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36047-2024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45533</v>
      </c>
      <c r="E199" s="1" t="n">
        <v>46223</v>
      </c>
      <c r="F199" t="inlineStr">
        <is>
          <t>JÖNKÖPINGS LÄN</t>
        </is>
      </c>
      <c r="G199" t="inlineStr">
        <is>
          <t>EKSJÖ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46223</v>
      </c>
      <c r="F200" t="inlineStr">
        <is>
          <t>JÖNKÖPINGS LÄN</t>
        </is>
      </c>
      <c r="G200" t="inlineStr">
        <is>
          <t>EKSJÖ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46223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46223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46223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10153-2024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45364</v>
      </c>
      <c r="E204" s="1" t="n">
        <v>46223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46223</v>
      </c>
      <c r="F205" t="inlineStr">
        <is>
          <t>JÖNKÖPINGS LÄN</t>
        </is>
      </c>
      <c r="G205" t="inlineStr">
        <is>
          <t>EKSJÖ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43584-2025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46223</v>
      </c>
      <c r="F206" t="inlineStr">
        <is>
          <t>JÖNKÖPINGS LÄN</t>
        </is>
      </c>
      <c r="G206" t="inlineStr">
        <is>
          <t>EKSJÖ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43561-2025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46223</v>
      </c>
      <c r="F207" t="inlineStr">
        <is>
          <t>JÖNKÖPINGS LÄN</t>
        </is>
      </c>
      <c r="G207" t="inlineStr">
        <is>
          <t>EKSJÖ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44526-2025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45916</v>
      </c>
      <c r="E208" s="1" t="n">
        <v>46223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46223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46223</v>
      </c>
      <c r="F210" t="inlineStr">
        <is>
          <t>JÖNKÖPINGS LÄN</t>
        </is>
      </c>
      <c r="G210" t="inlineStr">
        <is>
          <t>EKSJÖ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33614-2025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46223</v>
      </c>
      <c r="F211" t="inlineStr">
        <is>
          <t>JÖNKÖPINGS LÄN</t>
        </is>
      </c>
      <c r="G211" t="inlineStr">
        <is>
          <t>EKSJÖ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33609-2025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46223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33775-2025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46223</v>
      </c>
      <c r="F213" t="inlineStr">
        <is>
          <t>JÖNKÖPINGS LÄN</t>
        </is>
      </c>
      <c r="G213" t="inlineStr">
        <is>
          <t>EKSJÖ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20897-2022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46223</v>
      </c>
      <c r="F214" t="inlineStr">
        <is>
          <t>JÖNKÖPINGS LÄN</t>
        </is>
      </c>
      <c r="G214" t="inlineStr">
        <is>
          <t>EKSJÖ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58632-2023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46223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46223</v>
      </c>
      <c r="F216" t="inlineStr">
        <is>
          <t>JÖNKÖPINGS LÄN</t>
        </is>
      </c>
      <c r="G216" t="inlineStr">
        <is>
          <t>EKSJÖ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25635-2024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45463</v>
      </c>
      <c r="E217" s="1" t="n">
        <v>46223</v>
      </c>
      <c r="F217" t="inlineStr">
        <is>
          <t>JÖNKÖPINGS LÄN</t>
        </is>
      </c>
      <c r="G217" t="inlineStr">
        <is>
          <t>EKSJÖ</t>
        </is>
      </c>
      <c r="H217" t="inlineStr">
        <is>
          <t>Övriga Aktiebolag</t>
        </is>
      </c>
      <c r="I217" t="n">
        <v>17.5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34124-2025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45845</v>
      </c>
      <c r="E218" s="1" t="n">
        <v>46223</v>
      </c>
      <c r="F218" t="inlineStr">
        <is>
          <t>JÖNKÖPINGS LÄN</t>
        </is>
      </c>
      <c r="G218" t="inlineStr">
        <is>
          <t>EKSJÖ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33970-2025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46223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46223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46134-2025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46223</v>
      </c>
      <c r="F221" t="inlineStr">
        <is>
          <t>JÖNKÖPINGS LÄN</t>
        </is>
      </c>
      <c r="G221" t="inlineStr">
        <is>
          <t>EKSJÖ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23534-2023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45076</v>
      </c>
      <c r="E222" s="1" t="n">
        <v>46223</v>
      </c>
      <c r="F222" t="inlineStr">
        <is>
          <t>JÖNKÖPINGS LÄN</t>
        </is>
      </c>
      <c r="G222" t="inlineStr">
        <is>
          <t>EKSJÖ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8057-2023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46223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46223</v>
      </c>
      <c r="F224" t="inlineStr">
        <is>
          <t>JÖNKÖPINGS LÄN</t>
        </is>
      </c>
      <c r="G224" t="inlineStr">
        <is>
          <t>EKSJÖ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36355-2022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44803</v>
      </c>
      <c r="E225" s="1" t="n">
        <v>46223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46223</v>
      </c>
      <c r="F226" t="inlineStr">
        <is>
          <t>JÖNKÖPINGS LÄN</t>
        </is>
      </c>
      <c r="G226" t="inlineStr">
        <is>
          <t>EKSJÖ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22176-2025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45785</v>
      </c>
      <c r="E227" s="1" t="n">
        <v>46223</v>
      </c>
      <c r="F227" t="inlineStr">
        <is>
          <t>JÖNKÖPINGS LÄN</t>
        </is>
      </c>
      <c r="G227" t="inlineStr">
        <is>
          <t>EKSJÖ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9385-2025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46223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59955-2022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44909</v>
      </c>
      <c r="E229" s="1" t="n">
        <v>46223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46223</v>
      </c>
      <c r="F230" t="inlineStr">
        <is>
          <t>JÖNKÖPINGS LÄN</t>
        </is>
      </c>
      <c r="G230" t="inlineStr">
        <is>
          <t>EKSJÖ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24928-2024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45461</v>
      </c>
      <c r="E231" s="1" t="n">
        <v>46223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45860</v>
      </c>
      <c r="E232" s="1" t="n">
        <v>46223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45860</v>
      </c>
      <c r="E233" s="1" t="n">
        <v>46223</v>
      </c>
      <c r="F233" t="inlineStr">
        <is>
          <t>JÖNKÖPINGS LÄN</t>
        </is>
      </c>
      <c r="G233" t="inlineStr">
        <is>
          <t>EKSJÖ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25141-2023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45086</v>
      </c>
      <c r="E234" s="1" t="n">
        <v>46223</v>
      </c>
      <c r="F234" t="inlineStr">
        <is>
          <t>JÖNKÖPINGS LÄN</t>
        </is>
      </c>
      <c r="G234" t="inlineStr">
        <is>
          <t>EKSJÖ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46223</v>
      </c>
      <c r="F235" t="inlineStr">
        <is>
          <t>JÖNKÖPINGS LÄN</t>
        </is>
      </c>
      <c r="G235" t="inlineStr">
        <is>
          <t>EKSJÖ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13273-2023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45003</v>
      </c>
      <c r="E236" s="1" t="n">
        <v>46223</v>
      </c>
      <c r="F236" t="inlineStr">
        <is>
          <t>JÖNKÖPINGS LÄN</t>
        </is>
      </c>
      <c r="G236" t="inlineStr">
        <is>
          <t>EKSJÖ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46223</v>
      </c>
      <c r="F237" t="inlineStr">
        <is>
          <t>JÖNKÖPINGS LÄN</t>
        </is>
      </c>
      <c r="G237" t="inlineStr">
        <is>
          <t>EKSJÖ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46223</v>
      </c>
      <c r="F238" t="inlineStr">
        <is>
          <t>JÖNKÖPINGS LÄN</t>
        </is>
      </c>
      <c r="G238" t="inlineStr">
        <is>
          <t>EKSJÖ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23183-2022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44719</v>
      </c>
      <c r="E239" s="1" t="n">
        <v>46223</v>
      </c>
      <c r="F239" t="inlineStr">
        <is>
          <t>JÖNKÖPINGS LÄN</t>
        </is>
      </c>
      <c r="G239" t="inlineStr">
        <is>
          <t>EKSJÖ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45036</v>
      </c>
      <c r="E240" s="1" t="n">
        <v>46223</v>
      </c>
      <c r="F240" t="inlineStr">
        <is>
          <t>JÖNKÖPINGS LÄN</t>
        </is>
      </c>
      <c r="G240" t="inlineStr">
        <is>
          <t>EKSJÖ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46223</v>
      </c>
      <c r="F241" t="inlineStr">
        <is>
          <t>JÖNKÖPINGS LÄN</t>
        </is>
      </c>
      <c r="G241" t="inlineStr">
        <is>
          <t>EKSJÖ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49862-2025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45940</v>
      </c>
      <c r="E242" s="1" t="n">
        <v>46223</v>
      </c>
      <c r="F242" t="inlineStr">
        <is>
          <t>JÖNKÖPINGS LÄN</t>
        </is>
      </c>
      <c r="G242" t="inlineStr">
        <is>
          <t>EKSJÖ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10309-2024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46223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46223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27086-2023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46223</v>
      </c>
      <c r="F245" t="inlineStr">
        <is>
          <t>JÖNKÖPINGS LÄN</t>
        </is>
      </c>
      <c r="G245" t="inlineStr">
        <is>
          <t>EKSJÖ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37169-2025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45875</v>
      </c>
      <c r="E246" s="1" t="n">
        <v>46223</v>
      </c>
      <c r="F246" t="inlineStr">
        <is>
          <t>JÖNKÖPINGS LÄN</t>
        </is>
      </c>
      <c r="G246" t="inlineStr">
        <is>
          <t>EKSJÖ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37173-2025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45875</v>
      </c>
      <c r="E247" s="1" t="n">
        <v>46223</v>
      </c>
      <c r="F247" t="inlineStr">
        <is>
          <t>JÖNKÖPINGS LÄN</t>
        </is>
      </c>
      <c r="G247" t="inlineStr">
        <is>
          <t>EKSJÖ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37519-2025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46223</v>
      </c>
      <c r="F248" t="inlineStr">
        <is>
          <t>JÖNKÖPINGS LÄN</t>
        </is>
      </c>
      <c r="G248" t="inlineStr">
        <is>
          <t>EKSJÖ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28438-2025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45819</v>
      </c>
      <c r="E249" s="1" t="n">
        <v>46223</v>
      </c>
      <c r="F249" t="inlineStr">
        <is>
          <t>JÖNKÖPINGS LÄN</t>
        </is>
      </c>
      <c r="G249" t="inlineStr">
        <is>
          <t>EKSJÖ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50289-2025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46223</v>
      </c>
      <c r="F250" t="inlineStr">
        <is>
          <t>JÖNKÖPINGS LÄN</t>
        </is>
      </c>
      <c r="G250" t="inlineStr">
        <is>
          <t>EKSJÖ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33971-2025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45842</v>
      </c>
      <c r="E251" s="1" t="n">
        <v>46223</v>
      </c>
      <c r="F251" t="inlineStr">
        <is>
          <t>JÖNKÖPINGS LÄN</t>
        </is>
      </c>
      <c r="G251" t="inlineStr">
        <is>
          <t>EKSJÖ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31307-2023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46223</v>
      </c>
      <c r="F252" t="inlineStr">
        <is>
          <t>JÖNKÖPINGS LÄN</t>
        </is>
      </c>
      <c r="G252" t="inlineStr">
        <is>
          <t>EKSJÖ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50804-2025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46223</v>
      </c>
      <c r="F253" t="inlineStr">
        <is>
          <t>JÖNKÖPINGS LÄN</t>
        </is>
      </c>
      <c r="G253" t="inlineStr">
        <is>
          <t>EKSJÖ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18413-2025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46223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46223</v>
      </c>
      <c r="F255" t="inlineStr">
        <is>
          <t>JÖNKÖPINGS LÄN</t>
        </is>
      </c>
      <c r="G255" t="inlineStr">
        <is>
          <t>EKSJÖ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57868-2024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46223</v>
      </c>
      <c r="F256" t="inlineStr">
        <is>
          <t>JÖNKÖPINGS LÄN</t>
        </is>
      </c>
      <c r="G256" t="inlineStr">
        <is>
          <t>EKSJÖ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46223</v>
      </c>
      <c r="F257" t="inlineStr">
        <is>
          <t>JÖNKÖPINGS LÄN</t>
        </is>
      </c>
      <c r="G257" t="inlineStr">
        <is>
          <t>EKSJÖ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54292-2023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45232</v>
      </c>
      <c r="E258" s="1" t="n">
        <v>46223</v>
      </c>
      <c r="F258" t="inlineStr">
        <is>
          <t>JÖNKÖPINGS LÄN</t>
        </is>
      </c>
      <c r="G258" t="inlineStr">
        <is>
          <t>EKSJÖ</t>
        </is>
      </c>
      <c r="I258" t="n">
        <v>18.3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52570-2025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46223</v>
      </c>
      <c r="F259" t="inlineStr">
        <is>
          <t>JÖNKÖPINGS LÄN</t>
        </is>
      </c>
      <c r="G259" t="inlineStr">
        <is>
          <t>EKSJÖ</t>
        </is>
      </c>
      <c r="H259" t="inlineStr">
        <is>
          <t>Kyrkan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52571-2025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46223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46223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32623-2022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44783</v>
      </c>
      <c r="E262" s="1" t="n">
        <v>46223</v>
      </c>
      <c r="F262" t="inlineStr">
        <is>
          <t>JÖNKÖPINGS LÄN</t>
        </is>
      </c>
      <c r="G262" t="inlineStr">
        <is>
          <t>EKSJÖ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47390-2022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46223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8984-2026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46223</v>
      </c>
      <c r="F264" t="inlineStr">
        <is>
          <t>JÖNKÖPINGS LÄN</t>
        </is>
      </c>
      <c r="G264" t="inlineStr">
        <is>
          <t>EKSJÖ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37753-2023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45156</v>
      </c>
      <c r="E265" s="1" t="n">
        <v>46223</v>
      </c>
      <c r="F265" t="inlineStr">
        <is>
          <t>JÖNKÖPINGS LÄN</t>
        </is>
      </c>
      <c r="G265" t="inlineStr">
        <is>
          <t>EKSJÖ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46223</v>
      </c>
      <c r="F266" t="inlineStr">
        <is>
          <t>JÖNKÖPINGS LÄN</t>
        </is>
      </c>
      <c r="G266" t="inlineStr">
        <is>
          <t>EKSJÖ</t>
        </is>
      </c>
      <c r="H266" t="inlineStr">
        <is>
          <t>Kommuner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46223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29754-2024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46223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38198-2023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46223</v>
      </c>
      <c r="F269" t="inlineStr">
        <is>
          <t>JÖNKÖPINGS LÄN</t>
        </is>
      </c>
      <c r="G269" t="inlineStr">
        <is>
          <t>EKSJÖ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38199-2023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46223</v>
      </c>
      <c r="F270" t="inlineStr">
        <is>
          <t>JÖNKÖPINGS LÄN</t>
        </is>
      </c>
      <c r="G270" t="inlineStr">
        <is>
          <t>EKSJÖ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55207-2023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46223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45706</v>
      </c>
      <c r="E272" s="1" t="n">
        <v>46223</v>
      </c>
      <c r="F272" t="inlineStr">
        <is>
          <t>JÖNKÖPINGS LÄN</t>
        </is>
      </c>
      <c r="G272" t="inlineStr">
        <is>
          <t>EKSJÖ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38592-2022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46223</v>
      </c>
      <c r="F273" t="inlineStr">
        <is>
          <t>JÖNKÖPINGS LÄN</t>
        </is>
      </c>
      <c r="G273" t="inlineStr">
        <is>
          <t>EKSJÖ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45224</v>
      </c>
      <c r="E274" s="1" t="n">
        <v>46223</v>
      </c>
      <c r="F274" t="inlineStr">
        <is>
          <t>JÖNKÖPINGS LÄN</t>
        </is>
      </c>
      <c r="G274" t="inlineStr">
        <is>
          <t>EKSJÖ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9400-2025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46223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9404-2025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46223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10045-2025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46223</v>
      </c>
      <c r="F277" t="inlineStr">
        <is>
          <t>JÖNKÖPINGS LÄN</t>
        </is>
      </c>
      <c r="G277" t="inlineStr">
        <is>
          <t>EKSJÖ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9294-2025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46223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9297-2025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45714</v>
      </c>
      <c r="E279" s="1" t="n">
        <v>46223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6.1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55628-2025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46223</v>
      </c>
      <c r="F280" t="inlineStr">
        <is>
          <t>JÖNKÖPINGS LÄN</t>
        </is>
      </c>
      <c r="G280" t="inlineStr">
        <is>
          <t>EKSJÖ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46223</v>
      </c>
      <c r="F281" t="inlineStr">
        <is>
          <t>JÖNKÖPINGS LÄN</t>
        </is>
      </c>
      <c r="G281" t="inlineStr">
        <is>
          <t>EKSJÖ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55530-2025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46223</v>
      </c>
      <c r="F282" t="inlineStr">
        <is>
          <t>JÖNKÖPINGS LÄN</t>
        </is>
      </c>
      <c r="G282" t="inlineStr">
        <is>
          <t>EKSJÖ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46223</v>
      </c>
      <c r="F283" t="inlineStr">
        <is>
          <t>JÖNKÖPINGS LÄN</t>
        </is>
      </c>
      <c r="G283" t="inlineStr">
        <is>
          <t>EKSJÖ</t>
        </is>
      </c>
      <c r="H283" t="inlineStr">
        <is>
          <t>Övriga Aktiebolag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13906-2023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46223</v>
      </c>
      <c r="F284" t="inlineStr">
        <is>
          <t>JÖNKÖPINGS LÄN</t>
        </is>
      </c>
      <c r="G284" t="inlineStr">
        <is>
          <t>EKSJÖ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46223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46223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45334</v>
      </c>
      <c r="E287" s="1" t="n">
        <v>46223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56491-2025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46223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46528-2023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46223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41016-2023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46223</v>
      </c>
      <c r="F290" t="inlineStr">
        <is>
          <t>JÖNKÖPINGS LÄN</t>
        </is>
      </c>
      <c r="G290" t="inlineStr">
        <is>
          <t>EKSJÖ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46223</v>
      </c>
      <c r="F291" t="inlineStr">
        <is>
          <t>JÖNKÖPINGS LÄN</t>
        </is>
      </c>
      <c r="G291" t="inlineStr">
        <is>
          <t>EKSJÖ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45072</v>
      </c>
      <c r="E292" s="1" t="n">
        <v>46223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57802-2025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46223</v>
      </c>
      <c r="F293" t="inlineStr">
        <is>
          <t>JÖNKÖPINGS LÄN</t>
        </is>
      </c>
      <c r="G293" t="inlineStr">
        <is>
          <t>EKSJÖ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17631-2024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46223</v>
      </c>
      <c r="F294" t="inlineStr">
        <is>
          <t>JÖNKÖPINGS LÄN</t>
        </is>
      </c>
      <c r="G294" t="inlineStr">
        <is>
          <t>EKSJÖ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21883-2023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45068</v>
      </c>
      <c r="E295" s="1" t="n">
        <v>46223</v>
      </c>
      <c r="F295" t="inlineStr">
        <is>
          <t>JÖNKÖPINGS LÄN</t>
        </is>
      </c>
      <c r="G295" t="inlineStr">
        <is>
          <t>EKSJÖ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58307-2025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46223</v>
      </c>
      <c r="F296" t="inlineStr">
        <is>
          <t>JÖNKÖPINGS LÄN</t>
        </is>
      </c>
      <c r="G296" t="inlineStr">
        <is>
          <t>EKSJÖ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58308-2025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46223</v>
      </c>
      <c r="F297" t="inlineStr">
        <is>
          <t>JÖNKÖPINGS LÄN</t>
        </is>
      </c>
      <c r="G297" t="inlineStr">
        <is>
          <t>EKSJÖ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14350-2025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46223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22670-2023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45071</v>
      </c>
      <c r="E299" s="1" t="n">
        <v>46223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30527-2023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46223</v>
      </c>
      <c r="F300" t="inlineStr">
        <is>
          <t>JÖNKÖPINGS LÄN</t>
        </is>
      </c>
      <c r="G300" t="inlineStr">
        <is>
          <t>EKSJÖ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59673-2025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46223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46223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59852-2022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46223</v>
      </c>
      <c r="F303" t="inlineStr">
        <is>
          <t>JÖNKÖPINGS LÄN</t>
        </is>
      </c>
      <c r="G303" t="inlineStr">
        <is>
          <t>EKSJÖ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59665-2025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46223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14420-2025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46223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46223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45991</v>
      </c>
      <c r="E307" s="1" t="n">
        <v>46223</v>
      </c>
      <c r="F307" t="inlineStr">
        <is>
          <t>JÖNKÖPINGS LÄN</t>
        </is>
      </c>
      <c r="G307" t="inlineStr">
        <is>
          <t>EKSJÖ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56469-2021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44480</v>
      </c>
      <c r="E308" s="1" t="n">
        <v>46223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46223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46223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13881-2026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46223</v>
      </c>
      <c r="F311" t="inlineStr">
        <is>
          <t>JÖNKÖPINGS LÄN</t>
        </is>
      </c>
      <c r="G311" t="inlineStr">
        <is>
          <t>EKSJÖ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14344-2026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46223</v>
      </c>
      <c r="F312" t="inlineStr">
        <is>
          <t>JÖNKÖPINGS LÄN</t>
        </is>
      </c>
      <c r="G312" t="inlineStr">
        <is>
          <t>EKSJÖ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39049-2021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44412</v>
      </c>
      <c r="E313" s="1" t="n">
        <v>46223</v>
      </c>
      <c r="F313" t="inlineStr">
        <is>
          <t>JÖNKÖPINGS LÄN</t>
        </is>
      </c>
      <c r="G313" t="inlineStr">
        <is>
          <t>EKSJÖ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27422-2023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46223</v>
      </c>
      <c r="F314" t="inlineStr">
        <is>
          <t>JÖNKÖPINGS LÄN</t>
        </is>
      </c>
      <c r="G314" t="inlineStr">
        <is>
          <t>EKSJÖ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62892-2025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46223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62958-2025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46223</v>
      </c>
      <c r="F316" t="inlineStr">
        <is>
          <t>JÖNKÖPINGS LÄN</t>
        </is>
      </c>
      <c r="G316" t="inlineStr">
        <is>
          <t>EKSJÖ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63438-2025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46223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46223</v>
      </c>
      <c r="F318" t="inlineStr">
        <is>
          <t>JÖNKÖPINGS LÄN</t>
        </is>
      </c>
      <c r="G318" t="inlineStr">
        <is>
          <t>EKSJÖ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63643-2025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46014</v>
      </c>
      <c r="E319" s="1" t="n">
        <v>46223</v>
      </c>
      <c r="F319" t="inlineStr">
        <is>
          <t>JÖNKÖPINGS LÄN</t>
        </is>
      </c>
      <c r="G319" t="inlineStr">
        <is>
          <t>EKSJÖ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64106-2025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46223</v>
      </c>
      <c r="F320" t="inlineStr">
        <is>
          <t>JÖNKÖPINGS LÄN</t>
        </is>
      </c>
      <c r="G320" t="inlineStr">
        <is>
          <t>EKSJÖ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46223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46223</v>
      </c>
      <c r="F322" t="inlineStr">
        <is>
          <t>JÖNKÖPINGS LÄN</t>
        </is>
      </c>
      <c r="G322" t="inlineStr">
        <is>
          <t>EKSJÖ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13833-2024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45391</v>
      </c>
      <c r="E323" s="1" t="n">
        <v>46223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43100-2021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44431</v>
      </c>
      <c r="E324" s="1" t="n">
        <v>46223</v>
      </c>
      <c r="F324" t="inlineStr">
        <is>
          <t>JÖNKÖPINGS LÄN</t>
        </is>
      </c>
      <c r="G324" t="inlineStr">
        <is>
          <t>EKSJÖ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15750-2026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46223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15755-2026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46223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15763-2026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46223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15767-2026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46223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35617-2023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46223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15754-2026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46223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46223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1638-2026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46223</v>
      </c>
      <c r="F332" t="inlineStr">
        <is>
          <t>JÖNKÖPINGS LÄN</t>
        </is>
      </c>
      <c r="G332" t="inlineStr">
        <is>
          <t>EKSJÖ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46223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46223</v>
      </c>
      <c r="F334" t="inlineStr">
        <is>
          <t>JÖNKÖPINGS LÄN</t>
        </is>
      </c>
      <c r="G334" t="inlineStr">
        <is>
          <t>EKSJÖ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1564-2026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46223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41816-2024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46223</v>
      </c>
      <c r="F336" t="inlineStr">
        <is>
          <t>JÖNKÖPINGS LÄN</t>
        </is>
      </c>
      <c r="G336" t="inlineStr">
        <is>
          <t>EKSJÖ</t>
        </is>
      </c>
      <c r="H336" t="inlineStr">
        <is>
          <t>Sveaskog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1625-2026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46223</v>
      </c>
      <c r="F337" t="inlineStr">
        <is>
          <t>JÖNKÖPINGS LÄN</t>
        </is>
      </c>
      <c r="G337" t="inlineStr">
        <is>
          <t>EKSJÖ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46223</v>
      </c>
      <c r="F338" t="inlineStr">
        <is>
          <t>JÖNKÖPINGS LÄN</t>
        </is>
      </c>
      <c r="G338" t="inlineStr">
        <is>
          <t>EKSJÖ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46223</v>
      </c>
      <c r="F339" t="inlineStr">
        <is>
          <t>JÖNKÖPINGS LÄN</t>
        </is>
      </c>
      <c r="G339" t="inlineStr">
        <is>
          <t>EKSJÖ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1566-2026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46223</v>
      </c>
      <c r="F340" t="inlineStr">
        <is>
          <t>JÖNKÖPINGS LÄN</t>
        </is>
      </c>
      <c r="G340" t="inlineStr">
        <is>
          <t>EKSJÖ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46031</v>
      </c>
      <c r="E341" s="1" t="n">
        <v>46223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15403-2026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46223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15411-2026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46223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61913-2022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46223</v>
      </c>
      <c r="F344" t="inlineStr">
        <is>
          <t>JÖNKÖPINGS LÄN</t>
        </is>
      </c>
      <c r="G344" t="inlineStr">
        <is>
          <t>EKSJÖ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46037</v>
      </c>
      <c r="E345" s="1" t="n">
        <v>46223</v>
      </c>
      <c r="F345" t="inlineStr">
        <is>
          <t>JÖNKÖPINGS LÄN</t>
        </is>
      </c>
      <c r="G345" t="inlineStr">
        <is>
          <t>EKSJÖ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46223</v>
      </c>
      <c r="F346" t="inlineStr">
        <is>
          <t>JÖNKÖPINGS LÄN</t>
        </is>
      </c>
      <c r="G346" t="inlineStr">
        <is>
          <t>EKSJÖ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2462-2026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46223</v>
      </c>
      <c r="F347" t="inlineStr">
        <is>
          <t>JÖNKÖPINGS LÄN</t>
        </is>
      </c>
      <c r="G347" t="inlineStr">
        <is>
          <t>EKSJÖ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36503-2024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45537</v>
      </c>
      <c r="E348" s="1" t="n">
        <v>46223</v>
      </c>
      <c r="F348" t="inlineStr">
        <is>
          <t>JÖNKÖPINGS LÄN</t>
        </is>
      </c>
      <c r="G348" t="inlineStr">
        <is>
          <t>EKSJÖ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15965-2026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46223</v>
      </c>
      <c r="F349" t="inlineStr">
        <is>
          <t>JÖNKÖPINGS LÄN</t>
        </is>
      </c>
      <c r="G349" t="inlineStr">
        <is>
          <t>EKSJÖ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46223</v>
      </c>
      <c r="F350" t="inlineStr">
        <is>
          <t>JÖNKÖPINGS LÄN</t>
        </is>
      </c>
      <c r="G350" t="inlineStr">
        <is>
          <t>EKSJÖ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16573-2026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46223</v>
      </c>
      <c r="F351" t="inlineStr">
        <is>
          <t>JÖNKÖPINGS LÄN</t>
        </is>
      </c>
      <c r="G351" t="inlineStr">
        <is>
          <t>EKSJÖ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16885-2026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46223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16894-2026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46223</v>
      </c>
      <c r="F353" t="inlineStr">
        <is>
          <t>JÖNKÖPINGS LÄN</t>
        </is>
      </c>
      <c r="G353" t="inlineStr">
        <is>
          <t>EKSJÖ</t>
        </is>
      </c>
      <c r="H353" t="inlineStr">
        <is>
          <t>Övriga Aktiebolag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9281-2023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44980</v>
      </c>
      <c r="E354" s="1" t="n">
        <v>46223</v>
      </c>
      <c r="F354" t="inlineStr">
        <is>
          <t>JÖNKÖPINGS LÄN</t>
        </is>
      </c>
      <c r="G354" t="inlineStr">
        <is>
          <t>EKSJÖ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46113</v>
      </c>
      <c r="E355" s="1" t="n">
        <v>46223</v>
      </c>
      <c r="F355" t="inlineStr">
        <is>
          <t>JÖNKÖPINGS LÄN</t>
        </is>
      </c>
      <c r="G355" t="inlineStr">
        <is>
          <t>EKSJÖ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41397-2024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45560</v>
      </c>
      <c r="E356" s="1" t="n">
        <v>46223</v>
      </c>
      <c r="F356" t="inlineStr">
        <is>
          <t>JÖNKÖPINGS LÄN</t>
        </is>
      </c>
      <c r="G356" t="inlineStr">
        <is>
          <t>EKSJÖ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64419-2021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44511</v>
      </c>
      <c r="E357" s="1" t="n">
        <v>46223</v>
      </c>
      <c r="F357" t="inlineStr">
        <is>
          <t>JÖNKÖPINGS LÄN</t>
        </is>
      </c>
      <c r="G357" t="inlineStr">
        <is>
          <t>EKSJÖ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26222-2024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45468</v>
      </c>
      <c r="E358" s="1" t="n">
        <v>46223</v>
      </c>
      <c r="F358" t="inlineStr">
        <is>
          <t>JÖNKÖPINGS LÄN</t>
        </is>
      </c>
      <c r="G358" t="inlineStr">
        <is>
          <t>EKSJÖ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3007-2024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46223</v>
      </c>
      <c r="F359" t="inlineStr">
        <is>
          <t>JÖNKÖPINGS LÄN</t>
        </is>
      </c>
      <c r="G359" t="inlineStr">
        <is>
          <t>EKSJÖ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46223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60436-2024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45643</v>
      </c>
      <c r="E361" s="1" t="n">
        <v>46223</v>
      </c>
      <c r="F361" t="inlineStr">
        <is>
          <t>JÖNKÖPINGS LÄN</t>
        </is>
      </c>
      <c r="G361" t="inlineStr">
        <is>
          <t>EKSJÖ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18520-2026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46127</v>
      </c>
      <c r="E362" s="1" t="n">
        <v>46223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8165-2022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46223</v>
      </c>
      <c r="F363" t="inlineStr">
        <is>
          <t>JÖNKÖPINGS LÄN</t>
        </is>
      </c>
      <c r="G363" t="inlineStr">
        <is>
          <t>EKSJÖ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58607-2023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46223</v>
      </c>
      <c r="F364" t="inlineStr">
        <is>
          <t>JÖNKÖPINGS LÄN</t>
        </is>
      </c>
      <c r="G364" t="inlineStr">
        <is>
          <t>EKSJÖ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38340-2023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46223</v>
      </c>
      <c r="F365" t="inlineStr">
        <is>
          <t>JÖNKÖPINGS LÄN</t>
        </is>
      </c>
      <c r="G365" t="inlineStr">
        <is>
          <t>EKSJÖ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19095-2026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46223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7262-2024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45344</v>
      </c>
      <c r="E367" s="1" t="n">
        <v>46223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15619-2024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45402</v>
      </c>
      <c r="E368" s="1" t="n">
        <v>46223</v>
      </c>
      <c r="F368" t="inlineStr">
        <is>
          <t>JÖNKÖPINGS LÄN</t>
        </is>
      </c>
      <c r="G368" t="inlineStr">
        <is>
          <t>EKSJÖ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58490-2024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45635</v>
      </c>
      <c r="E369" s="1" t="n">
        <v>46223</v>
      </c>
      <c r="F369" t="inlineStr">
        <is>
          <t>JÖNKÖPINGS LÄN</t>
        </is>
      </c>
      <c r="G369" t="inlineStr">
        <is>
          <t>EKSJÖ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22491-2023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46223</v>
      </c>
      <c r="F370" t="inlineStr">
        <is>
          <t>JÖNKÖPINGS LÄN</t>
        </is>
      </c>
      <c r="G370" t="inlineStr">
        <is>
          <t>EKSJÖ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34098-2024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45523</v>
      </c>
      <c r="E371" s="1" t="n">
        <v>46223</v>
      </c>
      <c r="F371" t="inlineStr">
        <is>
          <t>JÖNKÖPINGS LÄN</t>
        </is>
      </c>
      <c r="G371" t="inlineStr">
        <is>
          <t>EKSJÖ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5645-2024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45334</v>
      </c>
      <c r="E372" s="1" t="n">
        <v>46223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16.1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56804-2024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46223</v>
      </c>
      <c r="F373" t="inlineStr">
        <is>
          <t>JÖNKÖPINGS LÄN</t>
        </is>
      </c>
      <c r="G373" t="inlineStr">
        <is>
          <t>EKSJÖ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46223</v>
      </c>
      <c r="F374" t="inlineStr">
        <is>
          <t>JÖNKÖPINGS LÄN</t>
        </is>
      </c>
      <c r="G374" t="inlineStr">
        <is>
          <t>EKSJÖ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12399-2023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44999</v>
      </c>
      <c r="E375" s="1" t="n">
        <v>46223</v>
      </c>
      <c r="F375" t="inlineStr">
        <is>
          <t>JÖNKÖPINGS LÄN</t>
        </is>
      </c>
      <c r="G375" t="inlineStr">
        <is>
          <t>EKSJÖ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44999</v>
      </c>
      <c r="E376" s="1" t="n">
        <v>46223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46223</v>
      </c>
      <c r="F377" t="inlineStr">
        <is>
          <t>JÖNKÖPINGS LÄN</t>
        </is>
      </c>
      <c r="G377" t="inlineStr">
        <is>
          <t>EKSJÖ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33969-2025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46223</v>
      </c>
      <c r="F378" t="inlineStr">
        <is>
          <t>JÖNKÖPINGS LÄN</t>
        </is>
      </c>
      <c r="G378" t="inlineStr">
        <is>
          <t>EKSJÖ</t>
        </is>
      </c>
      <c r="I378" t="n">
        <v>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47989-2023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45204</v>
      </c>
      <c r="E379" s="1" t="n">
        <v>46223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38102-2025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45882</v>
      </c>
      <c r="E380" s="1" t="n">
        <v>46223</v>
      </c>
      <c r="F380" t="inlineStr">
        <is>
          <t>JÖNKÖPINGS LÄN</t>
        </is>
      </c>
      <c r="G380" t="inlineStr">
        <is>
          <t>EKSJÖ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46223</v>
      </c>
      <c r="F381" t="inlineStr">
        <is>
          <t>JÖNKÖPINGS LÄN</t>
        </is>
      </c>
      <c r="G381" t="inlineStr">
        <is>
          <t>EKSJÖ</t>
        </is>
      </c>
      <c r="H381" t="inlineStr">
        <is>
          <t>Sveaskog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7729-2025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46223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9283-2025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46223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9287-2025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46223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9292-2025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46223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9300-2025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46223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40094-2025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46223</v>
      </c>
      <c r="F387" t="inlineStr">
        <is>
          <t>JÖNKÖPINGS LÄN</t>
        </is>
      </c>
      <c r="G387" t="inlineStr">
        <is>
          <t>EKSJÖ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7372-2024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45345</v>
      </c>
      <c r="E388" s="1" t="n">
        <v>46223</v>
      </c>
      <c r="F388" t="inlineStr">
        <is>
          <t>JÖNKÖPINGS LÄN</t>
        </is>
      </c>
      <c r="G388" t="inlineStr">
        <is>
          <t>EKSJÖ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2819-2022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44581</v>
      </c>
      <c r="E389" s="1" t="n">
        <v>46223</v>
      </c>
      <c r="F389" t="inlineStr">
        <is>
          <t>JÖNKÖPINGS LÄN</t>
        </is>
      </c>
      <c r="G389" t="inlineStr">
        <is>
          <t>EKSJÖ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9058-2022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44615</v>
      </c>
      <c r="E390" s="1" t="n">
        <v>46223</v>
      </c>
      <c r="F390" t="inlineStr">
        <is>
          <t>JÖNKÖPINGS LÄN</t>
        </is>
      </c>
      <c r="G390" t="inlineStr">
        <is>
          <t>EKSJÖ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50516-2025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46223</v>
      </c>
      <c r="F391" t="inlineStr">
        <is>
          <t>JÖNKÖPINGS LÄN</t>
        </is>
      </c>
      <c r="G391" t="inlineStr">
        <is>
          <t>EKSJÖ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41030-2023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45173</v>
      </c>
      <c r="E392" s="1" t="n">
        <v>46223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23868-2023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45078</v>
      </c>
      <c r="E393" s="1" t="n">
        <v>46223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46223</v>
      </c>
      <c r="F394" t="inlineStr">
        <is>
          <t>JÖNKÖPINGS LÄN</t>
        </is>
      </c>
      <c r="G394" t="inlineStr">
        <is>
          <t>EKSJÖ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58631-2023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45251</v>
      </c>
      <c r="E395" s="1" t="n">
        <v>46223</v>
      </c>
      <c r="F395" t="inlineStr">
        <is>
          <t>JÖNKÖPINGS LÄN</t>
        </is>
      </c>
      <c r="G395" t="inlineStr">
        <is>
          <t>EKSJÖ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20480-2026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46223</v>
      </c>
      <c r="F396" t="inlineStr">
        <is>
          <t>JÖNKÖPINGS LÄN</t>
        </is>
      </c>
      <c r="G396" t="inlineStr">
        <is>
          <t>EKSJÖ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46223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28276-2025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46223</v>
      </c>
      <c r="F398" t="inlineStr">
        <is>
          <t>JÖNKÖPINGS LÄN</t>
        </is>
      </c>
      <c r="G398" t="inlineStr">
        <is>
          <t>EKSJÖ</t>
        </is>
      </c>
      <c r="H398" t="inlineStr">
        <is>
          <t>Övriga Aktiebolag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2828-2025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46223</v>
      </c>
      <c r="F399" t="inlineStr">
        <is>
          <t>JÖNKÖPINGS LÄN</t>
        </is>
      </c>
      <c r="G399" t="inlineStr">
        <is>
          <t>EKSJÖ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46223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55817-2023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46223</v>
      </c>
      <c r="F401" t="inlineStr">
        <is>
          <t>JÖNKÖPINGS LÄN</t>
        </is>
      </c>
      <c r="G401" t="inlineStr">
        <is>
          <t>EKSJÖ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53987-2023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45231</v>
      </c>
      <c r="E402" s="1" t="n">
        <v>46223</v>
      </c>
      <c r="F402" t="inlineStr">
        <is>
          <t>JÖNKÖPINGS LÄN</t>
        </is>
      </c>
      <c r="G402" t="inlineStr">
        <is>
          <t>EKSJÖ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26179-2026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46223</v>
      </c>
      <c r="F403" t="inlineStr">
        <is>
          <t>JÖNKÖPINGS LÄN</t>
        </is>
      </c>
      <c r="G403" t="inlineStr">
        <is>
          <t>EKSJÖ</t>
        </is>
      </c>
      <c r="H403" t="inlineStr">
        <is>
          <t>Kyrkan</t>
        </is>
      </c>
      <c r="I403" t="n">
        <v>15.2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38659-2023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45162</v>
      </c>
      <c r="E404" s="1" t="n">
        <v>46223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54292-2023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45232</v>
      </c>
      <c r="E405" s="1" t="n">
        <v>46223</v>
      </c>
      <c r="F405" t="inlineStr">
        <is>
          <t>JÖNKÖPINGS LÄN</t>
        </is>
      </c>
      <c r="G405" t="inlineStr">
        <is>
          <t>EKSJÖ</t>
        </is>
      </c>
      <c r="I405" t="n">
        <v>18.3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38337-2023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46223</v>
      </c>
      <c r="F406" t="inlineStr">
        <is>
          <t>JÖNKÖPINGS LÄN</t>
        </is>
      </c>
      <c r="G406" t="inlineStr">
        <is>
          <t>EKSJÖ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18062-2024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46223</v>
      </c>
      <c r="F407" t="inlineStr">
        <is>
          <t>JÖNKÖPINGS LÄN</t>
        </is>
      </c>
      <c r="G407" t="inlineStr">
        <is>
          <t>EKSJÖ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53479-2023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46223</v>
      </c>
      <c r="F408" t="inlineStr">
        <is>
          <t>JÖNKÖPINGS LÄN</t>
        </is>
      </c>
      <c r="G408" t="inlineStr">
        <is>
          <t>EKSJÖ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45666</v>
      </c>
      <c r="E409" s="1" t="n">
        <v>46223</v>
      </c>
      <c r="F409" t="inlineStr">
        <is>
          <t>JÖNKÖPINGS LÄN</t>
        </is>
      </c>
      <c r="G409" t="inlineStr">
        <is>
          <t>EKSJÖ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38106-2025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46223</v>
      </c>
      <c r="F410" t="inlineStr">
        <is>
          <t>JÖNKÖPINGS LÄN</t>
        </is>
      </c>
      <c r="G410" t="inlineStr">
        <is>
          <t>EKSJÖ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34021-2024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45523</v>
      </c>
      <c r="E411" s="1" t="n">
        <v>46223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34045-2024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45523</v>
      </c>
      <c r="E412" s="1" t="n">
        <v>46223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45195</v>
      </c>
      <c r="E413" s="1" t="n">
        <v>46223</v>
      </c>
      <c r="F413" t="inlineStr">
        <is>
          <t>JÖNKÖPINGS LÄN</t>
        </is>
      </c>
      <c r="G413" t="inlineStr">
        <is>
          <t>EKSJÖ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45913-2023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45195</v>
      </c>
      <c r="E414" s="1" t="n">
        <v>46223</v>
      </c>
      <c r="F414" t="inlineStr">
        <is>
          <t>JÖNKÖPINGS LÄN</t>
        </is>
      </c>
      <c r="G414" t="inlineStr">
        <is>
          <t>EKSJÖ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45175</v>
      </c>
      <c r="E415" s="1" t="n">
        <v>46223</v>
      </c>
      <c r="F415" t="inlineStr">
        <is>
          <t>JÖNKÖPINGS LÄN</t>
        </is>
      </c>
      <c r="G415" t="inlineStr">
        <is>
          <t>EKSJÖ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26649-2026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46223</v>
      </c>
      <c r="F416" t="inlineStr">
        <is>
          <t>JÖNKÖPINGS LÄN</t>
        </is>
      </c>
      <c r="G416" t="inlineStr">
        <is>
          <t>EKSJÖ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3496-2025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46223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26405-2026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46223</v>
      </c>
      <c r="F418" t="inlineStr">
        <is>
          <t>JÖNKÖPINGS LÄN</t>
        </is>
      </c>
      <c r="G418" t="inlineStr">
        <is>
          <t>EKSJÖ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18324-2022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44685</v>
      </c>
      <c r="E419" s="1" t="n">
        <v>46223</v>
      </c>
      <c r="F419" t="inlineStr">
        <is>
          <t>JÖNKÖPINGS LÄN</t>
        </is>
      </c>
      <c r="G419" t="inlineStr">
        <is>
          <t>EKSJÖ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54916-2023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45236</v>
      </c>
      <c r="E420" s="1" t="n">
        <v>46223</v>
      </c>
      <c r="F420" t="inlineStr">
        <is>
          <t>JÖNKÖPINGS LÄN</t>
        </is>
      </c>
      <c r="G420" t="inlineStr">
        <is>
          <t>EKSJÖ</t>
        </is>
      </c>
      <c r="H420" t="inlineStr">
        <is>
          <t>Övriga Aktiebolag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8056-2025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45707</v>
      </c>
      <c r="E421" s="1" t="n">
        <v>46223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59905-2022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44908</v>
      </c>
      <c r="E422" s="1" t="n">
        <v>46223</v>
      </c>
      <c r="F422" t="inlineStr">
        <is>
          <t>JÖNKÖPINGS LÄN</t>
        </is>
      </c>
      <c r="G422" t="inlineStr">
        <is>
          <t>EKSJÖ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46223</v>
      </c>
      <c r="F423" t="inlineStr">
        <is>
          <t>JÖNKÖPINGS LÄN</t>
        </is>
      </c>
      <c r="G423" t="inlineStr">
        <is>
          <t>EKSJÖ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11446-2023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44991</v>
      </c>
      <c r="E424" s="1" t="n">
        <v>46223</v>
      </c>
      <c r="F424" t="inlineStr">
        <is>
          <t>JÖNKÖPINGS LÄN</t>
        </is>
      </c>
      <c r="G424" t="inlineStr">
        <is>
          <t>EKSJÖ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26648-2026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46223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26650-2026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46223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55808-2023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46223</v>
      </c>
      <c r="F427" t="inlineStr">
        <is>
          <t>JÖNKÖPINGS LÄN</t>
        </is>
      </c>
      <c r="G427" t="inlineStr">
        <is>
          <t>EKSJÖ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45315</v>
      </c>
      <c r="E428" s="1" t="n">
        <v>46223</v>
      </c>
      <c r="F428" t="inlineStr">
        <is>
          <t>JÖNKÖPINGS LÄN</t>
        </is>
      </c>
      <c r="G428" t="inlineStr">
        <is>
          <t>EKSJÖ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46223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21073-2026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46223</v>
      </c>
      <c r="F430" t="inlineStr">
        <is>
          <t>JÖNKÖPINGS LÄN</t>
        </is>
      </c>
      <c r="G430" t="inlineStr">
        <is>
          <t>EKSJÖ</t>
        </is>
      </c>
      <c r="H430" t="inlineStr">
        <is>
          <t>Sveaskog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46223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45314</v>
      </c>
      <c r="E432" s="1" t="n">
        <v>46223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45314</v>
      </c>
      <c r="E433" s="1" t="n">
        <v>46223</v>
      </c>
      <c r="F433" t="inlineStr">
        <is>
          <t>JÖNKÖPINGS LÄN</t>
        </is>
      </c>
      <c r="G433" t="inlineStr">
        <is>
          <t>EKSJÖ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25613-2024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46223</v>
      </c>
      <c r="F434" t="inlineStr">
        <is>
          <t>JÖNKÖPINGS LÄN</t>
        </is>
      </c>
      <c r="G434" t="inlineStr">
        <is>
          <t>EKSJÖ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4744-2024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46223</v>
      </c>
      <c r="F435" t="inlineStr">
        <is>
          <t>JÖNKÖPINGS LÄN</t>
        </is>
      </c>
      <c r="G435" t="inlineStr">
        <is>
          <t>EKSJÖ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4784-2024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46223</v>
      </c>
      <c r="F436" t="inlineStr">
        <is>
          <t>JÖNKÖPINGS LÄN</t>
        </is>
      </c>
      <c r="G436" t="inlineStr">
        <is>
          <t>EKSJÖ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17636-2025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46223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9429-2025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45715</v>
      </c>
      <c r="E438" s="1" t="n">
        <v>46223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28261-2022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44746</v>
      </c>
      <c r="E439" s="1" t="n">
        <v>46223</v>
      </c>
      <c r="F439" t="inlineStr">
        <is>
          <t>JÖNKÖPINGS LÄN</t>
        </is>
      </c>
      <c r="G439" t="inlineStr">
        <is>
          <t>EKSJÖ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41744-2023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46223</v>
      </c>
      <c r="F440" t="inlineStr">
        <is>
          <t>JÖNKÖPINGS LÄN</t>
        </is>
      </c>
      <c r="G440" t="inlineStr">
        <is>
          <t>EKSJÖ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55656-2022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44888</v>
      </c>
      <c r="E441" s="1" t="n">
        <v>46223</v>
      </c>
      <c r="F441" t="inlineStr">
        <is>
          <t>JÖNKÖPINGS LÄN</t>
        </is>
      </c>
      <c r="G441" t="inlineStr">
        <is>
          <t>EKSJÖ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61384-2023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46223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59734-2022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44908</v>
      </c>
      <c r="E443" s="1" t="n">
        <v>46223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46013-2022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46223</v>
      </c>
      <c r="F444" t="inlineStr">
        <is>
          <t>JÖNKÖPINGS LÄN</t>
        </is>
      </c>
      <c r="G444" t="inlineStr">
        <is>
          <t>EKSJÖ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46014-2022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44846</v>
      </c>
      <c r="E445" s="1" t="n">
        <v>46223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9188-2024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46223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56563-2023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46223</v>
      </c>
      <c r="F447" t="inlineStr">
        <is>
          <t>JÖNKÖPINGS LÄN</t>
        </is>
      </c>
      <c r="G447" t="inlineStr">
        <is>
          <t>EKSJÖ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11381-2022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44630</v>
      </c>
      <c r="E448" s="1" t="n">
        <v>46223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28371-2026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46223</v>
      </c>
      <c r="F449" t="inlineStr">
        <is>
          <t>JÖNKÖPINGS LÄN</t>
        </is>
      </c>
      <c r="G449" t="inlineStr">
        <is>
          <t>EKSJÖ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50275-2023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46223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47204-2022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46223</v>
      </c>
      <c r="F451" t="inlineStr">
        <is>
          <t>JÖNKÖPINGS LÄN</t>
        </is>
      </c>
      <c r="G451" t="inlineStr">
        <is>
          <t>EKSJÖ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37918-2023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45160</v>
      </c>
      <c r="E452" s="1" t="n">
        <v>46223</v>
      </c>
      <c r="F452" t="inlineStr">
        <is>
          <t>JÖNKÖPINGS LÄN</t>
        </is>
      </c>
      <c r="G452" t="inlineStr">
        <is>
          <t>EKSJÖ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27448-2023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46223</v>
      </c>
      <c r="F453" t="inlineStr">
        <is>
          <t>JÖNKÖPINGS LÄN</t>
        </is>
      </c>
      <c r="G453" t="inlineStr">
        <is>
          <t>EKSJÖ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46577-2022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44848</v>
      </c>
      <c r="E454" s="1" t="n">
        <v>46223</v>
      </c>
      <c r="F454" t="inlineStr">
        <is>
          <t>JÖNKÖPINGS LÄN</t>
        </is>
      </c>
      <c r="G454" t="inlineStr">
        <is>
          <t>EKSJÖ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35738-2024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45532</v>
      </c>
      <c r="E455" s="1" t="n">
        <v>46223</v>
      </c>
      <c r="F455" t="inlineStr">
        <is>
          <t>JÖNKÖPINGS LÄN</t>
        </is>
      </c>
      <c r="G455" t="inlineStr">
        <is>
          <t>EKSJÖ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44987</v>
      </c>
      <c r="E456" s="1" t="n">
        <v>46223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63439-2025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46223</v>
      </c>
      <c r="F457" t="inlineStr">
        <is>
          <t>JÖNKÖPINGS LÄN</t>
        </is>
      </c>
      <c r="G457" t="inlineStr">
        <is>
          <t>EKSJÖ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28486-2026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46223</v>
      </c>
      <c r="F458" t="inlineStr">
        <is>
          <t>JÖNKÖPINGS LÄN</t>
        </is>
      </c>
      <c r="G458" t="inlineStr">
        <is>
          <t>EKSJÖ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13892-2024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45391</v>
      </c>
      <c r="E459" s="1" t="n">
        <v>46223</v>
      </c>
      <c r="F459" t="inlineStr">
        <is>
          <t>JÖNKÖPINGS LÄN</t>
        </is>
      </c>
      <c r="G459" t="inlineStr">
        <is>
          <t>EKSJÖ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42929-2021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44431</v>
      </c>
      <c r="E460" s="1" t="n">
        <v>46223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46223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50967-2021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44460</v>
      </c>
      <c r="E462" s="1" t="n">
        <v>46223</v>
      </c>
      <c r="F462" t="inlineStr">
        <is>
          <t>JÖNKÖPINGS LÄN</t>
        </is>
      </c>
      <c r="G462" t="inlineStr">
        <is>
          <t>EKSJÖ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46223</v>
      </c>
      <c r="F463" t="inlineStr">
        <is>
          <t>JÖNKÖPINGS LÄN</t>
        </is>
      </c>
      <c r="G463" t="inlineStr">
        <is>
          <t>EKSJÖ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49403-2021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44454</v>
      </c>
      <c r="E464" s="1" t="n">
        <v>46223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45576</v>
      </c>
      <c r="E465" s="1" t="n">
        <v>46223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26706-2022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46223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28401-2026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46223</v>
      </c>
      <c r="F467" t="inlineStr">
        <is>
          <t>JÖNKÖPINGS LÄN</t>
        </is>
      </c>
      <c r="G467" t="inlineStr">
        <is>
          <t>EKSJÖ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46197</v>
      </c>
      <c r="E468" s="1" t="n">
        <v>46223</v>
      </c>
      <c r="F468" t="inlineStr">
        <is>
          <t>JÖNKÖPINGS LÄN</t>
        </is>
      </c>
      <c r="G468" t="inlineStr">
        <is>
          <t>EKSJÖ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46223</v>
      </c>
      <c r="F469" t="inlineStr">
        <is>
          <t>JÖNKÖPINGS LÄN</t>
        </is>
      </c>
      <c r="G469" t="inlineStr">
        <is>
          <t>EKSJÖ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71313-2021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46223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44939</v>
      </c>
      <c r="E471" s="1" t="n">
        <v>46223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60920-2025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45996</v>
      </c>
      <c r="E472" s="1" t="n">
        <v>46223</v>
      </c>
      <c r="F472" t="inlineStr">
        <is>
          <t>JÖNKÖPINGS LÄN</t>
        </is>
      </c>
      <c r="G472" t="inlineStr">
        <is>
          <t>EKSJÖ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45086</v>
      </c>
      <c r="E473" s="1" t="n">
        <v>46223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46223</v>
      </c>
      <c r="F474" t="inlineStr">
        <is>
          <t>JÖNKÖPINGS LÄN</t>
        </is>
      </c>
      <c r="G474" t="inlineStr">
        <is>
          <t>EKSJÖ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26054-2023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45091</v>
      </c>
      <c r="E475" s="1" t="n">
        <v>46223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19682-2023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45051</v>
      </c>
      <c r="E476" s="1" t="n">
        <v>46223</v>
      </c>
      <c r="F476" t="inlineStr">
        <is>
          <t>JÖNKÖPINGS LÄN</t>
        </is>
      </c>
      <c r="G476" t="inlineStr">
        <is>
          <t>EKSJÖ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33644-2022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44789</v>
      </c>
      <c r="E477" s="1" t="n">
        <v>46223</v>
      </c>
      <c r="F477" t="inlineStr">
        <is>
          <t>JÖNKÖPINGS LÄN</t>
        </is>
      </c>
      <c r="G477" t="inlineStr">
        <is>
          <t>EKSJÖ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17030-2024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46223</v>
      </c>
      <c r="F478" t="inlineStr">
        <is>
          <t>JÖNKÖPINGS LÄN</t>
        </is>
      </c>
      <c r="G478" t="inlineStr">
        <is>
          <t>EKSJÖ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24556-2023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45082</v>
      </c>
      <c r="E479" s="1" t="n">
        <v>46223</v>
      </c>
      <c r="F479" t="inlineStr">
        <is>
          <t>JÖNKÖPINGS LÄN</t>
        </is>
      </c>
      <c r="G479" t="inlineStr">
        <is>
          <t>EKSJÖ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25262-2023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46223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46162</v>
      </c>
      <c r="E481" s="1" t="n">
        <v>46223</v>
      </c>
      <c r="F481" t="inlineStr">
        <is>
          <t>JÖNKÖPINGS LÄN</t>
        </is>
      </c>
      <c r="G481" t="inlineStr">
        <is>
          <t>EKSJÖ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44925</v>
      </c>
      <c r="E482" s="1" t="n">
        <v>46223</v>
      </c>
      <c r="F482" t="inlineStr">
        <is>
          <t>JÖNKÖPINGS LÄN</t>
        </is>
      </c>
      <c r="G482" t="inlineStr">
        <is>
          <t>EKSJÖ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10946-2026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46223</v>
      </c>
      <c r="F483" t="inlineStr">
        <is>
          <t>JÖNKÖPINGS LÄN</t>
        </is>
      </c>
      <c r="G483" t="inlineStr">
        <is>
          <t>EKSJÖ</t>
        </is>
      </c>
      <c r="I483" t="n">
        <v>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23869-2023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46223</v>
      </c>
      <c r="F484" t="inlineStr">
        <is>
          <t>JÖNKÖPINGS LÄN</t>
        </is>
      </c>
      <c r="G484" t="inlineStr">
        <is>
          <t>EKSJÖ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37144-2023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45154</v>
      </c>
      <c r="E485" s="1" t="n">
        <v>46223</v>
      </c>
      <c r="F485" t="inlineStr">
        <is>
          <t>JÖNKÖPINGS LÄN</t>
        </is>
      </c>
      <c r="G485" t="inlineStr">
        <is>
          <t>EKSJÖ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65554-2021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44516</v>
      </c>
      <c r="E486" s="1" t="n">
        <v>46223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23533-2026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46223</v>
      </c>
      <c r="F487" t="inlineStr">
        <is>
          <t>JÖNKÖPINGS LÄN</t>
        </is>
      </c>
      <c r="G487" t="inlineStr">
        <is>
          <t>EKSJÖ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23535-2026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46223</v>
      </c>
      <c r="F488" t="inlineStr">
        <is>
          <t>JÖNKÖPINGS LÄN</t>
        </is>
      </c>
      <c r="G488" t="inlineStr">
        <is>
          <t>EKSJÖ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23575-2026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46223</v>
      </c>
      <c r="F489" t="inlineStr">
        <is>
          <t>JÖNKÖPINGS LÄN</t>
        </is>
      </c>
      <c r="G489" t="inlineStr">
        <is>
          <t>EKSJÖ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23451-2026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46223</v>
      </c>
      <c r="F490" t="inlineStr">
        <is>
          <t>JÖNKÖPINGS LÄN</t>
        </is>
      </c>
      <c r="G490" t="inlineStr">
        <is>
          <t>EKSJÖ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63959-2023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45278</v>
      </c>
      <c r="E491" s="1" t="n">
        <v>46223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28024-2022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44746</v>
      </c>
      <c r="E492" s="1" t="n">
        <v>46223</v>
      </c>
      <c r="F492" t="inlineStr">
        <is>
          <t>JÖNKÖPINGS LÄN</t>
        </is>
      </c>
      <c r="G492" t="inlineStr">
        <is>
          <t>EKSJÖ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32333-2022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44781</v>
      </c>
      <c r="E493" s="1" t="n">
        <v>46223</v>
      </c>
      <c r="F493" t="inlineStr">
        <is>
          <t>JÖNKÖPINGS LÄN</t>
        </is>
      </c>
      <c r="G493" t="inlineStr">
        <is>
          <t>EKSJÖ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32336-2022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44781</v>
      </c>
      <c r="E494" s="1" t="n">
        <v>46223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23488-2026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46223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23572-2026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46223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6163-2024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45337</v>
      </c>
      <c r="E497" s="1" t="n">
        <v>46223</v>
      </c>
      <c r="F497" t="inlineStr">
        <is>
          <t>JÖNKÖPINGS LÄN</t>
        </is>
      </c>
      <c r="G497" t="inlineStr">
        <is>
          <t>EKSJÖ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45680</v>
      </c>
      <c r="E498" s="1" t="n">
        <v>46223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46918-2023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46223</v>
      </c>
      <c r="F499" t="inlineStr">
        <is>
          <t>JÖNKÖPINGS LÄN</t>
        </is>
      </c>
      <c r="G499" t="inlineStr">
        <is>
          <t>EKSJÖ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23573-2026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46163</v>
      </c>
      <c r="E500" s="1" t="n">
        <v>46223</v>
      </c>
      <c r="F500" t="inlineStr">
        <is>
          <t>JÖNKÖPINGS LÄN</t>
        </is>
      </c>
      <c r="G500" t="inlineStr">
        <is>
          <t>EKSJÖ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8183-2023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46223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64541-2023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46223</v>
      </c>
      <c r="F502" t="inlineStr">
        <is>
          <t>JÖNKÖPINGS LÄN</t>
        </is>
      </c>
      <c r="G502" t="inlineStr">
        <is>
          <t>EKSJÖ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46223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3298-2023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46223</v>
      </c>
      <c r="F504" t="inlineStr">
        <is>
          <t>JÖNKÖPINGS LÄN</t>
        </is>
      </c>
      <c r="G504" t="inlineStr">
        <is>
          <t>EKSJÖ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8923-2025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45713</v>
      </c>
      <c r="E505" s="1" t="n">
        <v>46223</v>
      </c>
      <c r="F505" t="inlineStr">
        <is>
          <t>JÖNKÖPINGS LÄN</t>
        </is>
      </c>
      <c r="G505" t="inlineStr">
        <is>
          <t>EKSJÖ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30392-2026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46223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20485-2023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45057</v>
      </c>
      <c r="E507" s="1" t="n">
        <v>46223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59254-2023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45253</v>
      </c>
      <c r="E508" s="1" t="n">
        <v>46223</v>
      </c>
      <c r="F508" t="inlineStr">
        <is>
          <t>JÖNKÖPINGS LÄN</t>
        </is>
      </c>
      <c r="G508" t="inlineStr">
        <is>
          <t>EKSJÖ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30362-2026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46209</v>
      </c>
      <c r="E509" s="1" t="n">
        <v>46223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64993-2023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45286</v>
      </c>
      <c r="E510" s="1" t="n">
        <v>46223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30363-2026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46209</v>
      </c>
      <c r="E511" s="1" t="n">
        <v>46223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45659</v>
      </c>
      <c r="E512" s="1" t="n">
        <v>46223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18337-2025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46223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44293-2025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45916</v>
      </c>
      <c r="E514" s="1" t="n">
        <v>46223</v>
      </c>
      <c r="F514" t="inlineStr">
        <is>
          <t>JÖNKÖPINGS LÄN</t>
        </is>
      </c>
      <c r="G514" t="inlineStr">
        <is>
          <t>EKSJÖ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11022-2024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45370</v>
      </c>
      <c r="E515" s="1" t="n">
        <v>46223</v>
      </c>
      <c r="F515" t="inlineStr">
        <is>
          <t>JÖNKÖPINGS LÄN</t>
        </is>
      </c>
      <c r="G515" t="inlineStr">
        <is>
          <t>EKSJÖ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23156-2023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46223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27395-2023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45096</v>
      </c>
      <c r="E517" s="1" t="n">
        <v>46223</v>
      </c>
      <c r="F517" t="inlineStr">
        <is>
          <t>JÖNKÖPINGS LÄN</t>
        </is>
      </c>
      <c r="G517" t="inlineStr">
        <is>
          <t>EKSJÖ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36306-2023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46223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53053-2021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44467</v>
      </c>
      <c r="E519" s="1" t="n">
        <v>46223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44925</v>
      </c>
      <c r="E520" s="1" t="n">
        <v>46223</v>
      </c>
      <c r="F520" t="inlineStr">
        <is>
          <t>JÖNKÖPINGS LÄN</t>
        </is>
      </c>
      <c r="G520" t="inlineStr">
        <is>
          <t>EKSJÖ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2147-2023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44940</v>
      </c>
      <c r="E521" s="1" t="n">
        <v>46223</v>
      </c>
      <c r="F521" t="inlineStr">
        <is>
          <t>JÖNKÖPINGS LÄN</t>
        </is>
      </c>
      <c r="G521" t="inlineStr">
        <is>
          <t>EKSJÖ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2148-2023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44941</v>
      </c>
      <c r="E522" s="1" t="n">
        <v>46223</v>
      </c>
      <c r="F522" t="inlineStr">
        <is>
          <t>JÖNKÖPINGS LÄN</t>
        </is>
      </c>
      <c r="G522" t="inlineStr">
        <is>
          <t>EKSJÖ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49919-2023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45214</v>
      </c>
      <c r="E523" s="1" t="n">
        <v>46223</v>
      </c>
      <c r="F523" t="inlineStr">
        <is>
          <t>JÖNKÖPINGS LÄN</t>
        </is>
      </c>
      <c r="G523" t="inlineStr">
        <is>
          <t>EKSJÖ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47806-2023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45204</v>
      </c>
      <c r="E524" s="1" t="n">
        <v>46223</v>
      </c>
      <c r="F524" t="inlineStr">
        <is>
          <t>JÖNKÖPINGS LÄN</t>
        </is>
      </c>
      <c r="G524" t="inlineStr">
        <is>
          <t>EKSJÖ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46223</v>
      </c>
      <c r="F525" t="inlineStr">
        <is>
          <t>JÖNKÖPINGS LÄN</t>
        </is>
      </c>
      <c r="G525" t="inlineStr">
        <is>
          <t>EKSJÖ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61850-2024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45649</v>
      </c>
      <c r="E526" s="1" t="n">
        <v>46223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25140-2026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46223</v>
      </c>
      <c r="F527" t="inlineStr">
        <is>
          <t>JÖNKÖPINGS LÄN</t>
        </is>
      </c>
      <c r="G527" t="inlineStr">
        <is>
          <t>EKSJÖ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25066-2026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46223</v>
      </c>
      <c r="F528" t="inlineStr">
        <is>
          <t>JÖNKÖPINGS LÄN</t>
        </is>
      </c>
      <c r="G528" t="inlineStr">
        <is>
          <t>EKSJÖ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34772-2023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45141</v>
      </c>
      <c r="E529" s="1" t="n">
        <v>46223</v>
      </c>
      <c r="F529" t="inlineStr">
        <is>
          <t>JÖNKÖPINGS LÄN</t>
        </is>
      </c>
      <c r="G529" t="inlineStr">
        <is>
          <t>EKSJÖ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45054</v>
      </c>
      <c r="E530" s="1" t="n">
        <v>46223</v>
      </c>
      <c r="F530" t="inlineStr">
        <is>
          <t>JÖNKÖPINGS LÄN</t>
        </is>
      </c>
      <c r="G530" t="inlineStr">
        <is>
          <t>EKSJÖ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46019-2022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44846</v>
      </c>
      <c r="E531" s="1" t="n">
        <v>46223</v>
      </c>
      <c r="F531" t="inlineStr">
        <is>
          <t>JÖNKÖPINGS LÄN</t>
        </is>
      </c>
      <c r="G531" t="inlineStr">
        <is>
          <t>EKSJÖ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25132-2026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46175</v>
      </c>
      <c r="E532" s="1" t="n">
        <v>46223</v>
      </c>
      <c r="F532" t="inlineStr">
        <is>
          <t>JÖNKÖPINGS LÄN</t>
        </is>
      </c>
      <c r="G532" t="inlineStr">
        <is>
          <t>EKSJÖ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45493-2022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44845</v>
      </c>
      <c r="E533" s="1" t="n">
        <v>46223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46223</v>
      </c>
      <c r="F534" t="inlineStr">
        <is>
          <t>JÖNKÖPINGS LÄN</t>
        </is>
      </c>
      <c r="G534" t="inlineStr">
        <is>
          <t>EKSJÖ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36354-2022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46223</v>
      </c>
      <c r="F535" t="inlineStr">
        <is>
          <t>JÖNKÖPINGS LÄN</t>
        </is>
      </c>
      <c r="G535" t="inlineStr">
        <is>
          <t>EKSJÖ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48740-2023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45208</v>
      </c>
      <c r="E536" s="1" t="n">
        <v>46223</v>
      </c>
      <c r="F536" t="inlineStr">
        <is>
          <t>JÖNKÖPINGS LÄN</t>
        </is>
      </c>
      <c r="G536" t="inlineStr">
        <is>
          <t>EKSJÖ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46178</v>
      </c>
      <c r="E537" s="1" t="n">
        <v>46223</v>
      </c>
      <c r="F537" t="inlineStr">
        <is>
          <t>JÖNKÖPINGS LÄN</t>
        </is>
      </c>
      <c r="G537" t="inlineStr">
        <is>
          <t>EKSJÖ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29878-2023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46223</v>
      </c>
      <c r="F538" t="inlineStr">
        <is>
          <t>JÖNKÖPINGS LÄN</t>
        </is>
      </c>
      <c r="G538" t="inlineStr">
        <is>
          <t>EKSJÖ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44925</v>
      </c>
      <c r="E539" s="1" t="n">
        <v>46223</v>
      </c>
      <c r="F539" t="inlineStr">
        <is>
          <t>JÖNKÖPINGS LÄN</t>
        </is>
      </c>
      <c r="G539" t="inlineStr">
        <is>
          <t>EKSJÖ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11723-2024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45373</v>
      </c>
      <c r="E540" s="1" t="n">
        <v>46223</v>
      </c>
      <c r="F540" t="inlineStr">
        <is>
          <t>JÖNKÖPINGS LÄN</t>
        </is>
      </c>
      <c r="G540" t="inlineStr">
        <is>
          <t>EKSJÖ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25654-2026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46178</v>
      </c>
      <c r="E541" s="1" t="n">
        <v>46223</v>
      </c>
      <c r="F541" t="inlineStr">
        <is>
          <t>JÖNKÖPINGS LÄN</t>
        </is>
      </c>
      <c r="G541" t="inlineStr">
        <is>
          <t>EKSJÖ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46223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46223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46223</v>
      </c>
      <c r="F544" t="inlineStr">
        <is>
          <t>JÖNKÖPINGS LÄN</t>
        </is>
      </c>
      <c r="G544" t="inlineStr">
        <is>
          <t>EKSJÖ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31331-2026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46212</v>
      </c>
      <c r="E545" s="1" t="n">
        <v>46223</v>
      </c>
      <c r="F545" t="inlineStr">
        <is>
          <t>JÖNKÖPINGS LÄN</t>
        </is>
      </c>
      <c r="G545" t="inlineStr">
        <is>
          <t>EKSJÖ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5629-2024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46223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25608-2024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45463</v>
      </c>
      <c r="E547" s="1" t="n">
        <v>46223</v>
      </c>
      <c r="F547" t="inlineStr">
        <is>
          <t>JÖNKÖPINGS LÄN</t>
        </is>
      </c>
      <c r="G547" t="inlineStr">
        <is>
          <t>EKSJÖ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38201-2023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45161</v>
      </c>
      <c r="E548" s="1" t="n">
        <v>46223</v>
      </c>
      <c r="F548" t="inlineStr">
        <is>
          <t>JÖNKÖPINGS LÄN</t>
        </is>
      </c>
      <c r="G548" t="inlineStr">
        <is>
          <t>EKSJÖ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54470-2024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45617</v>
      </c>
      <c r="E549" s="1" t="n">
        <v>46223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2591-2022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44580</v>
      </c>
      <c r="E550" s="1" t="n">
        <v>46223</v>
      </c>
      <c r="F550" t="inlineStr">
        <is>
          <t>JÖNKÖPINGS LÄN</t>
        </is>
      </c>
      <c r="G550" t="inlineStr">
        <is>
          <t>EKSJÖ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27775-2024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45475</v>
      </c>
      <c r="E551" s="1" t="n">
        <v>46223</v>
      </c>
      <c r="F551" t="inlineStr">
        <is>
          <t>JÖNKÖPINGS LÄN</t>
        </is>
      </c>
      <c r="G551" t="inlineStr">
        <is>
          <t>EKSJÖ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9363-2025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45715</v>
      </c>
      <c r="E552" s="1" t="n">
        <v>46223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45677</v>
      </c>
      <c r="E553" s="1" t="n">
        <v>46223</v>
      </c>
      <c r="F553" t="inlineStr">
        <is>
          <t>JÖNKÖPINGS LÄN</t>
        </is>
      </c>
      <c r="G553" t="inlineStr">
        <is>
          <t>EKSJÖ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10972-2025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45723</v>
      </c>
      <c r="E554" s="1" t="n">
        <v>46223</v>
      </c>
      <c r="F554" t="inlineStr">
        <is>
          <t>JÖNKÖPINGS LÄN</t>
        </is>
      </c>
      <c r="G554" t="inlineStr">
        <is>
          <t>EKSJÖ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51541-2023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46223</v>
      </c>
      <c r="F555" t="inlineStr">
        <is>
          <t>JÖNKÖPINGS LÄN</t>
        </is>
      </c>
      <c r="G555" t="inlineStr">
        <is>
          <t>EKSJÖ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6455-2024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45338</v>
      </c>
      <c r="E556" s="1" t="n">
        <v>46223</v>
      </c>
      <c r="F556" t="inlineStr">
        <is>
          <t>JÖNKÖPINGS LÄN</t>
        </is>
      </c>
      <c r="G556" t="inlineStr">
        <is>
          <t>EKSJÖ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45016-2024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46223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6.7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50287-2024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45600</v>
      </c>
      <c r="E558" s="1" t="n">
        <v>46223</v>
      </c>
      <c r="F558" t="inlineStr">
        <is>
          <t>JÖNKÖPINGS LÄN</t>
        </is>
      </c>
      <c r="G558" t="inlineStr">
        <is>
          <t>EKSJÖ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19469-2025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45770</v>
      </c>
      <c r="E559" s="1" t="n">
        <v>46223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18695-2024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46223</v>
      </c>
      <c r="F560" t="inlineStr">
        <is>
          <t>JÖNKÖPINGS LÄN</t>
        </is>
      </c>
      <c r="G560" t="inlineStr">
        <is>
          <t>EKSJÖ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20986-2025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46223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20960-2025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46223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21224-2025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45779</v>
      </c>
      <c r="E563" s="1" t="n">
        <v>46223</v>
      </c>
      <c r="F563" t="inlineStr">
        <is>
          <t>JÖNKÖPINGS LÄN</t>
        </is>
      </c>
      <c r="G563" t="inlineStr">
        <is>
          <t>EKSJÖ</t>
        </is>
      </c>
      <c r="H563" t="inlineStr">
        <is>
          <t>Kommuner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59234-2024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46223</v>
      </c>
      <c r="F564" t="inlineStr">
        <is>
          <t>JÖNKÖPINGS LÄN</t>
        </is>
      </c>
      <c r="G564" t="inlineStr">
        <is>
          <t>EKSJÖ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42469-2023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46223</v>
      </c>
      <c r="F565" t="inlineStr">
        <is>
          <t>JÖNKÖPINGS LÄN</t>
        </is>
      </c>
      <c r="G565" t="inlineStr">
        <is>
          <t>EKSJÖ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7723-2025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46223</v>
      </c>
      <c r="F566" t="inlineStr">
        <is>
          <t>JÖNKÖPINGS LÄN</t>
        </is>
      </c>
      <c r="G566" t="inlineStr">
        <is>
          <t>EKSJÖ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22574-2025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46223</v>
      </c>
      <c r="F567" t="inlineStr">
        <is>
          <t>JÖNKÖPINGS LÄN</t>
        </is>
      </c>
      <c r="G567" t="inlineStr">
        <is>
          <t>EKSJÖ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22987-2025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45790</v>
      </c>
      <c r="E568" s="1" t="n">
        <v>46223</v>
      </c>
      <c r="F568" t="inlineStr">
        <is>
          <t>JÖNKÖPINGS LÄN</t>
        </is>
      </c>
      <c r="G568" t="inlineStr">
        <is>
          <t>EKSJÖ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7585-2025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46223</v>
      </c>
      <c r="F569" t="inlineStr">
        <is>
          <t>JÖNKÖPINGS LÄN</t>
        </is>
      </c>
      <c r="G569" t="inlineStr">
        <is>
          <t>EKSJÖ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35253-2024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45530</v>
      </c>
      <c r="E570" s="1" t="n">
        <v>46223</v>
      </c>
      <c r="F570" t="inlineStr">
        <is>
          <t>JÖNKÖPINGS LÄN</t>
        </is>
      </c>
      <c r="G570" t="inlineStr">
        <is>
          <t>EKSJÖ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23386-2025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46223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23387-2025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46223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45743-2024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45579</v>
      </c>
      <c r="E573" s="1" t="n">
        <v>46223</v>
      </c>
      <c r="F573" t="inlineStr">
        <is>
          <t>JÖNKÖPINGS LÄN</t>
        </is>
      </c>
      <c r="G573" t="inlineStr">
        <is>
          <t>EKSJÖ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14366-2025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45741</v>
      </c>
      <c r="E574" s="1" t="n">
        <v>46223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11957-2025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46223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11669-2025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46223</v>
      </c>
      <c r="F576" t="inlineStr">
        <is>
          <t>JÖNKÖPINGS LÄN</t>
        </is>
      </c>
      <c r="G576" t="inlineStr">
        <is>
          <t>EKSJÖ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14813-2025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46223</v>
      </c>
      <c r="F577" t="inlineStr">
        <is>
          <t>JÖNKÖPINGS LÄN</t>
        </is>
      </c>
      <c r="G577" t="inlineStr">
        <is>
          <t>EKSJÖ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14382-2025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45741</v>
      </c>
      <c r="E578" s="1" t="n">
        <v>46223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14817-2025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45743</v>
      </c>
      <c r="E579" s="1" t="n">
        <v>46223</v>
      </c>
      <c r="F579" t="inlineStr">
        <is>
          <t>JÖNKÖPINGS LÄN</t>
        </is>
      </c>
      <c r="G579" t="inlineStr">
        <is>
          <t>EKSJÖ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46223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46223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46223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46223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46223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46223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46223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46223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46223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46223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46223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46223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46223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46223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46223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46223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46223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46223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46223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46223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46223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46223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46223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46223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46223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46223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46223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46223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46223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46223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46223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46223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46223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46223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2026-07-20T01:49:53Z</dcterms:created>
  <dcterms:modified xmlns:dcterms="http://purl.org/dc/terms/" xmlns:xsi="http://www.w3.org/2001/XMLSchema-instance" xsi:type="dcterms:W3CDTF">2026-07-20T01:49:53Z</dcterms:modified>
</cp:coreProperties>
</file>