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46314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46314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46314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46314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46314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46314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46314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46314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46314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46314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46314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46314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58083-2021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46314</v>
      </c>
      <c r="F23" t="inlineStr">
        <is>
          <t>JÖNKÖPINGS LÄN</t>
        </is>
      </c>
      <c r="G23" t="inlineStr">
        <is>
          <t>EKSJÖ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Ladusvala</t>
        </is>
      </c>
      <c r="W23">
        <f>HYPERLINK("https://klasma.github.io/Logging_0686/artfynd/A 58083-2021 artfynd.xlsx", "A 58083-2021")</f>
        <v/>
      </c>
      <c r="X23">
        <f>HYPERLINK("https://klasma.github.io/Logging_0686/kartor/A 58083-2021 karta.png", "A 58083-2021")</f>
        <v/>
      </c>
      <c r="Y23">
        <f>HYPERLINK("https://klasma.github.io/Logging_0686/kartor_geotiff/A 58083-2021 georefererad karta.tif", "A 58083-2021")</f>
        <v/>
      </c>
      <c r="AA23">
        <f>HYPERLINK("https://klasma.github.io/Logging_0686/klagomål/A 58083-2021 FSC-klagomål.docx", "A 58083-2021")</f>
        <v/>
      </c>
      <c r="AB23">
        <f>HYPERLINK("https://klasma.github.io/Logging_0686/klagomålsmail/A 58083-2021 FSC-klagomål mail.docx", "A 58083-2021")</f>
        <v/>
      </c>
      <c r="AC23">
        <f>HYPERLINK("https://klasma.github.io/Logging_0686/tillsyn/A 58083-2021 tillsynsbegäran.docx", "A 58083-2021")</f>
        <v/>
      </c>
      <c r="AD23">
        <f>HYPERLINK("https://klasma.github.io/Logging_0686/tillsynsmail/A 58083-2021 tillsynsbegäran mail.docx", "A 58083-2021")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46314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46852-2022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46314</v>
      </c>
      <c r="F25" t="inlineStr">
        <is>
          <t>JÖNKÖPINGS LÄN</t>
        </is>
      </c>
      <c r="G25" t="inlineStr">
        <is>
          <t>EKSJÖ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Fjällig taggsvamp s.str.</t>
        </is>
      </c>
      <c r="W25">
        <f>HYPERLINK("https://klasma.github.io/Logging_0686/artfynd/A 46852-2022 artfynd.xlsx", "A 46852-2022")</f>
        <v/>
      </c>
      <c r="X25">
        <f>HYPERLINK("https://klasma.github.io/Logging_0686/kartor/A 46852-2022 karta.png", "A 46852-2022")</f>
        <v/>
      </c>
      <c r="Y25">
        <f>HYPERLINK("https://klasma.github.io/Logging_0686/kartor_geotiff/A 46852-2022 georefererad karta.tif", "A 46852-2022")</f>
        <v/>
      </c>
      <c r="AA25">
        <f>HYPERLINK("https://klasma.github.io/Logging_0686/klagomål/A 46852-2022 FSC-klagomål.docx", "A 46852-2022")</f>
        <v/>
      </c>
      <c r="AB25">
        <f>HYPERLINK("https://klasma.github.io/Logging_0686/klagomålsmail/A 46852-2022 FSC-klagomål mail.docx", "A 46852-2022")</f>
        <v/>
      </c>
      <c r="AC25">
        <f>HYPERLINK("https://klasma.github.io/Logging_0686/tillsyn/A 46852-2022 tillsynsbegäran.docx", "A 46852-2022")</f>
        <v/>
      </c>
      <c r="AD25">
        <f>HYPERLINK("https://klasma.github.io/Logging_0686/tillsynsmail/A 46852-2022 tillsynsbegäran mail.docx", "A 46852-2022")</f>
        <v/>
      </c>
    </row>
    <row r="26" ht="15" customHeight="1">
      <c r="A26" t="inlineStr">
        <is>
          <t>A 72037-2021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44544</v>
      </c>
      <c r="E26" s="1" t="n">
        <v>46314</v>
      </c>
      <c r="F26" t="inlineStr">
        <is>
          <t>JÖNKÖPINGS LÄN</t>
        </is>
      </c>
      <c r="G26" t="inlineStr">
        <is>
          <t>EKSJÖ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HYPERLINK("https://klasma.github.io/Logging_0686/artfynd/A 72037-2021 artfynd.xlsx", "A 72037-2021")</f>
        <v/>
      </c>
      <c r="X26">
        <f>HYPERLINK("https://klasma.github.io/Logging_0686/kartor/A 72037-2021 karta.png", "A 72037-2021")</f>
        <v/>
      </c>
      <c r="Y26">
        <f>HYPERLINK("https://klasma.github.io/Logging_0686/kartor_geotiff/A 72037-2021 georefererad karta.tif", "A 72037-2021")</f>
        <v/>
      </c>
      <c r="AA26">
        <f>HYPERLINK("https://klasma.github.io/Logging_0686/klagomål/A 72037-2021 FSC-klagomål.docx", "A 72037-2021")</f>
        <v/>
      </c>
      <c r="AB26">
        <f>HYPERLINK("https://klasma.github.io/Logging_0686/klagomålsmail/A 72037-2021 FSC-klagomål mail.docx", "A 72037-2021")</f>
        <v/>
      </c>
      <c r="AC26">
        <f>HYPERLINK("https://klasma.github.io/Logging_0686/tillsyn/A 72037-2021 tillsynsbegäran.docx", "A 72037-2021")</f>
        <v/>
      </c>
      <c r="AD26">
        <f>HYPERLINK("https://klasma.github.io/Logging_0686/tillsynsmail/A 72037-2021 tillsynsbegäran mail.docx", "A 72037-2021")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46314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46314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46314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41746-2023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46314</v>
      </c>
      <c r="F30" t="inlineStr">
        <is>
          <t>JÖNKÖPINGS LÄN</t>
        </is>
      </c>
      <c r="G30" t="inlineStr">
        <is>
          <t>EKSJÖ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HYPERLINK("https://klasma.github.io/Logging_0686/artfynd/A 41746-2023 artfynd.xlsx", "A 41746-2023")</f>
        <v/>
      </c>
      <c r="X30">
        <f>HYPERLINK("https://klasma.github.io/Logging_0686/kartor/A 41746-2023 karta.png", "A 41746-2023")</f>
        <v/>
      </c>
      <c r="Y30">
        <f>HYPERLINK("https://klasma.github.io/Logging_0686/kartor_geotiff/A 41746-2023 georefererad karta.tif", "A 41746-2023")</f>
        <v/>
      </c>
      <c r="AA30">
        <f>HYPERLINK("https://klasma.github.io/Logging_0686/klagomål/A 41746-2023 FSC-klagomål.docx", "A 41746-2023")</f>
        <v/>
      </c>
      <c r="AB30">
        <f>HYPERLINK("https://klasma.github.io/Logging_0686/klagomålsmail/A 41746-2023 FSC-klagomål mail.docx", "A 41746-2023")</f>
        <v/>
      </c>
      <c r="AC30">
        <f>HYPERLINK("https://klasma.github.io/Logging_0686/tillsyn/A 41746-2023 tillsynsbegäran.docx", "A 41746-2023")</f>
        <v/>
      </c>
      <c r="AD30">
        <f>HYPERLINK("https://klasma.github.io/Logging_0686/tillsynsmail/A 41746-2023 tillsynsbegäran mail.docx", "A 41746-2023")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46314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47729-2022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46314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HYPERLINK("https://klasma.github.io/Logging_0686/artfynd/A 47729-2022 artfynd.xlsx", "A 47729-2022")</f>
        <v/>
      </c>
      <c r="X32">
        <f>HYPERLINK("https://klasma.github.io/Logging_0686/kartor/A 47729-2022 karta.png", "A 47729-2022")</f>
        <v/>
      </c>
      <c r="Y32">
        <f>HYPERLINK("https://klasma.github.io/Logging_0686/kartor_geotiff/A 47729-2022 georefererad karta.tif", "A 47729-2022")</f>
        <v/>
      </c>
      <c r="AA32">
        <f>HYPERLINK("https://klasma.github.io/Logging_0686/klagomål/A 47729-2022 FSC-klagomål.docx", "A 47729-2022")</f>
        <v/>
      </c>
      <c r="AB32">
        <f>HYPERLINK("https://klasma.github.io/Logging_0686/klagomålsmail/A 47729-2022 FSC-klagomål mail.docx", "A 47729-2022")</f>
        <v/>
      </c>
      <c r="AC32">
        <f>HYPERLINK("https://klasma.github.io/Logging_0686/tillsyn/A 47729-2022 tillsynsbegäran.docx", "A 47729-2022")</f>
        <v/>
      </c>
      <c r="AD32">
        <f>HYPERLINK("https://klasma.github.io/Logging_0686/tillsynsmail/A 47729-2022 tillsynsbegäran mail.docx", "A 47729-2022")</f>
        <v/>
      </c>
    </row>
    <row r="33" ht="15" customHeight="1">
      <c r="A33" t="inlineStr">
        <is>
          <t>A 41029-2025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45898</v>
      </c>
      <c r="E33" s="1" t="n">
        <v>46314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4.4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HYPERLINK("https://klasma.github.io/Logging_0686/artfynd/A 41029-2025 artfynd.xlsx", "A 41029-2025")</f>
        <v/>
      </c>
      <c r="X33">
        <f>HYPERLINK("https://klasma.github.io/Logging_0686/kartor/A 41029-2025 karta.png", "A 41029-2025")</f>
        <v/>
      </c>
      <c r="Y33">
        <f>HYPERLINK("https://klasma.github.io/Logging_0686/kartor_geotiff/A 41029-2025 georefererad karta.tif", "A 41029-2025")</f>
        <v/>
      </c>
      <c r="AA33">
        <f>HYPERLINK("https://klasma.github.io/Logging_0686/klagomål/A 41029-2025 FSC-klagomål.docx", "A 41029-2025")</f>
        <v/>
      </c>
      <c r="AB33">
        <f>HYPERLINK("https://klasma.github.io/Logging_0686/klagomålsmail/A 41029-2025 FSC-klagomål mail.docx", "A 41029-2025")</f>
        <v/>
      </c>
      <c r="AC33">
        <f>HYPERLINK("https://klasma.github.io/Logging_0686/tillsyn/A 41029-2025 tillsynsbegäran.docx", "A 41029-2025")</f>
        <v/>
      </c>
      <c r="AD33">
        <f>HYPERLINK("https://klasma.github.io/Logging_0686/tillsynsmail/A 41029-2025 tillsynsbegäran mail.docx", "A 41029-2025")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46314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46314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46314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46314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10726-2024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45369</v>
      </c>
      <c r="E38" s="1" t="n">
        <v>46314</v>
      </c>
      <c r="F38" t="inlineStr">
        <is>
          <t>JÖNKÖPINGS LÄN</t>
        </is>
      </c>
      <c r="G38" t="inlineStr">
        <is>
          <t>EKSJÖ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Sotvaxskivling</t>
        </is>
      </c>
      <c r="W38">
        <f>HYPERLINK("https://klasma.github.io/Logging_0686/artfynd/A 10726-2024 artfynd.xlsx", "A 10726-2024")</f>
        <v/>
      </c>
      <c r="X38">
        <f>HYPERLINK("https://klasma.github.io/Logging_0686/kartor/A 10726-2024 karta.png", "A 10726-2024")</f>
        <v/>
      </c>
      <c r="Y38">
        <f>HYPERLINK("https://klasma.github.io/Logging_0686/kartor_geotiff/A 10726-2024 georefererad karta.tif", "A 10726-2024")</f>
        <v/>
      </c>
      <c r="AA38">
        <f>HYPERLINK("https://klasma.github.io/Logging_0686/klagomål/A 10726-2024 FSC-klagomål.docx", "A 10726-2024")</f>
        <v/>
      </c>
      <c r="AB38">
        <f>HYPERLINK("https://klasma.github.io/Logging_0686/klagomålsmail/A 10726-2024 FSC-klagomål mail.docx", "A 10726-2024")</f>
        <v/>
      </c>
      <c r="AC38">
        <f>HYPERLINK("https://klasma.github.io/Logging_0686/tillsyn/A 10726-2024 tillsynsbegäran.docx", "A 10726-2024")</f>
        <v/>
      </c>
      <c r="AD38">
        <f>HYPERLINK("https://klasma.github.io/Logging_0686/tillsynsmail/A 10726-2024 tillsynsbegäran mail.docx", "A 10726-2024")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46314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46314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46314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46314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46314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46314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40986-2026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46297</v>
      </c>
      <c r="E45" s="1" t="n">
        <v>46314</v>
      </c>
      <c r="F45" t="inlineStr">
        <is>
          <t>JÖNKÖPINGS LÄN</t>
        </is>
      </c>
      <c r="G45" t="inlineStr">
        <is>
          <t>EKSJÖ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Ask</t>
        </is>
      </c>
      <c r="W45">
        <f>HYPERLINK("https://klasma.github.io/Logging_0686/artfynd/A 40986-2026 artfynd.xlsx", "A 40986-2026")</f>
        <v/>
      </c>
      <c r="X45">
        <f>HYPERLINK("https://klasma.github.io/Logging_0686/kartor/A 40986-2026 karta.png", "A 40986-2026")</f>
        <v/>
      </c>
      <c r="Y45">
        <f>HYPERLINK("https://klasma.github.io/Logging_0686/kartor_geotiff/A 40986-2026 georefererad karta.tif", "A 40986-2026")</f>
        <v/>
      </c>
      <c r="AA45">
        <f>HYPERLINK("https://klasma.github.io/Logging_0686/klagomål/A 40986-2026 FSC-klagomål.docx", "A 40986-2026")</f>
        <v/>
      </c>
      <c r="AB45">
        <f>HYPERLINK("https://klasma.github.io/Logging_0686/klagomålsmail/A 40986-2026 FSC-klagomål mail.docx", "A 40986-2026")</f>
        <v/>
      </c>
      <c r="AC45">
        <f>HYPERLINK("https://klasma.github.io/Logging_0686/tillsyn/A 40986-2026 tillsynsbegäran.docx", "A 40986-2026")</f>
        <v/>
      </c>
      <c r="AD45">
        <f>HYPERLINK("https://klasma.github.io/Logging_0686/tillsynsmail/A 40986-2026 tillsynsbegäran mail.docx", "A 40986-2026")</f>
        <v/>
      </c>
    </row>
    <row r="46" ht="15" customHeight="1">
      <c r="A46" t="inlineStr">
        <is>
          <t>A 41670-2026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46314</v>
      </c>
      <c r="F46" t="inlineStr">
        <is>
          <t>JÖNKÖPINGS LÄN</t>
        </is>
      </c>
      <c r="G46" t="inlineStr">
        <is>
          <t>EKSJÖ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Vätteros</t>
        </is>
      </c>
      <c r="W46">
        <f>HYPERLINK("https://klasma.github.io/Logging_0686/artfynd/A 41670-2026 artfynd.xlsx", "A 41670-2026")</f>
        <v/>
      </c>
      <c r="X46">
        <f>HYPERLINK("https://klasma.github.io/Logging_0686/kartor/A 41670-2026 karta.png", "A 41670-2026")</f>
        <v/>
      </c>
      <c r="Y46">
        <f>HYPERLINK("https://klasma.github.io/Logging_0686/kartor_geotiff/A 41670-2026 georefererad karta.tif", "A 41670-2026")</f>
        <v/>
      </c>
      <c r="AA46">
        <f>HYPERLINK("https://klasma.github.io/Logging_0686/klagomål/A 41670-2026 FSC-klagomål.docx", "A 41670-2026")</f>
        <v/>
      </c>
      <c r="AB46">
        <f>HYPERLINK("https://klasma.github.io/Logging_0686/klagomålsmail/A 41670-2026 FSC-klagomål mail.docx", "A 41670-2026")</f>
        <v/>
      </c>
      <c r="AC46">
        <f>HYPERLINK("https://klasma.github.io/Logging_0686/tillsyn/A 41670-2026 tillsynsbegäran.docx", "A 41670-2026")</f>
        <v/>
      </c>
      <c r="AD46">
        <f>HYPERLINK("https://klasma.github.io/Logging_0686/tillsynsmail/A 41670-2026 tillsynsbegäran mail.docx", "A 41670-2026")</f>
        <v/>
      </c>
    </row>
    <row r="47" ht="15" customHeight="1">
      <c r="A47" t="inlineStr">
        <is>
          <t>A 42346-2026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46314</v>
      </c>
      <c r="F47" t="inlineStr">
        <is>
          <t>JÖNKÖPINGS LÄN</t>
        </is>
      </c>
      <c r="G47" t="inlineStr">
        <is>
          <t>EKSJÖ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Stoftfibbla</t>
        </is>
      </c>
      <c r="W47">
        <f>HYPERLINK("https://klasma.github.io/Logging_0686/artfynd/A 42346-2026 artfynd.xlsx", "A 42346-2026")</f>
        <v/>
      </c>
      <c r="X47">
        <f>HYPERLINK("https://klasma.github.io/Logging_0686/kartor/A 42346-2026 karta.png", "A 42346-2026")</f>
        <v/>
      </c>
      <c r="Y47">
        <f>HYPERLINK("https://klasma.github.io/Logging_0686/kartor_geotiff/A 42346-2026 georefererad karta.tif", "A 42346-2026")</f>
        <v/>
      </c>
      <c r="AA47">
        <f>HYPERLINK("https://klasma.github.io/Logging_0686/klagomål/A 42346-2026 FSC-klagomål.docx", "A 42346-2026")</f>
        <v/>
      </c>
      <c r="AB47">
        <f>HYPERLINK("https://klasma.github.io/Logging_0686/klagomålsmail/A 42346-2026 FSC-klagomål mail.docx", "A 42346-2026")</f>
        <v/>
      </c>
      <c r="AC47">
        <f>HYPERLINK("https://klasma.github.io/Logging_0686/tillsyn/A 42346-2026 tillsynsbegäran.docx", "A 42346-2026")</f>
        <v/>
      </c>
      <c r="AD47">
        <f>HYPERLINK("https://klasma.github.io/Logging_0686/tillsynsmail/A 42346-2026 tillsynsbegäran mail.docx", "A 42346-2026")</f>
        <v/>
      </c>
    </row>
    <row r="48" ht="15" customHeight="1">
      <c r="A48" t="inlineStr">
        <is>
          <t>A 5128-2024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46314</v>
      </c>
      <c r="F48" t="inlineStr">
        <is>
          <t>JÖNKÖPINGS LÄN</t>
        </is>
      </c>
      <c r="G48" t="inlineStr">
        <is>
          <t>EKSJÖ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5</v>
      </c>
      <c r="U48" t="n">
        <v>0</v>
      </c>
      <c r="V48" s="2" t="inlineStr">
        <is>
          <t>Ask</t>
        </is>
      </c>
      <c r="W48">
        <f>HYPERLINK("https://klasma.github.io/Logging_0686/artfynd/A 5128-2024 artfynd.xlsx", "A 5128-2024")</f>
        <v/>
      </c>
      <c r="X48">
        <f>HYPERLINK("https://klasma.github.io/Logging_0686/kartor/A 5128-2024 karta.png", "A 5128-2024")</f>
        <v/>
      </c>
      <c r="Y48">
        <f>HYPERLINK("https://klasma.github.io/Logging_0686/kartor_geotiff/A 5128-2024 georefererad karta.tif", "A 5128-2024")</f>
        <v/>
      </c>
      <c r="AA48">
        <f>HYPERLINK("https://klasma.github.io/Logging_0686/klagomål/A 5128-2024 FSC-klagomål.docx", "A 5128-2024")</f>
        <v/>
      </c>
      <c r="AB48">
        <f>HYPERLINK("https://klasma.github.io/Logging_0686/klagomålsmail/A 5128-2024 FSC-klagomål mail.docx", "A 5128-2024")</f>
        <v/>
      </c>
      <c r="AC48">
        <f>HYPERLINK("https://klasma.github.io/Logging_0686/tillsyn/A 5128-2024 tillsynsbegäran.docx", "A 5128-2024")</f>
        <v/>
      </c>
      <c r="AD48">
        <f>HYPERLINK("https://klasma.github.io/Logging_0686/tillsynsmail/A 5128-2024 tillsynsbegäran mail.docx", "A 5128-2024")</f>
        <v/>
      </c>
    </row>
    <row r="49" ht="15" customHeight="1">
      <c r="A49" t="inlineStr">
        <is>
          <t>A 38596-2026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46283</v>
      </c>
      <c r="E49" s="1" t="n">
        <v>46314</v>
      </c>
      <c r="F49" t="inlineStr">
        <is>
          <t>JÖNKÖPINGS LÄN</t>
        </is>
      </c>
      <c r="G49" t="inlineStr">
        <is>
          <t>EKSJÖ</t>
        </is>
      </c>
      <c r="I49" t="n">
        <v>10.8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HYPERLINK("https://klasma.github.io/Logging_0686/artfynd/A 38596-2026 artfynd.xlsx", "A 38596-2026")</f>
        <v/>
      </c>
      <c r="X49">
        <f>HYPERLINK("https://klasma.github.io/Logging_0686/kartor/A 38596-2026 karta.png", "A 38596-2026")</f>
        <v/>
      </c>
      <c r="Y49">
        <f>HYPERLINK("https://klasma.github.io/Logging_0686/kartor_geotiff/A 38596-2026 georefererad karta.tif", "A 38596-2026")</f>
        <v/>
      </c>
      <c r="AA49">
        <f>HYPERLINK("https://klasma.github.io/Logging_0686/klagomål/A 38596-2026 FSC-klagomål.docx", "A 38596-2026")</f>
        <v/>
      </c>
      <c r="AB49">
        <f>HYPERLINK("https://klasma.github.io/Logging_0686/klagomålsmail/A 38596-2026 FSC-klagomål mail.docx", "A 38596-2026")</f>
        <v/>
      </c>
      <c r="AC49">
        <f>HYPERLINK("https://klasma.github.io/Logging_0686/tillsyn/A 38596-2026 tillsynsbegäran.docx", "A 38596-2026")</f>
        <v/>
      </c>
      <c r="AD49">
        <f>HYPERLINK("https://klasma.github.io/Logging_0686/tillsynsmail/A 38596-2026 tillsynsbegäran mail.docx", "A 38596-2026")</f>
        <v/>
      </c>
    </row>
    <row r="50" ht="15" customHeight="1">
      <c r="A50" t="inlineStr">
        <is>
          <t>A 1073-2025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46314</v>
      </c>
      <c r="F50" t="inlineStr">
        <is>
          <t>JÖNKÖPINGS LÄN</t>
        </is>
      </c>
      <c r="G50" t="inlineStr">
        <is>
          <t>EKSJÖ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Myggblomster</t>
        </is>
      </c>
      <c r="W50">
        <f>HYPERLINK("https://klasma.github.io/Logging_0686/artfynd/A 1073-2025 artfynd.xlsx", "A 1073-2025")</f>
        <v/>
      </c>
      <c r="X50">
        <f>HYPERLINK("https://klasma.github.io/Logging_0686/kartor/A 1073-2025 karta.png", "A 1073-2025")</f>
        <v/>
      </c>
      <c r="Y50">
        <f>HYPERLINK("https://klasma.github.io/Logging_0686/kartor_geotiff/A 1073-2025 georefererad karta.tif", "A 1073-2025")</f>
        <v/>
      </c>
      <c r="AA50">
        <f>HYPERLINK("https://klasma.github.io/Logging_0686/klagomål/A 1073-2025 FSC-klagomål.docx", "A 1073-2025")</f>
        <v/>
      </c>
      <c r="AB50">
        <f>HYPERLINK("https://klasma.github.io/Logging_0686/klagomålsmail/A 1073-2025 FSC-klagomål mail.docx", "A 1073-2025")</f>
        <v/>
      </c>
      <c r="AC50">
        <f>HYPERLINK("https://klasma.github.io/Logging_0686/tillsyn/A 1073-2025 tillsynsbegäran.docx", "A 1073-2025")</f>
        <v/>
      </c>
      <c r="AD50">
        <f>HYPERLINK("https://klasma.github.io/Logging_0686/tillsynsmail/A 1073-2025 tillsynsbegäran mail.docx", "A 1073-2025")</f>
        <v/>
      </c>
    </row>
    <row r="51" ht="15" customHeight="1">
      <c r="A51" t="inlineStr">
        <is>
          <t>S 3702-2024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45553</v>
      </c>
      <c r="E51" s="1" t="n">
        <v>46314</v>
      </c>
      <c r="F51" t="inlineStr">
        <is>
          <t>JÖNKÖPINGS LÄN</t>
        </is>
      </c>
      <c r="G51" t="inlineStr">
        <is>
          <t>EKSJÖ</t>
        </is>
      </c>
      <c r="I51" t="n">
        <v>3.6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Styvnate</t>
        </is>
      </c>
      <c r="W51">
        <f>HYPERLINK("https://klasma.github.io/Logging_0686/artfynd/S 3702-2024 artfynd.xlsx", "S 3702-2024")</f>
        <v/>
      </c>
      <c r="X51">
        <f>HYPERLINK("https://klasma.github.io/Logging_0686/kartor/S 3702-2024 karta.png", "S 3702-2024")</f>
        <v/>
      </c>
      <c r="Y51">
        <f>HYPERLINK("https://klasma.github.io/Logging_0686/kartor_geotiff/S 3702-2024 georefererad karta.tif", "S 3702-2024")</f>
        <v/>
      </c>
      <c r="AA51">
        <f>HYPERLINK("https://klasma.github.io/Logging_0686/klagomål/S 3702-2024 FSC-klagomål.docx", "S 3702-2024")</f>
        <v/>
      </c>
      <c r="AB51">
        <f>HYPERLINK("https://klasma.github.io/Logging_0686/klagomålsmail/S 3702-2024 FSC-klagomål mail.docx", "S 3702-2024")</f>
        <v/>
      </c>
      <c r="AC51">
        <f>HYPERLINK("https://klasma.github.io/Logging_0686/tillsyn/S 3702-2024 tillsynsbegäran.docx", "S 3702-2024")</f>
        <v/>
      </c>
      <c r="AD51">
        <f>HYPERLINK("https://klasma.github.io/Logging_0686/tillsynsmail/S 3702-2024 tillsynsbegäran mail.docx", "S 3702-2024")</f>
        <v/>
      </c>
    </row>
    <row r="52" ht="15" customHeight="1">
      <c r="A52" t="inlineStr">
        <is>
          <t>S 2100-2024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45453</v>
      </c>
      <c r="E52" s="1" t="n">
        <v>46314</v>
      </c>
      <c r="F52" t="inlineStr">
        <is>
          <t>JÖNKÖPINGS LÄN</t>
        </is>
      </c>
      <c r="G52" t="inlineStr">
        <is>
          <t>EKSJÖ</t>
        </is>
      </c>
      <c r="H52" t="inlineStr">
        <is>
          <t>Kyrkan</t>
        </is>
      </c>
      <c r="I52" t="n">
        <v>0.3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Brandticka</t>
        </is>
      </c>
      <c r="W52">
        <f>HYPERLINK("https://klasma.github.io/Logging_0686/artfynd/S 2100-2024 artfynd.xlsx", "S 2100-2024")</f>
        <v/>
      </c>
      <c r="X52">
        <f>HYPERLINK("https://klasma.github.io/Logging_0686/kartor/S 2100-2024 karta.png", "S 2100-2024")</f>
        <v/>
      </c>
      <c r="Y52">
        <f>HYPERLINK("https://klasma.github.io/Logging_0686/kartor_geotiff/S 2100-2024 georefererad karta.tif", "S 2100-2024")</f>
        <v/>
      </c>
      <c r="AA52">
        <f>HYPERLINK("https://klasma.github.io/Logging_0686/klagomål/S 2100-2024 FSC-klagomål.docx", "S 2100-2024")</f>
        <v/>
      </c>
      <c r="AB52">
        <f>HYPERLINK("https://klasma.github.io/Logging_0686/klagomålsmail/S 2100-2024 FSC-klagomål mail.docx", "S 2100-2024")</f>
        <v/>
      </c>
      <c r="AC52">
        <f>HYPERLINK("https://klasma.github.io/Logging_0686/tillsyn/S 2100-2024 tillsynsbegäran.docx", "S 2100-2024")</f>
        <v/>
      </c>
      <c r="AD52">
        <f>HYPERLINK("https://klasma.github.io/Logging_0686/tillsynsmail/S 2100-2024 tillsynsbegäran mail.docx", "S 2100-2024")</f>
        <v/>
      </c>
    </row>
    <row r="53" ht="15" customHeight="1">
      <c r="A53" t="inlineStr">
        <is>
          <t>S 3314-2023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45195</v>
      </c>
      <c r="E53" s="1" t="n">
        <v>46314</v>
      </c>
      <c r="F53" t="inlineStr">
        <is>
          <t>JÖNKÖPINGS LÄN</t>
        </is>
      </c>
      <c r="G53" t="inlineStr">
        <is>
          <t>EKSJÖ</t>
        </is>
      </c>
      <c r="I53" t="n">
        <v>16.3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3314-2023 artfynd.xlsx", "S 3314-2023")</f>
        <v/>
      </c>
      <c r="X53">
        <f>HYPERLINK("https://klasma.github.io/Logging_0686/kartor/S 3314-2023 karta.png", "S 3314-2023")</f>
        <v/>
      </c>
      <c r="Y53">
        <f>HYPERLINK("https://klasma.github.io/Logging_0686/kartor_geotiff/S 3314-2023 georefererad karta.tif", "S 3314-2023")</f>
        <v/>
      </c>
      <c r="AA53">
        <f>HYPERLINK("https://klasma.github.io/Logging_0686/klagomål/S 3314-2023 FSC-klagomål.docx", "S 3314-2023")</f>
        <v/>
      </c>
      <c r="AB53">
        <f>HYPERLINK("https://klasma.github.io/Logging_0686/klagomålsmail/S 3314-2023 FSC-klagomål mail.docx", "S 3314-2023")</f>
        <v/>
      </c>
      <c r="AC53">
        <f>HYPERLINK("https://klasma.github.io/Logging_0686/tillsyn/S 3314-2023 tillsynsbegäran.docx", "S 3314-2023")</f>
        <v/>
      </c>
      <c r="AD53">
        <f>HYPERLINK("https://klasma.github.io/Logging_0686/tillsynsmail/S 3314-2023 tillsynsbegäran mail.docx", "S 3314-2023")</f>
        <v/>
      </c>
    </row>
    <row r="54" ht="15" customHeight="1">
      <c r="A54" t="inlineStr">
        <is>
          <t>S 523-2025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45707</v>
      </c>
      <c r="E54" s="1" t="n">
        <v>46314</v>
      </c>
      <c r="F54" t="inlineStr">
        <is>
          <t>JÖNKÖPINGS LÄN</t>
        </is>
      </c>
      <c r="G54" t="inlineStr">
        <is>
          <t>EKSJÖ</t>
        </is>
      </c>
      <c r="I54" t="n">
        <v>22.9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Spindelört</t>
        </is>
      </c>
      <c r="W54">
        <f>HYPERLINK("https://klasma.github.io/Logging_0686/artfynd/S 523-2025 artfynd.xlsx", "S 523-2025")</f>
        <v/>
      </c>
      <c r="X54">
        <f>HYPERLINK("https://klasma.github.io/Logging_0686/kartor/S 523-2025 karta.png", "S 523-2025")</f>
        <v/>
      </c>
      <c r="Y54">
        <f>HYPERLINK("https://klasma.github.io/Logging_0686/kartor_geotiff/S 523-2025 georefererad karta.tif", "S 523-2025")</f>
        <v/>
      </c>
      <c r="AA54">
        <f>HYPERLINK("https://klasma.github.io/Logging_0686/klagomål/S 523-2025 FSC-klagomål.docx", "S 523-2025")</f>
        <v/>
      </c>
      <c r="AB54">
        <f>HYPERLINK("https://klasma.github.io/Logging_0686/klagomålsmail/S 523-2025 FSC-klagomål mail.docx", "S 523-2025")</f>
        <v/>
      </c>
      <c r="AC54">
        <f>HYPERLINK("https://klasma.github.io/Logging_0686/tillsyn/S 523-2025 tillsynsbegäran.docx", "S 523-2025")</f>
        <v/>
      </c>
      <c r="AD54">
        <f>HYPERLINK("https://klasma.github.io/Logging_0686/tillsynsmail/S 523-2025 tillsynsbegäran mail.docx", "S 523-2025")</f>
        <v/>
      </c>
    </row>
    <row r="55" ht="15" customHeight="1">
      <c r="A55" t="inlineStr">
        <is>
          <t>S 2968-2025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45954</v>
      </c>
      <c r="E55" s="1" t="n">
        <v>46314</v>
      </c>
      <c r="F55" t="inlineStr">
        <is>
          <t>JÖNKÖPINGS LÄN</t>
        </is>
      </c>
      <c r="G55" t="inlineStr">
        <is>
          <t>EKSJÖ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25</v>
      </c>
      <c r="U55" t="n">
        <v>0</v>
      </c>
      <c r="V55" s="2" t="inlineStr">
        <is>
          <t>Ask</t>
        </is>
      </c>
      <c r="W55">
        <f>HYPERLINK("https://klasma.github.io/Logging_0686/artfynd/S 2968-2025 artfynd.xlsx", "S 2968-2025")</f>
        <v/>
      </c>
      <c r="X55">
        <f>HYPERLINK("https://klasma.github.io/Logging_0686/kartor/S 2968-2025 karta.png", "S 2968-2025")</f>
        <v/>
      </c>
      <c r="Y55">
        <f>HYPERLINK("https://klasma.github.io/Logging_0686/kartor_geotiff/S 2968-2025 georefererad karta.tif", "S 2968-2025")</f>
        <v/>
      </c>
      <c r="AA55">
        <f>HYPERLINK("https://klasma.github.io/Logging_0686/klagomål/S 2968-2025 FSC-klagomål.docx", "S 2968-2025")</f>
        <v/>
      </c>
      <c r="AB55">
        <f>HYPERLINK("https://klasma.github.io/Logging_0686/klagomålsmail/S 2968-2025 FSC-klagomål mail.docx", "S 2968-2025")</f>
        <v/>
      </c>
      <c r="AC55">
        <f>HYPERLINK("https://klasma.github.io/Logging_0686/tillsyn/S 2968-2025 tillsynsbegäran.docx", "S 2968-2025")</f>
        <v/>
      </c>
      <c r="AD55">
        <f>HYPERLINK("https://klasma.github.io/Logging_0686/tillsynsmail/S 2968-2025 tillsynsbegäran mail.docx", "S 2968-2025")</f>
        <v/>
      </c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46314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56005-2022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46314</v>
      </c>
      <c r="F57" t="inlineStr">
        <is>
          <t>JÖNKÖPINGS LÄN</t>
        </is>
      </c>
      <c r="G57" t="inlineStr">
        <is>
          <t>EKSJÖ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46314</v>
      </c>
      <c r="F58" t="inlineStr">
        <is>
          <t>JÖNKÖPINGS LÄN</t>
        </is>
      </c>
      <c r="G58" t="inlineStr">
        <is>
          <t>EKSJÖ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41532-2022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44827</v>
      </c>
      <c r="E59" s="1" t="n">
        <v>46314</v>
      </c>
      <c r="F59" t="inlineStr">
        <is>
          <t>JÖNKÖPINGS LÄN</t>
        </is>
      </c>
      <c r="G59" t="inlineStr">
        <is>
          <t>EKSJÖ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46314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44753</v>
      </c>
      <c r="E61" s="1" t="n">
        <v>46314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46314</v>
      </c>
      <c r="F62" t="inlineStr">
        <is>
          <t>JÖNKÖPINGS LÄN</t>
        </is>
      </c>
      <c r="G62" t="inlineStr">
        <is>
          <t>EKSJÖ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46314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46314</v>
      </c>
      <c r="F64" t="inlineStr">
        <is>
          <t>JÖNKÖPINGS LÄN</t>
        </is>
      </c>
      <c r="G64" t="inlineStr">
        <is>
          <t>EKSJÖ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46314</v>
      </c>
      <c r="F65" t="inlineStr">
        <is>
          <t>JÖNKÖPINGS LÄN</t>
        </is>
      </c>
      <c r="G65" t="inlineStr">
        <is>
          <t>EKSJÖ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46314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46314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46314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46314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46314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46314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46314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46314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46314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46314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46314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46314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46314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46314</v>
      </c>
      <c r="F79" t="inlineStr">
        <is>
          <t>JÖNKÖPINGS LÄN</t>
        </is>
      </c>
      <c r="G79" t="inlineStr">
        <is>
          <t>EKSJÖ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46314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46314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46314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46314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46314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46314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46314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46314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46314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46314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46314</v>
      </c>
      <c r="F90" t="inlineStr">
        <is>
          <t>JÖNKÖPINGS LÄN</t>
        </is>
      </c>
      <c r="G90" t="inlineStr">
        <is>
          <t>EKSJÖ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46314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46314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46314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66930-2021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46314</v>
      </c>
      <c r="F94" t="inlineStr">
        <is>
          <t>JÖNKÖPINGS LÄN</t>
        </is>
      </c>
      <c r="G94" t="inlineStr">
        <is>
          <t>EKSJÖ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46314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46314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46314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46314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46314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46314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46314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46314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46314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46314</v>
      </c>
      <c r="F104" t="inlineStr">
        <is>
          <t>JÖNKÖPINGS LÄN</t>
        </is>
      </c>
      <c r="G104" t="inlineStr">
        <is>
          <t>EKSJÖ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46314</v>
      </c>
      <c r="F105" t="inlineStr">
        <is>
          <t>JÖNKÖPINGS LÄN</t>
        </is>
      </c>
      <c r="G105" t="inlineStr">
        <is>
          <t>EKSJÖ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46314</v>
      </c>
      <c r="F106" t="inlineStr">
        <is>
          <t>JÖNKÖPINGS LÄN</t>
        </is>
      </c>
      <c r="G106" t="inlineStr">
        <is>
          <t>EKSJÖ</t>
        </is>
      </c>
      <c r="H106" t="inlineStr">
        <is>
          <t>Övriga Aktiebolag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46314</v>
      </c>
      <c r="F107" t="inlineStr">
        <is>
          <t>JÖNKÖPINGS LÄN</t>
        </is>
      </c>
      <c r="G107" t="inlineStr">
        <is>
          <t>EKSJÖ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46314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44861</v>
      </c>
      <c r="E109" s="1" t="n">
        <v>46314</v>
      </c>
      <c r="F109" t="inlineStr">
        <is>
          <t>JÖNKÖPINGS LÄN</t>
        </is>
      </c>
      <c r="G109" t="inlineStr">
        <is>
          <t>EKSJÖ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45003</v>
      </c>
      <c r="E110" s="1" t="n">
        <v>46314</v>
      </c>
      <c r="F110" t="inlineStr">
        <is>
          <t>JÖNKÖPINGS LÄN</t>
        </is>
      </c>
      <c r="G110" t="inlineStr">
        <is>
          <t>EKSJÖ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46314</v>
      </c>
      <c r="F111" t="inlineStr">
        <is>
          <t>JÖNKÖPINGS LÄN</t>
        </is>
      </c>
      <c r="G111" t="inlineStr">
        <is>
          <t>EKSJÖ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46314</v>
      </c>
      <c r="F112" t="inlineStr">
        <is>
          <t>JÖNKÖPINGS LÄN</t>
        </is>
      </c>
      <c r="G112" t="inlineStr">
        <is>
          <t>EKSJÖ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46314</v>
      </c>
      <c r="F113" t="inlineStr">
        <is>
          <t>JÖNKÖPINGS LÄN</t>
        </is>
      </c>
      <c r="G113" t="inlineStr">
        <is>
          <t>EKSJÖ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44940</v>
      </c>
      <c r="E114" s="1" t="n">
        <v>46314</v>
      </c>
      <c r="F114" t="inlineStr">
        <is>
          <t>JÖNKÖPINGS LÄN</t>
        </is>
      </c>
      <c r="G114" t="inlineStr">
        <is>
          <t>EKSJÖ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44941</v>
      </c>
      <c r="E115" s="1" t="n">
        <v>46314</v>
      </c>
      <c r="F115" t="inlineStr">
        <is>
          <t>JÖNKÖPINGS LÄN</t>
        </is>
      </c>
      <c r="G115" t="inlineStr">
        <is>
          <t>EKSJÖ</t>
        </is>
      </c>
      <c r="H115" t="inlineStr">
        <is>
          <t>Övriga Aktiebolag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46314</v>
      </c>
      <c r="F116" t="inlineStr">
        <is>
          <t>JÖNKÖPINGS LÄN</t>
        </is>
      </c>
      <c r="G116" t="inlineStr">
        <is>
          <t>EKSJÖ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46314</v>
      </c>
      <c r="F117" t="inlineStr">
        <is>
          <t>JÖNKÖPINGS LÄN</t>
        </is>
      </c>
      <c r="G117" t="inlineStr">
        <is>
          <t>EKSJÖ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45051</v>
      </c>
      <c r="E118" s="1" t="n">
        <v>46314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46314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46314</v>
      </c>
      <c r="F120" t="inlineStr">
        <is>
          <t>JÖNKÖPINGS LÄN</t>
        </is>
      </c>
      <c r="G120" t="inlineStr">
        <is>
          <t>EKSJÖ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44925</v>
      </c>
      <c r="E121" s="1" t="n">
        <v>46314</v>
      </c>
      <c r="F121" t="inlineStr">
        <is>
          <t>JÖNKÖPINGS LÄN</t>
        </is>
      </c>
      <c r="G121" t="inlineStr">
        <is>
          <t>EKSJÖ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45344</v>
      </c>
      <c r="E122" s="1" t="n">
        <v>46314</v>
      </c>
      <c r="F122" t="inlineStr">
        <is>
          <t>JÖNKÖPINGS LÄN</t>
        </is>
      </c>
      <c r="G122" t="inlineStr">
        <is>
          <t>EKSJÖ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45345</v>
      </c>
      <c r="E123" s="1" t="n">
        <v>46314</v>
      </c>
      <c r="F123" t="inlineStr">
        <is>
          <t>JÖNKÖPINGS LÄN</t>
        </is>
      </c>
      <c r="G123" t="inlineStr">
        <is>
          <t>EKSJÖ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45523</v>
      </c>
      <c r="E124" s="1" t="n">
        <v>46314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46314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46314</v>
      </c>
      <c r="F126" t="inlineStr">
        <is>
          <t>JÖNKÖPINGS LÄN</t>
        </is>
      </c>
      <c r="G126" t="inlineStr">
        <is>
          <t>EKSJÖ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46314</v>
      </c>
      <c r="F127" t="inlineStr">
        <is>
          <t>JÖNKÖPINGS LÄN</t>
        </is>
      </c>
      <c r="G127" t="inlineStr">
        <is>
          <t>EKSJÖ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45408</v>
      </c>
      <c r="E128" s="1" t="n">
        <v>46314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46314</v>
      </c>
      <c r="F129" t="inlineStr">
        <is>
          <t>JÖNKÖPINGS LÄN</t>
        </is>
      </c>
      <c r="G129" t="inlineStr">
        <is>
          <t>EKSJÖ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46314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45237</v>
      </c>
      <c r="E131" s="1" t="n">
        <v>46314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46314</v>
      </c>
      <c r="F132" t="inlineStr">
        <is>
          <t>JÖNKÖPINGS LÄN</t>
        </is>
      </c>
      <c r="G132" t="inlineStr">
        <is>
          <t>EKSJÖ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46314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46314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46314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46314</v>
      </c>
      <c r="F136" t="inlineStr">
        <is>
          <t>JÖNKÖPINGS LÄN</t>
        </is>
      </c>
      <c r="G136" t="inlineStr">
        <is>
          <t>EKSJÖ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46314</v>
      </c>
      <c r="F137" t="inlineStr">
        <is>
          <t>JÖNKÖPINGS LÄN</t>
        </is>
      </c>
      <c r="G137" t="inlineStr">
        <is>
          <t>EKSJÖ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45680</v>
      </c>
      <c r="E138" s="1" t="n">
        <v>46314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46314</v>
      </c>
      <c r="F139" t="inlineStr">
        <is>
          <t>JÖNKÖPINGS LÄN</t>
        </is>
      </c>
      <c r="G139" t="inlineStr">
        <is>
          <t>EKSJÖ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46314</v>
      </c>
      <c r="F140" t="inlineStr">
        <is>
          <t>JÖNKÖPINGS LÄN</t>
        </is>
      </c>
      <c r="G140" t="inlineStr">
        <is>
          <t>EKSJÖ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46314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46314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46314</v>
      </c>
      <c r="F143" t="inlineStr">
        <is>
          <t>JÖNKÖPINGS LÄN</t>
        </is>
      </c>
      <c r="G143" t="inlineStr">
        <is>
          <t>EKSJÖ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44888</v>
      </c>
      <c r="E144" s="1" t="n">
        <v>46314</v>
      </c>
      <c r="F144" t="inlineStr">
        <is>
          <t>JÖNKÖPINGS LÄN</t>
        </is>
      </c>
      <c r="G144" t="inlineStr">
        <is>
          <t>EKSJÖ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46314</v>
      </c>
      <c r="F145" t="inlineStr">
        <is>
          <t>JÖNKÖPINGS LÄN</t>
        </is>
      </c>
      <c r="G145" t="inlineStr">
        <is>
          <t>EKSJÖ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46314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46314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46314</v>
      </c>
      <c r="F148" t="inlineStr">
        <is>
          <t>JÖNKÖPINGS LÄN</t>
        </is>
      </c>
      <c r="G148" t="inlineStr">
        <is>
          <t>EKSJÖ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45463</v>
      </c>
      <c r="E149" s="1" t="n">
        <v>46314</v>
      </c>
      <c r="F149" t="inlineStr">
        <is>
          <t>JÖNKÖPINGS LÄN</t>
        </is>
      </c>
      <c r="G149" t="inlineStr">
        <is>
          <t>EKSJÖ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46314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46314</v>
      </c>
      <c r="F151" t="inlineStr">
        <is>
          <t>JÖNKÖPINGS LÄN</t>
        </is>
      </c>
      <c r="G151" t="inlineStr">
        <is>
          <t>EKSJÖ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46314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45686</v>
      </c>
      <c r="E153" s="1" t="n">
        <v>46314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46314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46314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46314</v>
      </c>
      <c r="F156" t="inlineStr">
        <is>
          <t>JÖNKÖPINGS LÄN</t>
        </is>
      </c>
      <c r="G156" t="inlineStr">
        <is>
          <t>EKSJÖ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43411-2022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44834</v>
      </c>
      <c r="E157" s="1" t="n">
        <v>46314</v>
      </c>
      <c r="F157" t="inlineStr">
        <is>
          <t>JÖNKÖPINGS LÄN</t>
        </is>
      </c>
      <c r="G157" t="inlineStr">
        <is>
          <t>EKSJÖ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46314</v>
      </c>
      <c r="F158" t="inlineStr">
        <is>
          <t>JÖNKÖPINGS LÄN</t>
        </is>
      </c>
      <c r="G158" t="inlineStr">
        <is>
          <t>EKSJÖ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44574</v>
      </c>
      <c r="E159" s="1" t="n">
        <v>46314</v>
      </c>
      <c r="F159" t="inlineStr">
        <is>
          <t>JÖNKÖPINGS LÄN</t>
        </is>
      </c>
      <c r="G159" t="inlineStr">
        <is>
          <t>EKSJÖ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45418</v>
      </c>
      <c r="E160" s="1" t="n">
        <v>46314</v>
      </c>
      <c r="F160" t="inlineStr">
        <is>
          <t>JÖNKÖPINGS LÄN</t>
        </is>
      </c>
      <c r="G160" t="inlineStr">
        <is>
          <t>EKSJÖ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46314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46314</v>
      </c>
      <c r="F162" t="inlineStr">
        <is>
          <t>JÖNKÖPINGS LÄN</t>
        </is>
      </c>
      <c r="G162" t="inlineStr">
        <is>
          <t>EKSJÖ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46314</v>
      </c>
      <c r="F163" t="inlineStr">
        <is>
          <t>JÖNKÖPINGS LÄN</t>
        </is>
      </c>
      <c r="G163" t="inlineStr">
        <is>
          <t>EKSJÖ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46314</v>
      </c>
      <c r="F164" t="inlineStr">
        <is>
          <t>JÖNKÖPINGS LÄN</t>
        </is>
      </c>
      <c r="G164" t="inlineStr">
        <is>
          <t>EKSJÖ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44803</v>
      </c>
      <c r="E165" s="1" t="n">
        <v>46314</v>
      </c>
      <c r="F165" t="inlineStr">
        <is>
          <t>JÖNKÖPINGS LÄN</t>
        </is>
      </c>
      <c r="G165" t="inlineStr">
        <is>
          <t>EKSJÖ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46314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46314</v>
      </c>
      <c r="F167" t="inlineStr">
        <is>
          <t>JÖNKÖPINGS LÄN</t>
        </is>
      </c>
      <c r="G167" t="inlineStr">
        <is>
          <t>EKSJÖ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46314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46314</v>
      </c>
      <c r="F169" t="inlineStr">
        <is>
          <t>JÖNKÖPINGS LÄN</t>
        </is>
      </c>
      <c r="G169" t="inlineStr">
        <is>
          <t>EKSJÖ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46314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45758</v>
      </c>
      <c r="E171" s="1" t="n">
        <v>46314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46314</v>
      </c>
      <c r="F172" t="inlineStr">
        <is>
          <t>JÖNKÖPINGS LÄN</t>
        </is>
      </c>
      <c r="G172" t="inlineStr">
        <is>
          <t>EKSJÖ</t>
        </is>
      </c>
      <c r="H172" t="inlineStr">
        <is>
          <t>Övriga Aktiebolag</t>
        </is>
      </c>
      <c r="I172" t="n">
        <v>17.5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46314</v>
      </c>
      <c r="F173" t="inlineStr">
        <is>
          <t>JÖNKÖPINGS LÄN</t>
        </is>
      </c>
      <c r="G173" t="inlineStr">
        <is>
          <t>EKSJÖ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44580</v>
      </c>
      <c r="E174" s="1" t="n">
        <v>46314</v>
      </c>
      <c r="F174" t="inlineStr">
        <is>
          <t>JÖNKÖPINGS LÄN</t>
        </is>
      </c>
      <c r="G174" t="inlineStr">
        <is>
          <t>EKSJÖ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46314</v>
      </c>
      <c r="F175" t="inlineStr">
        <is>
          <t>JÖNKÖPINGS LÄN</t>
        </is>
      </c>
      <c r="G175" t="inlineStr">
        <is>
          <t>EKSJÖ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46314</v>
      </c>
      <c r="F176" t="inlineStr">
        <is>
          <t>JÖNKÖPINGS LÄN</t>
        </is>
      </c>
      <c r="G176" t="inlineStr">
        <is>
          <t>EKSJÖ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45008</v>
      </c>
      <c r="E177" s="1" t="n">
        <v>46314</v>
      </c>
      <c r="F177" t="inlineStr">
        <is>
          <t>JÖNKÖPINGS LÄN</t>
        </is>
      </c>
      <c r="G177" t="inlineStr">
        <is>
          <t>EKSJÖ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46314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46314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46314</v>
      </c>
      <c r="F180" t="inlineStr">
        <is>
          <t>JÖNKÖPINGS LÄN</t>
        </is>
      </c>
      <c r="G180" t="inlineStr">
        <is>
          <t>EKSJÖ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46314</v>
      </c>
      <c r="F181" t="inlineStr">
        <is>
          <t>JÖNKÖPINGS LÄN</t>
        </is>
      </c>
      <c r="G181" t="inlineStr">
        <is>
          <t>EKSJÖ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45328</v>
      </c>
      <c r="E182" s="1" t="n">
        <v>46314</v>
      </c>
      <c r="F182" t="inlineStr">
        <is>
          <t>JÖNKÖPINGS LÄN</t>
        </is>
      </c>
      <c r="G182" t="inlineStr">
        <is>
          <t>EKSJÖ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44511</v>
      </c>
      <c r="E183" s="1" t="n">
        <v>46314</v>
      </c>
      <c r="F183" t="inlineStr">
        <is>
          <t>JÖNKÖPINGS LÄN</t>
        </is>
      </c>
      <c r="G183" t="inlineStr">
        <is>
          <t>EKSJÖ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45184</v>
      </c>
      <c r="E184" s="1" t="n">
        <v>46314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46314</v>
      </c>
      <c r="F185" t="inlineStr">
        <is>
          <t>JÖNKÖPINGS LÄN</t>
        </is>
      </c>
      <c r="G185" t="inlineStr">
        <is>
          <t>EKSJÖ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44781</v>
      </c>
      <c r="E186" s="1" t="n">
        <v>46314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54292-2023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45232</v>
      </c>
      <c r="E187" s="1" t="n">
        <v>46314</v>
      </c>
      <c r="F187" t="inlineStr">
        <is>
          <t>JÖNKÖPINGS LÄN</t>
        </is>
      </c>
      <c r="G187" t="inlineStr">
        <is>
          <t>EKSJÖ</t>
        </is>
      </c>
      <c r="I187" t="n">
        <v>18.3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46314</v>
      </c>
      <c r="F188" t="inlineStr">
        <is>
          <t>JÖNKÖPINGS LÄN</t>
        </is>
      </c>
      <c r="G188" t="inlineStr">
        <is>
          <t>EKSJÖ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46314</v>
      </c>
      <c r="F189" t="inlineStr">
        <is>
          <t>JÖNKÖPINGS LÄN</t>
        </is>
      </c>
      <c r="G189" t="inlineStr">
        <is>
          <t>EKSJÖ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46314</v>
      </c>
      <c r="F190" t="inlineStr">
        <is>
          <t>JÖNKÖPINGS LÄN</t>
        </is>
      </c>
      <c r="G190" t="inlineStr">
        <is>
          <t>EKSJÖ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46314</v>
      </c>
      <c r="F191" t="inlineStr">
        <is>
          <t>JÖNKÖPINGS LÄN</t>
        </is>
      </c>
      <c r="G191" t="inlineStr">
        <is>
          <t>EKSJÖ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46314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46314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19469-2025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45770</v>
      </c>
      <c r="E194" s="1" t="n">
        <v>46314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46314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46314</v>
      </c>
      <c r="F196" t="inlineStr">
        <is>
          <t>JÖNKÖPINGS LÄN</t>
        </is>
      </c>
      <c r="G196" t="inlineStr">
        <is>
          <t>EKSJÖ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46314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46314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46314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46314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54292-2023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45232</v>
      </c>
      <c r="E201" s="1" t="n">
        <v>46314</v>
      </c>
      <c r="F201" t="inlineStr">
        <is>
          <t>JÖNKÖPINGS LÄN</t>
        </is>
      </c>
      <c r="G201" t="inlineStr">
        <is>
          <t>EKSJÖ</t>
        </is>
      </c>
      <c r="I201" t="n">
        <v>18.3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46314</v>
      </c>
      <c r="F202" t="inlineStr">
        <is>
          <t>JÖNKÖPINGS LÄN</t>
        </is>
      </c>
      <c r="G202" t="inlineStr">
        <is>
          <t>EKSJÖ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45223</v>
      </c>
      <c r="E203" s="1" t="n">
        <v>46314</v>
      </c>
      <c r="F203" t="inlineStr">
        <is>
          <t>JÖNKÖPINGS LÄN</t>
        </is>
      </c>
      <c r="G203" t="inlineStr">
        <is>
          <t>EKSJÖ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46314</v>
      </c>
      <c r="F204" t="inlineStr">
        <is>
          <t>JÖNKÖPINGS LÄN</t>
        </is>
      </c>
      <c r="G204" t="inlineStr">
        <is>
          <t>EKSJÖ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45195</v>
      </c>
      <c r="E205" s="1" t="n">
        <v>46314</v>
      </c>
      <c r="F205" t="inlineStr">
        <is>
          <t>JÖNKÖPINGS LÄN</t>
        </is>
      </c>
      <c r="G205" t="inlineStr">
        <is>
          <t>EKSJÖ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46314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45837</v>
      </c>
      <c r="E207" s="1" t="n">
        <v>46314</v>
      </c>
      <c r="F207" t="inlineStr">
        <is>
          <t>JÖNKÖPINGS LÄN</t>
        </is>
      </c>
      <c r="G207" t="inlineStr">
        <is>
          <t>EKSJÖ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45334</v>
      </c>
      <c r="E208" s="1" t="n">
        <v>46314</v>
      </c>
      <c r="F208" t="inlineStr">
        <is>
          <t>JÖNKÖPINGS LÄN</t>
        </is>
      </c>
      <c r="G208" t="inlineStr">
        <is>
          <t>EKSJÖ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46314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46314</v>
      </c>
      <c r="F210" t="inlineStr">
        <is>
          <t>JÖNKÖPINGS LÄN</t>
        </is>
      </c>
      <c r="G210" t="inlineStr">
        <is>
          <t>EKSJÖ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46314</v>
      </c>
      <c r="F211" t="inlineStr">
        <is>
          <t>JÖNKÖPINGS LÄN</t>
        </is>
      </c>
      <c r="G211" t="inlineStr">
        <is>
          <t>EKSJÖ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44945</v>
      </c>
      <c r="E212" s="1" t="n">
        <v>46314</v>
      </c>
      <c r="F212" t="inlineStr">
        <is>
          <t>JÖNKÖPINGS LÄN</t>
        </is>
      </c>
      <c r="G212" t="inlineStr">
        <is>
          <t>EKSJÖ</t>
        </is>
      </c>
      <c r="H212" t="inlineStr">
        <is>
          <t>Övriga Aktiebolag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46314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46314</v>
      </c>
      <c r="F214" t="inlineStr">
        <is>
          <t>JÖNKÖPINGS LÄN</t>
        </is>
      </c>
      <c r="G214" t="inlineStr">
        <is>
          <t>EKSJÖ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46314</v>
      </c>
      <c r="F215" t="inlineStr">
        <is>
          <t>JÖNKÖPINGS LÄN</t>
        </is>
      </c>
      <c r="G215" t="inlineStr">
        <is>
          <t>EKSJÖ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46314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46314</v>
      </c>
      <c r="F217" t="inlineStr">
        <is>
          <t>JÖNKÖPINGS LÄN</t>
        </is>
      </c>
      <c r="G217" t="inlineStr">
        <is>
          <t>EKSJÖ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45338</v>
      </c>
      <c r="E218" s="1" t="n">
        <v>46314</v>
      </c>
      <c r="F218" t="inlineStr">
        <is>
          <t>JÖNKÖPINGS LÄN</t>
        </is>
      </c>
      <c r="G218" t="inlineStr">
        <is>
          <t>EKSJÖ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45757</v>
      </c>
      <c r="E219" s="1" t="n">
        <v>46314</v>
      </c>
      <c r="F219" t="inlineStr">
        <is>
          <t>JÖNKÖPINGS LÄN</t>
        </is>
      </c>
      <c r="G219" t="inlineStr">
        <is>
          <t>EKSJÖ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46314</v>
      </c>
      <c r="F220" t="inlineStr">
        <is>
          <t>JÖNKÖPINGS LÄN</t>
        </is>
      </c>
      <c r="G220" t="inlineStr">
        <is>
          <t>EKSJÖ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45222</v>
      </c>
      <c r="E221" s="1" t="n">
        <v>46314</v>
      </c>
      <c r="F221" t="inlineStr">
        <is>
          <t>JÖNKÖPINGS LÄN</t>
        </is>
      </c>
      <c r="G221" t="inlineStr">
        <is>
          <t>EKSJÖ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44526-2025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45916</v>
      </c>
      <c r="E222" s="1" t="n">
        <v>46314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46314</v>
      </c>
      <c r="F223" t="inlineStr">
        <is>
          <t>JÖNKÖPINGS LÄN</t>
        </is>
      </c>
      <c r="G223" t="inlineStr">
        <is>
          <t>EKSJÖ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46314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46314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46314</v>
      </c>
      <c r="F226" t="inlineStr">
        <is>
          <t>JÖNKÖPINGS LÄN</t>
        </is>
      </c>
      <c r="G226" t="inlineStr">
        <is>
          <t>EKSJÖ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46314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46314</v>
      </c>
      <c r="F228" t="inlineStr">
        <is>
          <t>JÖNKÖPINGS LÄN</t>
        </is>
      </c>
      <c r="G228" t="inlineStr">
        <is>
          <t>EKSJÖ</t>
        </is>
      </c>
      <c r="H228" t="inlineStr">
        <is>
          <t>Kommuner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45334</v>
      </c>
      <c r="E229" s="1" t="n">
        <v>46314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46314</v>
      </c>
      <c r="F230" t="inlineStr">
        <is>
          <t>JÖNKÖPINGS LÄN</t>
        </is>
      </c>
      <c r="G230" t="inlineStr">
        <is>
          <t>EKSJÖ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45195</v>
      </c>
      <c r="E231" s="1" t="n">
        <v>46314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46314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46314</v>
      </c>
      <c r="F233" t="inlineStr">
        <is>
          <t>JÖNKÖPINGS LÄN</t>
        </is>
      </c>
      <c r="G233" t="inlineStr">
        <is>
          <t>EKSJÖ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46314</v>
      </c>
      <c r="F234" t="inlineStr">
        <is>
          <t>JÖNKÖPINGS LÄN</t>
        </is>
      </c>
      <c r="G234" t="inlineStr">
        <is>
          <t>EKSJÖ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46314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46314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46314</v>
      </c>
      <c r="F237" t="inlineStr">
        <is>
          <t>JÖNKÖPINGS LÄN</t>
        </is>
      </c>
      <c r="G237" t="inlineStr">
        <is>
          <t>EKSJÖ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46314</v>
      </c>
      <c r="F238" t="inlineStr">
        <is>
          <t>JÖNKÖPINGS LÄN</t>
        </is>
      </c>
      <c r="G238" t="inlineStr">
        <is>
          <t>EKSJÖ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45334</v>
      </c>
      <c r="E239" s="1" t="n">
        <v>46314</v>
      </c>
      <c r="F239" t="inlineStr">
        <is>
          <t>JÖNKÖPINGS LÄN</t>
        </is>
      </c>
      <c r="G239" t="inlineStr">
        <is>
          <t>EKSJÖ</t>
        </is>
      </c>
      <c r="H239" t="inlineStr">
        <is>
          <t>Kommuner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46314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46314</v>
      </c>
      <c r="F241" t="inlineStr">
        <is>
          <t>JÖNKÖPINGS LÄN</t>
        </is>
      </c>
      <c r="G241" t="inlineStr">
        <is>
          <t>EKSJÖ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46314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45373</v>
      </c>
      <c r="E243" s="1" t="n">
        <v>46314</v>
      </c>
      <c r="F243" t="inlineStr">
        <is>
          <t>JÖNKÖPINGS LÄN</t>
        </is>
      </c>
      <c r="G243" t="inlineStr">
        <is>
          <t>EKSJÖ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46314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46314</v>
      </c>
      <c r="F245" t="inlineStr">
        <is>
          <t>JÖNKÖPINGS LÄN</t>
        </is>
      </c>
      <c r="G245" t="inlineStr">
        <is>
          <t>EKSJÖ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46314</v>
      </c>
      <c r="F246" t="inlineStr">
        <is>
          <t>JÖNKÖPINGS LÄN</t>
        </is>
      </c>
      <c r="G246" t="inlineStr">
        <is>
          <t>EKSJÖ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46314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46314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46314</v>
      </c>
      <c r="F249" t="inlineStr">
        <is>
          <t>JÖNKÖPINGS LÄN</t>
        </is>
      </c>
      <c r="G249" t="inlineStr">
        <is>
          <t>EKSJÖ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46314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46314</v>
      </c>
      <c r="F251" t="inlineStr">
        <is>
          <t>JÖNKÖPINGS LÄN</t>
        </is>
      </c>
      <c r="G251" t="inlineStr">
        <is>
          <t>EKSJÖ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46314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46314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46314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44630</v>
      </c>
      <c r="E255" s="1" t="n">
        <v>46314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45286</v>
      </c>
      <c r="E256" s="1" t="n">
        <v>46314</v>
      </c>
      <c r="F256" t="inlineStr">
        <is>
          <t>JÖNKÖPINGS LÄN</t>
        </is>
      </c>
      <c r="G256" t="inlineStr">
        <is>
          <t>EKSJÖ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46314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46314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46314</v>
      </c>
      <c r="F259" t="inlineStr">
        <is>
          <t>JÖNKÖPINGS LÄN</t>
        </is>
      </c>
      <c r="G259" t="inlineStr">
        <is>
          <t>EKSJÖ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46314</v>
      </c>
      <c r="F260" t="inlineStr">
        <is>
          <t>JÖNKÖPINGS LÄN</t>
        </is>
      </c>
      <c r="G260" t="inlineStr">
        <is>
          <t>EKSJÖ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12821-2024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45384</v>
      </c>
      <c r="E261" s="1" t="n">
        <v>46314</v>
      </c>
      <c r="F261" t="inlineStr">
        <is>
          <t>JÖNKÖPINGS LÄN</t>
        </is>
      </c>
      <c r="G261" t="inlineStr">
        <is>
          <t>EKSJÖ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55530-2025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46314</v>
      </c>
      <c r="F262" t="inlineStr">
        <is>
          <t>JÖNKÖPINGS LÄN</t>
        </is>
      </c>
      <c r="G262" t="inlineStr">
        <is>
          <t>EKSJÖ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60920-2025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45996</v>
      </c>
      <c r="E263" s="1" t="n">
        <v>46314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46314</v>
      </c>
      <c r="F264" t="inlineStr">
        <is>
          <t>JÖNKÖPINGS LÄN</t>
        </is>
      </c>
      <c r="G264" t="inlineStr">
        <is>
          <t>EKSJÖ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46314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46314</v>
      </c>
      <c r="F266" t="inlineStr">
        <is>
          <t>JÖNKÖPINGS LÄN</t>
        </is>
      </c>
      <c r="G266" t="inlineStr">
        <is>
          <t>EKSJÖ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46314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46314</v>
      </c>
      <c r="F268" t="inlineStr">
        <is>
          <t>JÖNKÖPINGS LÄN</t>
        </is>
      </c>
      <c r="G268" t="inlineStr">
        <is>
          <t>EKSJÖ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46314</v>
      </c>
      <c r="F269" t="inlineStr">
        <is>
          <t>JÖNKÖPINGS LÄN</t>
        </is>
      </c>
      <c r="G269" t="inlineStr">
        <is>
          <t>EKSJÖ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46314</v>
      </c>
      <c r="F270" t="inlineStr">
        <is>
          <t>JÖNKÖPINGS LÄN</t>
        </is>
      </c>
      <c r="G270" t="inlineStr">
        <is>
          <t>EKSJÖ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46314</v>
      </c>
      <c r="F271" t="inlineStr">
        <is>
          <t>JÖNKÖPINGS LÄN</t>
        </is>
      </c>
      <c r="G271" t="inlineStr">
        <is>
          <t>EKSJÖ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46314</v>
      </c>
      <c r="F272" t="inlineStr">
        <is>
          <t>JÖNKÖPINGS LÄN</t>
        </is>
      </c>
      <c r="G272" t="inlineStr">
        <is>
          <t>EKSJÖ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46314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46314</v>
      </c>
      <c r="F274" t="inlineStr">
        <is>
          <t>JÖNKÖPINGS LÄN</t>
        </is>
      </c>
      <c r="G274" t="inlineStr">
        <is>
          <t>EKSJÖ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46314</v>
      </c>
      <c r="F275" t="inlineStr">
        <is>
          <t>JÖNKÖPINGS LÄN</t>
        </is>
      </c>
      <c r="G275" t="inlineStr">
        <is>
          <t>EKSJÖ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46314</v>
      </c>
      <c r="F276" t="inlineStr">
        <is>
          <t>JÖNKÖPINGS LÄN</t>
        </is>
      </c>
      <c r="G276" t="inlineStr">
        <is>
          <t>EKSJÖ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46314</v>
      </c>
      <c r="F277" t="inlineStr">
        <is>
          <t>JÖNKÖPINGS LÄN</t>
        </is>
      </c>
      <c r="G277" t="inlineStr">
        <is>
          <t>EKSJÖ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46314</v>
      </c>
      <c r="F278" t="inlineStr">
        <is>
          <t>JÖNKÖPINGS LÄN</t>
        </is>
      </c>
      <c r="G278" t="inlineStr">
        <is>
          <t>EKSJÖ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46314</v>
      </c>
      <c r="F279" t="inlineStr">
        <is>
          <t>JÖNKÖPINGS LÄN</t>
        </is>
      </c>
      <c r="G279" t="inlineStr">
        <is>
          <t>EKSJÖ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46314</v>
      </c>
      <c r="F280" t="inlineStr">
        <is>
          <t>JÖNKÖPINGS LÄN</t>
        </is>
      </c>
      <c r="G280" t="inlineStr">
        <is>
          <t>EKSJÖ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46314</v>
      </c>
      <c r="F281" t="inlineStr">
        <is>
          <t>JÖNKÖPINGS LÄN</t>
        </is>
      </c>
      <c r="G281" t="inlineStr">
        <is>
          <t>EKSJÖ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65554-2021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44516</v>
      </c>
      <c r="E282" s="1" t="n">
        <v>46314</v>
      </c>
      <c r="F282" t="inlineStr">
        <is>
          <t>JÖNKÖPINGS LÄN</t>
        </is>
      </c>
      <c r="G282" t="inlineStr">
        <is>
          <t>EKSJÖ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46314</v>
      </c>
      <c r="F283" t="inlineStr">
        <is>
          <t>JÖNKÖPINGS LÄN</t>
        </is>
      </c>
      <c r="G283" t="inlineStr">
        <is>
          <t>EKSJÖ</t>
        </is>
      </c>
      <c r="H283" t="inlineStr">
        <is>
          <t>Övriga Aktiebolag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46314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46314</v>
      </c>
      <c r="F285" t="inlineStr">
        <is>
          <t>JÖNKÖPINGS LÄN</t>
        </is>
      </c>
      <c r="G285" t="inlineStr">
        <is>
          <t>EKSJÖ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46012-2022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44846</v>
      </c>
      <c r="E286" s="1" t="n">
        <v>46314</v>
      </c>
      <c r="F286" t="inlineStr">
        <is>
          <t>JÖNKÖPINGS LÄN</t>
        </is>
      </c>
      <c r="G286" t="inlineStr">
        <is>
          <t>EKSJÖ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46314</v>
      </c>
      <c r="F287" t="inlineStr">
        <is>
          <t>JÖNKÖPINGS LÄN</t>
        </is>
      </c>
      <c r="G287" t="inlineStr">
        <is>
          <t>EKSJÖ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44846</v>
      </c>
      <c r="E288" s="1" t="n">
        <v>46314</v>
      </c>
      <c r="F288" t="inlineStr">
        <is>
          <t>JÖNKÖPINGS LÄN</t>
        </is>
      </c>
      <c r="G288" t="inlineStr">
        <is>
          <t>EKSJÖ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46314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45916</v>
      </c>
      <c r="E290" s="1" t="n">
        <v>46314</v>
      </c>
      <c r="F290" t="inlineStr">
        <is>
          <t>JÖNKÖPINGS LÄN</t>
        </is>
      </c>
      <c r="G290" t="inlineStr">
        <is>
          <t>EKSJÖ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44925</v>
      </c>
      <c r="E291" s="1" t="n">
        <v>46314</v>
      </c>
      <c r="F291" t="inlineStr">
        <is>
          <t>JÖNKÖPINGS LÄN</t>
        </is>
      </c>
      <c r="G291" t="inlineStr">
        <is>
          <t>EKSJÖ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46314</v>
      </c>
      <c r="F292" t="inlineStr">
        <is>
          <t>JÖNKÖPINGS LÄN</t>
        </is>
      </c>
      <c r="G292" t="inlineStr">
        <is>
          <t>EKSJÖ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46314</v>
      </c>
      <c r="F293" t="inlineStr">
        <is>
          <t>JÖNKÖPINGS LÄN</t>
        </is>
      </c>
      <c r="G293" t="inlineStr">
        <is>
          <t>EKSJÖ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46314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45402</v>
      </c>
      <c r="E295" s="1" t="n">
        <v>46314</v>
      </c>
      <c r="F295" t="inlineStr">
        <is>
          <t>JÖNKÖPINGS LÄN</t>
        </is>
      </c>
      <c r="G295" t="inlineStr">
        <is>
          <t>EKSJÖ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45713</v>
      </c>
      <c r="E296" s="1" t="n">
        <v>46314</v>
      </c>
      <c r="F296" t="inlineStr">
        <is>
          <t>JÖNKÖPINGS LÄN</t>
        </is>
      </c>
      <c r="G296" t="inlineStr">
        <is>
          <t>EKSJÖ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46314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46314</v>
      </c>
      <c r="F298" t="inlineStr">
        <is>
          <t>JÖNKÖPINGS LÄN</t>
        </is>
      </c>
      <c r="G298" t="inlineStr">
        <is>
          <t>EKSJÖ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45314</v>
      </c>
      <c r="E299" s="1" t="n">
        <v>46314</v>
      </c>
      <c r="F299" t="inlineStr">
        <is>
          <t>JÖNKÖPINGS LÄN</t>
        </is>
      </c>
      <c r="G299" t="inlineStr">
        <is>
          <t>EKSJÖ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45314</v>
      </c>
      <c r="E300" s="1" t="n">
        <v>46314</v>
      </c>
      <c r="F300" t="inlineStr">
        <is>
          <t>JÖNKÖPINGS LÄN</t>
        </is>
      </c>
      <c r="G300" t="inlineStr">
        <is>
          <t>EKSJÖ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45991</v>
      </c>
      <c r="E301" s="1" t="n">
        <v>46314</v>
      </c>
      <c r="F301" t="inlineStr">
        <is>
          <t>JÖNKÖPINGS LÄN</t>
        </is>
      </c>
      <c r="G301" t="inlineStr">
        <is>
          <t>EKSJÖ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46314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46314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46314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45659</v>
      </c>
      <c r="E305" s="1" t="n">
        <v>46314</v>
      </c>
      <c r="F305" t="inlineStr">
        <is>
          <t>JÖNKÖPINGS LÄN</t>
        </is>
      </c>
      <c r="G305" t="inlineStr">
        <is>
          <t>EKSJÖ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34772-2023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45141</v>
      </c>
      <c r="E306" s="1" t="n">
        <v>46314</v>
      </c>
      <c r="F306" t="inlineStr">
        <is>
          <t>JÖNKÖPINGS LÄN</t>
        </is>
      </c>
      <c r="G306" t="inlineStr">
        <is>
          <t>EKSJÖ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46314</v>
      </c>
      <c r="F307" t="inlineStr">
        <is>
          <t>JÖNKÖPINGS LÄN</t>
        </is>
      </c>
      <c r="G307" t="inlineStr">
        <is>
          <t>EKSJÖ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46314</v>
      </c>
      <c r="F308" t="inlineStr">
        <is>
          <t>JÖNKÖPINGS LÄN</t>
        </is>
      </c>
      <c r="G308" t="inlineStr">
        <is>
          <t>EKSJÖ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46314</v>
      </c>
      <c r="F309" t="inlineStr">
        <is>
          <t>JÖNKÖPINGS LÄN</t>
        </is>
      </c>
      <c r="G309" t="inlineStr">
        <is>
          <t>EKSJÖ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46314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46314</v>
      </c>
      <c r="F311" t="inlineStr">
        <is>
          <t>JÖNKÖPINGS LÄN</t>
        </is>
      </c>
      <c r="G311" t="inlineStr">
        <is>
          <t>EKSJÖ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46314</v>
      </c>
      <c r="F312" t="inlineStr">
        <is>
          <t>JÖNKÖPINGS LÄN</t>
        </is>
      </c>
      <c r="G312" t="inlineStr">
        <is>
          <t>EKSJÖ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63643-2025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46014</v>
      </c>
      <c r="E313" s="1" t="n">
        <v>46314</v>
      </c>
      <c r="F313" t="inlineStr">
        <is>
          <t>JÖNKÖPINGS LÄN</t>
        </is>
      </c>
      <c r="G313" t="inlineStr">
        <is>
          <t>EKSJÖ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46314</v>
      </c>
      <c r="F314" t="inlineStr">
        <is>
          <t>JÖNKÖPINGS LÄN</t>
        </is>
      </c>
      <c r="G314" t="inlineStr">
        <is>
          <t>EKSJÖ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46314</v>
      </c>
      <c r="F315" t="inlineStr">
        <is>
          <t>JÖNKÖPINGS LÄN</t>
        </is>
      </c>
      <c r="G315" t="inlineStr">
        <is>
          <t>EKSJÖ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46314</v>
      </c>
      <c r="F316" t="inlineStr">
        <is>
          <t>JÖNKÖPINGS LÄN</t>
        </is>
      </c>
      <c r="G316" t="inlineStr">
        <is>
          <t>EKSJÖ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46314</v>
      </c>
      <c r="F317" t="inlineStr">
        <is>
          <t>JÖNKÖPINGS LÄN</t>
        </is>
      </c>
      <c r="G317" t="inlineStr">
        <is>
          <t>EKSJÖ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46314</v>
      </c>
      <c r="F318" t="inlineStr">
        <is>
          <t>JÖNKÖPINGS LÄN</t>
        </is>
      </c>
      <c r="G318" t="inlineStr">
        <is>
          <t>EKSJÖ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45533</v>
      </c>
      <c r="E319" s="1" t="n">
        <v>46314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44783</v>
      </c>
      <c r="E320" s="1" t="n">
        <v>46314</v>
      </c>
      <c r="F320" t="inlineStr">
        <is>
          <t>JÖNKÖPINGS LÄN</t>
        </is>
      </c>
      <c r="G320" t="inlineStr">
        <is>
          <t>EKSJÖ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46314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46314</v>
      </c>
      <c r="F322" t="inlineStr">
        <is>
          <t>JÖNKÖPINGS LÄN</t>
        </is>
      </c>
      <c r="G322" t="inlineStr">
        <is>
          <t>EKSJÖ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46314</v>
      </c>
      <c r="F323" t="inlineStr">
        <is>
          <t>JÖNKÖPINGS LÄN</t>
        </is>
      </c>
      <c r="G323" t="inlineStr">
        <is>
          <t>EKSJÖ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46314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46314</v>
      </c>
      <c r="F325" t="inlineStr">
        <is>
          <t>JÖNKÖPINGS LÄN</t>
        </is>
      </c>
      <c r="G325" t="inlineStr">
        <is>
          <t>EKSJÖ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46314</v>
      </c>
      <c r="F326" t="inlineStr">
        <is>
          <t>JÖNKÖPINGS LÄN</t>
        </is>
      </c>
      <c r="G326" t="inlineStr">
        <is>
          <t>EKSJÖ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46314</v>
      </c>
      <c r="F327" t="inlineStr">
        <is>
          <t>JÖNKÖPINGS LÄN</t>
        </is>
      </c>
      <c r="G327" t="inlineStr">
        <is>
          <t>EKSJÖ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46314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46314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45533</v>
      </c>
      <c r="E330" s="1" t="n">
        <v>46314</v>
      </c>
      <c r="F330" t="inlineStr">
        <is>
          <t>JÖNKÖPINGS LÄN</t>
        </is>
      </c>
      <c r="G330" t="inlineStr">
        <is>
          <t>EKSJÖ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46314</v>
      </c>
      <c r="F331" t="inlineStr">
        <is>
          <t>JÖNKÖPINGS LÄN</t>
        </is>
      </c>
      <c r="G331" t="inlineStr">
        <is>
          <t>EKSJÖ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20068-2023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46314</v>
      </c>
      <c r="F332" t="inlineStr">
        <is>
          <t>JÖNKÖPINGS LÄN</t>
        </is>
      </c>
      <c r="G332" t="inlineStr">
        <is>
          <t>EKSJÖ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46314</v>
      </c>
      <c r="F333" t="inlineStr">
        <is>
          <t>JÖNKÖPINGS LÄN</t>
        </is>
      </c>
      <c r="G333" t="inlineStr">
        <is>
          <t>EKSJÖ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46314</v>
      </c>
      <c r="F334" t="inlineStr">
        <is>
          <t>JÖNKÖPINGS LÄN</t>
        </is>
      </c>
      <c r="G334" t="inlineStr">
        <is>
          <t>EKSJÖ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46314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46314</v>
      </c>
      <c r="F336" t="inlineStr">
        <is>
          <t>JÖNKÖPINGS LÄN</t>
        </is>
      </c>
      <c r="G336" t="inlineStr">
        <is>
          <t>EKSJÖ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46314</v>
      </c>
      <c r="F337" t="inlineStr">
        <is>
          <t>JÖNKÖPINGS LÄN</t>
        </is>
      </c>
      <c r="G337" t="inlineStr">
        <is>
          <t>EKSJÖ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46314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46314</v>
      </c>
      <c r="F339" t="inlineStr">
        <is>
          <t>JÖNKÖPINGS LÄN</t>
        </is>
      </c>
      <c r="G339" t="inlineStr">
        <is>
          <t>EKSJÖ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30931-2023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45113</v>
      </c>
      <c r="E340" s="1" t="n">
        <v>46314</v>
      </c>
      <c r="F340" t="inlineStr">
        <is>
          <t>JÖNKÖPINGS LÄN</t>
        </is>
      </c>
      <c r="G340" t="inlineStr">
        <is>
          <t>EKSJÖ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46314</v>
      </c>
      <c r="F341" t="inlineStr">
        <is>
          <t>JÖNKÖPINGS LÄN</t>
        </is>
      </c>
      <c r="G341" t="inlineStr">
        <is>
          <t>EKSJÖ</t>
        </is>
      </c>
      <c r="H341" t="inlineStr">
        <is>
          <t>Kyrkan</t>
        </is>
      </c>
      <c r="I341" t="n">
        <v>15.2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34021-2024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46314</v>
      </c>
      <c r="F342" t="inlineStr">
        <is>
          <t>JÖNKÖPINGS LÄN</t>
        </is>
      </c>
      <c r="G342" t="inlineStr">
        <is>
          <t>EKSJÖ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34045-2024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45523</v>
      </c>
      <c r="E343" s="1" t="n">
        <v>46314</v>
      </c>
      <c r="F343" t="inlineStr">
        <is>
          <t>JÖNKÖPINGS LÄN</t>
        </is>
      </c>
      <c r="G343" t="inlineStr">
        <is>
          <t>EKSJÖ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50287-2024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45600</v>
      </c>
      <c r="E344" s="1" t="n">
        <v>46314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36042-2024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45533</v>
      </c>
      <c r="E345" s="1" t="n">
        <v>46314</v>
      </c>
      <c r="F345" t="inlineStr">
        <is>
          <t>JÖNKÖPINGS LÄN</t>
        </is>
      </c>
      <c r="G345" t="inlineStr">
        <is>
          <t>EKSJÖ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46314</v>
      </c>
      <c r="F346" t="inlineStr">
        <is>
          <t>JÖNKÖPINGS LÄN</t>
        </is>
      </c>
      <c r="G346" t="inlineStr">
        <is>
          <t>EKSJÖ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46314</v>
      </c>
      <c r="F347" t="inlineStr">
        <is>
          <t>JÖNKÖPINGS LÄN</t>
        </is>
      </c>
      <c r="G347" t="inlineStr">
        <is>
          <t>EKSJÖ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46314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44853</v>
      </c>
      <c r="E349" s="1" t="n">
        <v>46314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46314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45714</v>
      </c>
      <c r="E351" s="1" t="n">
        <v>46314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45714</v>
      </c>
      <c r="E352" s="1" t="n">
        <v>46314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44925</v>
      </c>
      <c r="E353" s="1" t="n">
        <v>46314</v>
      </c>
      <c r="F353" t="inlineStr">
        <is>
          <t>JÖNKÖPINGS LÄN</t>
        </is>
      </c>
      <c r="G353" t="inlineStr">
        <is>
          <t>EKSJÖ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46314</v>
      </c>
      <c r="F354" t="inlineStr">
        <is>
          <t>JÖNKÖPINGS LÄN</t>
        </is>
      </c>
      <c r="G354" t="inlineStr">
        <is>
          <t>EKSJÖ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26650-2026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46184</v>
      </c>
      <c r="E355" s="1" t="n">
        <v>46314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45212</v>
      </c>
      <c r="E356" s="1" t="n">
        <v>46314</v>
      </c>
      <c r="F356" t="inlineStr">
        <is>
          <t>JÖNKÖPINGS LÄN</t>
        </is>
      </c>
      <c r="G356" t="inlineStr">
        <is>
          <t>EKSJÖ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46069</v>
      </c>
      <c r="E357" s="1" t="n">
        <v>46314</v>
      </c>
      <c r="F357" t="inlineStr">
        <is>
          <t>JÖNKÖPINGS LÄN</t>
        </is>
      </c>
      <c r="G357" t="inlineStr">
        <is>
          <t>EKSJÖ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22860-2023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45072</v>
      </c>
      <c r="E358" s="1" t="n">
        <v>46314</v>
      </c>
      <c r="F358" t="inlineStr">
        <is>
          <t>JÖNKÖPINGS LÄN</t>
        </is>
      </c>
      <c r="G358" t="inlineStr">
        <is>
          <t>EKSJÖ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46314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46314</v>
      </c>
      <c r="F360" t="inlineStr">
        <is>
          <t>JÖNKÖPINGS LÄN</t>
        </is>
      </c>
      <c r="G360" t="inlineStr">
        <is>
          <t>EKSJÖ</t>
        </is>
      </c>
      <c r="H360" t="inlineStr">
        <is>
          <t>Kommuner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46314</v>
      </c>
      <c r="F361" t="inlineStr">
        <is>
          <t>JÖNKÖPINGS LÄN</t>
        </is>
      </c>
      <c r="G361" t="inlineStr">
        <is>
          <t>EKSJÖ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44685</v>
      </c>
      <c r="E362" s="1" t="n">
        <v>46314</v>
      </c>
      <c r="F362" t="inlineStr">
        <is>
          <t>JÖNKÖPINGS LÄN</t>
        </is>
      </c>
      <c r="G362" t="inlineStr">
        <is>
          <t>EKSJÖ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44846</v>
      </c>
      <c r="E363" s="1" t="n">
        <v>46314</v>
      </c>
      <c r="F363" t="inlineStr">
        <is>
          <t>JÖNKÖPINGS LÄN</t>
        </is>
      </c>
      <c r="G363" t="inlineStr">
        <is>
          <t>EKSJÖ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44813</v>
      </c>
      <c r="E364" s="1" t="n">
        <v>46314</v>
      </c>
      <c r="F364" t="inlineStr">
        <is>
          <t>JÖNKÖPINGS LÄN</t>
        </is>
      </c>
      <c r="G364" t="inlineStr">
        <is>
          <t>EKSJÖ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45420</v>
      </c>
      <c r="E365" s="1" t="n">
        <v>46314</v>
      </c>
      <c r="F365" t="inlineStr">
        <is>
          <t>JÖNKÖPINGS LÄN</t>
        </is>
      </c>
      <c r="G365" t="inlineStr">
        <is>
          <t>EKSJÖ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45426</v>
      </c>
      <c r="E366" s="1" t="n">
        <v>46314</v>
      </c>
      <c r="F366" t="inlineStr">
        <is>
          <t>JÖNKÖPINGS LÄN</t>
        </is>
      </c>
      <c r="G366" t="inlineStr">
        <is>
          <t>EKSJÖ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44803</v>
      </c>
      <c r="E367" s="1" t="n">
        <v>46314</v>
      </c>
      <c r="F367" t="inlineStr">
        <is>
          <t>JÖNKÖPINGS LÄN</t>
        </is>
      </c>
      <c r="G367" t="inlineStr">
        <is>
          <t>EKSJÖ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46314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46314</v>
      </c>
      <c r="F369" t="inlineStr">
        <is>
          <t>JÖNKÖPINGS LÄN</t>
        </is>
      </c>
      <c r="G369" t="inlineStr">
        <is>
          <t>EKSJÖ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45075</v>
      </c>
      <c r="E370" s="1" t="n">
        <v>46314</v>
      </c>
      <c r="F370" t="inlineStr">
        <is>
          <t>JÖNKÖPINGS LÄN</t>
        </is>
      </c>
      <c r="G370" t="inlineStr">
        <is>
          <t>EKSJÖ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46314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46314</v>
      </c>
      <c r="F372" t="inlineStr">
        <is>
          <t>JÖNKÖPINGS LÄN</t>
        </is>
      </c>
      <c r="G372" t="inlineStr">
        <is>
          <t>EKSJÖ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44846</v>
      </c>
      <c r="E373" s="1" t="n">
        <v>46314</v>
      </c>
      <c r="F373" t="inlineStr">
        <is>
          <t>JÖNKÖPINGS LÄN</t>
        </is>
      </c>
      <c r="G373" t="inlineStr">
        <is>
          <t>EKSJÖ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46014-2022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44846</v>
      </c>
      <c r="E374" s="1" t="n">
        <v>46314</v>
      </c>
      <c r="F374" t="inlineStr">
        <is>
          <t>JÖNKÖPINGS LÄN</t>
        </is>
      </c>
      <c r="G374" t="inlineStr">
        <is>
          <t>EKSJÖ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45468</v>
      </c>
      <c r="E375" s="1" t="n">
        <v>46314</v>
      </c>
      <c r="F375" t="inlineStr">
        <is>
          <t>JÖNKÖPINGS LÄN</t>
        </is>
      </c>
      <c r="G375" t="inlineStr">
        <is>
          <t>EKSJÖ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46314</v>
      </c>
      <c r="F376" t="inlineStr">
        <is>
          <t>JÖNKÖPINGS LÄN</t>
        </is>
      </c>
      <c r="G376" t="inlineStr">
        <is>
          <t>EKSJÖ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44713</v>
      </c>
      <c r="E377" s="1" t="n">
        <v>46314</v>
      </c>
      <c r="F377" t="inlineStr">
        <is>
          <t>JÖNKÖPINGS LÄN</t>
        </is>
      </c>
      <c r="G377" t="inlineStr">
        <is>
          <t>EKSJÖ</t>
        </is>
      </c>
      <c r="H377" t="inlineStr">
        <is>
          <t>Kyrkan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45308</v>
      </c>
      <c r="E378" s="1" t="n">
        <v>46314</v>
      </c>
      <c r="F378" t="inlineStr">
        <is>
          <t>JÖNKÖPINGS LÄN</t>
        </is>
      </c>
      <c r="G378" t="inlineStr">
        <is>
          <t>EKSJÖ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46314</v>
      </c>
      <c r="F379" t="inlineStr">
        <is>
          <t>JÖNKÖPINGS LÄN</t>
        </is>
      </c>
      <c r="G379" t="inlineStr">
        <is>
          <t>EKSJÖ</t>
        </is>
      </c>
      <c r="H379" t="inlineStr">
        <is>
          <t>Kommuner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46314</v>
      </c>
      <c r="F380" t="inlineStr">
        <is>
          <t>JÖNKÖPINGS LÄN</t>
        </is>
      </c>
      <c r="G380" t="inlineStr">
        <is>
          <t>EKSJÖ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10972-2025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45723</v>
      </c>
      <c r="E381" s="1" t="n">
        <v>46314</v>
      </c>
      <c r="F381" t="inlineStr">
        <is>
          <t>JÖNKÖPINGS LÄN</t>
        </is>
      </c>
      <c r="G381" t="inlineStr">
        <is>
          <t>EKSJÖ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46314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46314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46314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46314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46314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45154</v>
      </c>
      <c r="E387" s="1" t="n">
        <v>46314</v>
      </c>
      <c r="F387" t="inlineStr">
        <is>
          <t>JÖNKÖPINGS LÄN</t>
        </is>
      </c>
      <c r="G387" t="inlineStr">
        <is>
          <t>EKSJÖ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46314</v>
      </c>
      <c r="F388" t="inlineStr">
        <is>
          <t>JÖNKÖPINGS LÄN</t>
        </is>
      </c>
      <c r="G388" t="inlineStr">
        <is>
          <t>EKSJÖ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46314</v>
      </c>
      <c r="F389" t="inlineStr">
        <is>
          <t>JÖNKÖPINGS LÄN</t>
        </is>
      </c>
      <c r="G389" t="inlineStr">
        <is>
          <t>EKSJÖ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46314</v>
      </c>
      <c r="F390" t="inlineStr">
        <is>
          <t>JÖNKÖPINGS LÄN</t>
        </is>
      </c>
      <c r="G390" t="inlineStr">
        <is>
          <t>EKSJÖ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46314</v>
      </c>
      <c r="F391" t="inlineStr">
        <is>
          <t>JÖNKÖPINGS LÄN</t>
        </is>
      </c>
      <c r="G391" t="inlineStr">
        <is>
          <t>EKSJÖ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46197</v>
      </c>
      <c r="E392" s="1" t="n">
        <v>46314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46197</v>
      </c>
      <c r="E393" s="1" t="n">
        <v>46314</v>
      </c>
      <c r="F393" t="inlineStr">
        <is>
          <t>JÖNKÖPINGS LÄN</t>
        </is>
      </c>
      <c r="G393" t="inlineStr">
        <is>
          <t>EKSJÖ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46314</v>
      </c>
      <c r="F394" t="inlineStr">
        <is>
          <t>JÖNKÖPINGS LÄN</t>
        </is>
      </c>
      <c r="G394" t="inlineStr">
        <is>
          <t>EKSJÖ</t>
        </is>
      </c>
      <c r="H394" t="inlineStr">
        <is>
          <t>Övriga Aktiebolag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46314</v>
      </c>
      <c r="F395" t="inlineStr">
        <is>
          <t>JÖNKÖPINGS LÄN</t>
        </is>
      </c>
      <c r="G395" t="inlineStr">
        <is>
          <t>EKSJÖ</t>
        </is>
      </c>
      <c r="H395" t="inlineStr">
        <is>
          <t>Övriga Aktiebolag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59734-2022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46314</v>
      </c>
      <c r="F396" t="inlineStr">
        <is>
          <t>JÖNKÖPINGS LÄN</t>
        </is>
      </c>
      <c r="G396" t="inlineStr">
        <is>
          <t>EKSJÖ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46314</v>
      </c>
      <c r="F397" t="inlineStr">
        <is>
          <t>JÖNKÖPINGS LÄN</t>
        </is>
      </c>
      <c r="G397" t="inlineStr">
        <is>
          <t>EKSJÖ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46314</v>
      </c>
      <c r="F398" t="inlineStr">
        <is>
          <t>JÖNKÖPINGS LÄN</t>
        </is>
      </c>
      <c r="G398" t="inlineStr">
        <is>
          <t>EKSJÖ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9058-2022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44615</v>
      </c>
      <c r="E399" s="1" t="n">
        <v>46314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46314</v>
      </c>
      <c r="F400" t="inlineStr">
        <is>
          <t>JÖNKÖPINGS LÄN</t>
        </is>
      </c>
      <c r="G400" t="inlineStr">
        <is>
          <t>EKSJÖ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44909</v>
      </c>
      <c r="E401" s="1" t="n">
        <v>46314</v>
      </c>
      <c r="F401" t="inlineStr">
        <is>
          <t>JÖNKÖPINGS LÄN</t>
        </is>
      </c>
      <c r="G401" t="inlineStr">
        <is>
          <t>EKSJÖ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46127</v>
      </c>
      <c r="E402" s="1" t="n">
        <v>46314</v>
      </c>
      <c r="F402" t="inlineStr">
        <is>
          <t>JÖNKÖPINGS LÄN</t>
        </is>
      </c>
      <c r="G402" t="inlineStr">
        <is>
          <t>EKSJÖ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46314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46314</v>
      </c>
      <c r="F404" t="inlineStr">
        <is>
          <t>JÖNKÖPINGS LÄN</t>
        </is>
      </c>
      <c r="G404" t="inlineStr">
        <is>
          <t>EKSJÖ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46314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45154</v>
      </c>
      <c r="E406" s="1" t="n">
        <v>46314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46314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46314</v>
      </c>
      <c r="F408" t="inlineStr">
        <is>
          <t>JÖNKÖPINGS LÄN</t>
        </is>
      </c>
      <c r="G408" t="inlineStr">
        <is>
          <t>EKSJÖ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46314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45818</v>
      </c>
      <c r="E410" s="1" t="n">
        <v>46314</v>
      </c>
      <c r="F410" t="inlineStr">
        <is>
          <t>JÖNKÖPINGS LÄN</t>
        </is>
      </c>
      <c r="G410" t="inlineStr">
        <is>
          <t>EKSJÖ</t>
        </is>
      </c>
      <c r="H410" t="inlineStr">
        <is>
          <t>Övriga Aktiebolag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44701</v>
      </c>
      <c r="E411" s="1" t="n">
        <v>46314</v>
      </c>
      <c r="F411" t="inlineStr">
        <is>
          <t>JÖNKÖPINGS LÄN</t>
        </is>
      </c>
      <c r="G411" t="inlineStr">
        <is>
          <t>EKSJÖ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46314</v>
      </c>
      <c r="F412" t="inlineStr">
        <is>
          <t>JÖNKÖPINGS LÄN</t>
        </is>
      </c>
      <c r="G412" t="inlineStr">
        <is>
          <t>EKSJÖ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46314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45649</v>
      </c>
      <c r="E414" s="1" t="n">
        <v>46314</v>
      </c>
      <c r="F414" t="inlineStr">
        <is>
          <t>JÖNKÖPINGS LÄN</t>
        </is>
      </c>
      <c r="G414" t="inlineStr">
        <is>
          <t>EKSJÖ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46314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46314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46314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46314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46314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46212</v>
      </c>
      <c r="E420" s="1" t="n">
        <v>46314</v>
      </c>
      <c r="F420" t="inlineStr">
        <is>
          <t>JÖNKÖPINGS LÄN</t>
        </is>
      </c>
      <c r="G420" t="inlineStr">
        <is>
          <t>EKSJÖ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46212</v>
      </c>
      <c r="E421" s="1" t="n">
        <v>46314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19497-2025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45770</v>
      </c>
      <c r="E422" s="1" t="n">
        <v>46314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54916-2023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45236</v>
      </c>
      <c r="E423" s="1" t="n">
        <v>46314</v>
      </c>
      <c r="F423" t="inlineStr">
        <is>
          <t>JÖNKÖPINGS LÄN</t>
        </is>
      </c>
      <c r="G423" t="inlineStr">
        <is>
          <t>EKSJÖ</t>
        </is>
      </c>
      <c r="H423" t="inlineStr">
        <is>
          <t>Övriga Aktiebolag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45537</v>
      </c>
      <c r="E424" s="1" t="n">
        <v>46314</v>
      </c>
      <c r="F424" t="inlineStr">
        <is>
          <t>JÖNKÖPINGS LÄN</t>
        </is>
      </c>
      <c r="G424" t="inlineStr">
        <is>
          <t>EKSJÖ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63959-2023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45278</v>
      </c>
      <c r="E425" s="1" t="n">
        <v>46314</v>
      </c>
      <c r="F425" t="inlineStr">
        <is>
          <t>JÖNKÖPINGS LÄN</t>
        </is>
      </c>
      <c r="G425" t="inlineStr">
        <is>
          <t>EKSJÖ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44966</v>
      </c>
      <c r="E426" s="1" t="n">
        <v>46314</v>
      </c>
      <c r="F426" t="inlineStr">
        <is>
          <t>JÖNKÖPINGS LÄN</t>
        </is>
      </c>
      <c r="G426" t="inlineStr">
        <is>
          <t>EKSJÖ</t>
        </is>
      </c>
      <c r="H426" t="inlineStr">
        <is>
          <t>Kyrkan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45160</v>
      </c>
      <c r="E427" s="1" t="n">
        <v>46314</v>
      </c>
      <c r="F427" t="inlineStr">
        <is>
          <t>JÖNKÖPINGS LÄN</t>
        </is>
      </c>
      <c r="G427" t="inlineStr">
        <is>
          <t>EKSJÖ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46273</v>
      </c>
      <c r="E428" s="1" t="n">
        <v>46314</v>
      </c>
      <c r="F428" t="inlineStr">
        <is>
          <t>JÖNKÖPINGS LÄN</t>
        </is>
      </c>
      <c r="G428" t="inlineStr">
        <is>
          <t>EKSJÖ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45370</v>
      </c>
      <c r="E429" s="1" t="n">
        <v>46314</v>
      </c>
      <c r="F429" t="inlineStr">
        <is>
          <t>JÖNKÖPINGS LÄN</t>
        </is>
      </c>
      <c r="G429" t="inlineStr">
        <is>
          <t>EKSJÖ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45068</v>
      </c>
      <c r="E430" s="1" t="n">
        <v>46314</v>
      </c>
      <c r="F430" t="inlineStr">
        <is>
          <t>JÖNKÖPINGS LÄN</t>
        </is>
      </c>
      <c r="G430" t="inlineStr">
        <is>
          <t>EKSJÖ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46314</v>
      </c>
      <c r="F431" t="inlineStr">
        <is>
          <t>JÖNKÖPINGS LÄN</t>
        </is>
      </c>
      <c r="G431" t="inlineStr">
        <is>
          <t>EKSJÖ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71313-2021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44539</v>
      </c>
      <c r="E432" s="1" t="n">
        <v>46314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46274</v>
      </c>
      <c r="E433" s="1" t="n">
        <v>46314</v>
      </c>
      <c r="F433" t="inlineStr">
        <is>
          <t>JÖNKÖPINGS LÄN</t>
        </is>
      </c>
      <c r="G433" t="inlineStr">
        <is>
          <t>EKSJÖ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45253</v>
      </c>
      <c r="E434" s="1" t="n">
        <v>46314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44845</v>
      </c>
      <c r="E435" s="1" t="n">
        <v>46314</v>
      </c>
      <c r="F435" t="inlineStr">
        <is>
          <t>JÖNKÖPINGS LÄN</t>
        </is>
      </c>
      <c r="G435" t="inlineStr">
        <is>
          <t>EKSJÖ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33644-2022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44789</v>
      </c>
      <c r="E436" s="1" t="n">
        <v>46314</v>
      </c>
      <c r="F436" t="inlineStr">
        <is>
          <t>JÖNKÖPINGS LÄN</t>
        </is>
      </c>
      <c r="G436" t="inlineStr">
        <is>
          <t>EKSJÖ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45239</v>
      </c>
      <c r="E437" s="1" t="n">
        <v>46314</v>
      </c>
      <c r="F437" t="inlineStr">
        <is>
          <t>JÖNKÖPINGS LÄN</t>
        </is>
      </c>
      <c r="G437" t="inlineStr">
        <is>
          <t>EKSJÖ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46314</v>
      </c>
      <c r="F438" t="inlineStr">
        <is>
          <t>JÖNKÖPINGS LÄN</t>
        </is>
      </c>
      <c r="G438" t="inlineStr">
        <is>
          <t>EKSJÖ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46314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46314</v>
      </c>
      <c r="F440" t="inlineStr">
        <is>
          <t>JÖNKÖPINGS LÄN</t>
        </is>
      </c>
      <c r="G440" t="inlineStr">
        <is>
          <t>EKSJÖ</t>
        </is>
      </c>
      <c r="H440" t="inlineStr">
        <is>
          <t>Övriga Aktiebolag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46314</v>
      </c>
      <c r="F441" t="inlineStr">
        <is>
          <t>JÖNKÖPINGS LÄN</t>
        </is>
      </c>
      <c r="G441" t="inlineStr">
        <is>
          <t>EKSJÖ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47806-2023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46314</v>
      </c>
      <c r="F442" t="inlineStr">
        <is>
          <t>JÖNKÖPINGS LÄN</t>
        </is>
      </c>
      <c r="G442" t="inlineStr">
        <is>
          <t>EKSJÖ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45714</v>
      </c>
      <c r="E443" s="1" t="n">
        <v>46314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38207-2026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46281</v>
      </c>
      <c r="E444" s="1" t="n">
        <v>46314</v>
      </c>
      <c r="F444" t="inlineStr">
        <is>
          <t>JÖNKÖPINGS LÄN</t>
        </is>
      </c>
      <c r="G444" t="inlineStr">
        <is>
          <t>EKSJÖ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46314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45560</v>
      </c>
      <c r="E446" s="1" t="n">
        <v>46314</v>
      </c>
      <c r="F446" t="inlineStr">
        <is>
          <t>JÖNKÖPINGS LÄN</t>
        </is>
      </c>
      <c r="G446" t="inlineStr">
        <is>
          <t>EKSJÖ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45576</v>
      </c>
      <c r="E447" s="1" t="n">
        <v>46314</v>
      </c>
      <c r="F447" t="inlineStr">
        <is>
          <t>JÖNKÖPINGS LÄN</t>
        </is>
      </c>
      <c r="G447" t="inlineStr">
        <is>
          <t>EKSJÖ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59050-2021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44490</v>
      </c>
      <c r="E448" s="1" t="n">
        <v>46314</v>
      </c>
      <c r="F448" t="inlineStr">
        <is>
          <t>JÖNKÖPINGS LÄN</t>
        </is>
      </c>
      <c r="G448" t="inlineStr">
        <is>
          <t>EKSJÖ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46314</v>
      </c>
      <c r="F449" t="inlineStr">
        <is>
          <t>JÖNKÖPINGS LÄN</t>
        </is>
      </c>
      <c r="G449" t="inlineStr">
        <is>
          <t>EKSJÖ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38707-2026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46281</v>
      </c>
      <c r="E450" s="1" t="n">
        <v>46314</v>
      </c>
      <c r="F450" t="inlineStr">
        <is>
          <t>JÖNKÖPINGS LÄN</t>
        </is>
      </c>
      <c r="G450" t="inlineStr">
        <is>
          <t>EKSJÖ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45096</v>
      </c>
      <c r="E451" s="1" t="n">
        <v>46314</v>
      </c>
      <c r="F451" t="inlineStr">
        <is>
          <t>JÖNKÖPINGS LÄN</t>
        </is>
      </c>
      <c r="G451" t="inlineStr">
        <is>
          <t>EKSJÖ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46314</v>
      </c>
      <c r="F452" t="inlineStr">
        <is>
          <t>JÖNKÖPINGS LÄN</t>
        </is>
      </c>
      <c r="G452" t="inlineStr">
        <is>
          <t>EKSJÖ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44623</v>
      </c>
      <c r="E453" s="1" t="n">
        <v>46314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45156</v>
      </c>
      <c r="E454" s="1" t="n">
        <v>46314</v>
      </c>
      <c r="F454" t="inlineStr">
        <is>
          <t>JÖNKÖPINGS LÄN</t>
        </is>
      </c>
      <c r="G454" t="inlineStr">
        <is>
          <t>EKSJÖ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46314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59905-2022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44908</v>
      </c>
      <c r="E456" s="1" t="n">
        <v>46314</v>
      </c>
      <c r="F456" t="inlineStr">
        <is>
          <t>JÖNKÖPINGS LÄN</t>
        </is>
      </c>
      <c r="G456" t="inlineStr">
        <is>
          <t>EKSJÖ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45391</v>
      </c>
      <c r="E457" s="1" t="n">
        <v>46314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46314</v>
      </c>
      <c r="F458" t="inlineStr">
        <is>
          <t>JÖNKÖPINGS LÄN</t>
        </is>
      </c>
      <c r="G458" t="inlineStr">
        <is>
          <t>EKSJÖ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44581</v>
      </c>
      <c r="E459" s="1" t="n">
        <v>46314</v>
      </c>
      <c r="F459" t="inlineStr">
        <is>
          <t>JÖNKÖPINGS LÄN</t>
        </is>
      </c>
      <c r="G459" t="inlineStr">
        <is>
          <t>EKSJÖ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45111</v>
      </c>
      <c r="E460" s="1" t="n">
        <v>46314</v>
      </c>
      <c r="F460" t="inlineStr">
        <is>
          <t>JÖNKÖPINGS LÄN</t>
        </is>
      </c>
      <c r="G460" t="inlineStr">
        <is>
          <t>EKSJÖ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44600</v>
      </c>
      <c r="E461" s="1" t="n">
        <v>46314</v>
      </c>
      <c r="F461" t="inlineStr">
        <is>
          <t>JÖNKÖPINGS LÄN</t>
        </is>
      </c>
      <c r="G461" t="inlineStr">
        <is>
          <t>EKSJÖ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46314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46314</v>
      </c>
      <c r="F463" t="inlineStr">
        <is>
          <t>JÖNKÖPINGS LÄN</t>
        </is>
      </c>
      <c r="G463" t="inlineStr">
        <is>
          <t>EKSJÖ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49919-2023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45214</v>
      </c>
      <c r="E464" s="1" t="n">
        <v>46314</v>
      </c>
      <c r="F464" t="inlineStr">
        <is>
          <t>JÖNKÖPINGS LÄN</t>
        </is>
      </c>
      <c r="G464" t="inlineStr">
        <is>
          <t>EKSJÖ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45300</v>
      </c>
      <c r="E465" s="1" t="n">
        <v>46314</v>
      </c>
      <c r="F465" t="inlineStr">
        <is>
          <t>JÖNKÖPINGS LÄN</t>
        </is>
      </c>
      <c r="G465" t="inlineStr">
        <is>
          <t>EKSJÖ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28024-2022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44746</v>
      </c>
      <c r="E466" s="1" t="n">
        <v>46314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46314</v>
      </c>
      <c r="F467" t="inlineStr">
        <is>
          <t>JÖNKÖPINGS LÄN</t>
        </is>
      </c>
      <c r="G467" t="inlineStr">
        <is>
          <t>EKSJÖ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46314</v>
      </c>
      <c r="F468" t="inlineStr">
        <is>
          <t>JÖNKÖPINGS LÄN</t>
        </is>
      </c>
      <c r="G468" t="inlineStr">
        <is>
          <t>EKSJÖ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39606-2026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46289</v>
      </c>
      <c r="E469" s="1" t="n">
        <v>46314</v>
      </c>
      <c r="F469" t="inlineStr">
        <is>
          <t>JÖNKÖPINGS LÄN</t>
        </is>
      </c>
      <c r="G469" t="inlineStr">
        <is>
          <t>EKSJÖ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45632</v>
      </c>
      <c r="E470" s="1" t="n">
        <v>46314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45208</v>
      </c>
      <c r="E471" s="1" t="n">
        <v>46314</v>
      </c>
      <c r="F471" t="inlineStr">
        <is>
          <t>JÖNKÖPINGS LÄN</t>
        </is>
      </c>
      <c r="G471" t="inlineStr">
        <is>
          <t>EKSJÖ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46314</v>
      </c>
      <c r="F472" t="inlineStr">
        <is>
          <t>JÖNKÖPINGS LÄN</t>
        </is>
      </c>
      <c r="G472" t="inlineStr">
        <is>
          <t>EKSJÖ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46577-2022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44848</v>
      </c>
      <c r="E473" s="1" t="n">
        <v>46314</v>
      </c>
      <c r="F473" t="inlineStr">
        <is>
          <t>JÖNKÖPINGS LÄN</t>
        </is>
      </c>
      <c r="G473" t="inlineStr">
        <is>
          <t>EKSJÖ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46314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45537</v>
      </c>
      <c r="E475" s="1" t="n">
        <v>46314</v>
      </c>
      <c r="F475" t="inlineStr">
        <is>
          <t>JÖNKÖPINGS LÄN</t>
        </is>
      </c>
      <c r="G475" t="inlineStr">
        <is>
          <t>EKSJÖ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9292-2025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45714</v>
      </c>
      <c r="E476" s="1" t="n">
        <v>46314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45714</v>
      </c>
      <c r="E477" s="1" t="n">
        <v>46314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46314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9400-2025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45715</v>
      </c>
      <c r="E479" s="1" t="n">
        <v>46314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45715</v>
      </c>
      <c r="E480" s="1" t="n">
        <v>46314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46247</v>
      </c>
      <c r="E481" s="1" t="n">
        <v>46314</v>
      </c>
      <c r="F481" t="inlineStr">
        <is>
          <t>JÖNKÖPINGS LÄN</t>
        </is>
      </c>
      <c r="G481" t="inlineStr">
        <is>
          <t>EKSJÖ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47204-2022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46314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45707</v>
      </c>
      <c r="E483" s="1" t="n">
        <v>46314</v>
      </c>
      <c r="F483" t="inlineStr">
        <is>
          <t>JÖNKÖPINGS LÄN</t>
        </is>
      </c>
      <c r="G483" t="inlineStr">
        <is>
          <t>EKSJÖ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46247</v>
      </c>
      <c r="E484" s="1" t="n">
        <v>46314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33456-2026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46247</v>
      </c>
      <c r="E485" s="1" t="n">
        <v>46314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46314</v>
      </c>
      <c r="F486" t="inlineStr">
        <is>
          <t>JÖNKÖPINGS LÄN</t>
        </is>
      </c>
      <c r="G486" t="inlineStr">
        <is>
          <t>EKSJÖ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45635</v>
      </c>
      <c r="E487" s="1" t="n">
        <v>46314</v>
      </c>
      <c r="F487" t="inlineStr">
        <is>
          <t>JÖNKÖPINGS LÄN</t>
        </is>
      </c>
      <c r="G487" t="inlineStr">
        <is>
          <t>EKSJÖ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46314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44939</v>
      </c>
      <c r="E489" s="1" t="n">
        <v>46314</v>
      </c>
      <c r="F489" t="inlineStr">
        <is>
          <t>JÖNKÖPINGS LÄN</t>
        </is>
      </c>
      <c r="G489" t="inlineStr">
        <is>
          <t>EKSJÖ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41816-2024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46314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46314</v>
      </c>
      <c r="F491" t="inlineStr">
        <is>
          <t>JÖNKÖPINGS LÄN</t>
        </is>
      </c>
      <c r="G491" t="inlineStr">
        <is>
          <t>EKSJÖ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23183-2022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44719</v>
      </c>
      <c r="E492" s="1" t="n">
        <v>46314</v>
      </c>
      <c r="F492" t="inlineStr">
        <is>
          <t>JÖNKÖPINGS LÄN</t>
        </is>
      </c>
      <c r="G492" t="inlineStr">
        <is>
          <t>EKSJÖ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40991-2026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46297</v>
      </c>
      <c r="E493" s="1" t="n">
        <v>46314</v>
      </c>
      <c r="F493" t="inlineStr">
        <is>
          <t>JÖNKÖPINGS LÄN</t>
        </is>
      </c>
      <c r="G493" t="inlineStr">
        <is>
          <t>EKSJÖ</t>
        </is>
      </c>
      <c r="H493" t="inlineStr">
        <is>
          <t>Kyrkan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45762</v>
      </c>
      <c r="E494" s="1" t="n">
        <v>46314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46314</v>
      </c>
      <c r="F495" t="inlineStr">
        <is>
          <t>JÖNKÖPINGS LÄN</t>
        </is>
      </c>
      <c r="G495" t="inlineStr">
        <is>
          <t>EKSJÖ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41004-2026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46297</v>
      </c>
      <c r="E496" s="1" t="n">
        <v>46314</v>
      </c>
      <c r="F496" t="inlineStr">
        <is>
          <t>JÖNKÖPINGS LÄN</t>
        </is>
      </c>
      <c r="G496" t="inlineStr">
        <is>
          <t>EKSJÖ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45671</v>
      </c>
      <c r="E497" s="1" t="n">
        <v>46314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46254</v>
      </c>
      <c r="E498" s="1" t="n">
        <v>46314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46297</v>
      </c>
      <c r="E499" s="1" t="n">
        <v>46314</v>
      </c>
      <c r="F499" t="inlineStr">
        <is>
          <t>JÖNKÖPINGS LÄN</t>
        </is>
      </c>
      <c r="G499" t="inlineStr">
        <is>
          <t>EKSJÖ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45877</v>
      </c>
      <c r="E500" s="1" t="n">
        <v>46314</v>
      </c>
      <c r="F500" t="inlineStr">
        <is>
          <t>JÖNKÖPINGS LÄN</t>
        </is>
      </c>
      <c r="G500" t="inlineStr">
        <is>
          <t>EKSJÖ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44609</v>
      </c>
      <c r="E501" s="1" t="n">
        <v>46314</v>
      </c>
      <c r="F501" t="inlineStr">
        <is>
          <t>JÖNKÖPINGS LÄN</t>
        </is>
      </c>
      <c r="G501" t="inlineStr">
        <is>
          <t>EKSJÖ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46034</v>
      </c>
      <c r="E502" s="1" t="n">
        <v>46314</v>
      </c>
      <c r="F502" t="inlineStr">
        <is>
          <t>JÖNKÖPINGS LÄN</t>
        </is>
      </c>
      <c r="G502" t="inlineStr">
        <is>
          <t>EKSJÖ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44999</v>
      </c>
      <c r="E503" s="1" t="n">
        <v>46314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46314</v>
      </c>
      <c r="F504" t="inlineStr">
        <is>
          <t>JÖNKÖPINGS LÄN</t>
        </is>
      </c>
      <c r="G504" t="inlineStr">
        <is>
          <t>EKSJÖ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50275-2023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45209</v>
      </c>
      <c r="E505" s="1" t="n">
        <v>46314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20960-2025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45777</v>
      </c>
      <c r="E506" s="1" t="n">
        <v>46314</v>
      </c>
      <c r="F506" t="inlineStr">
        <is>
          <t>JÖNKÖPINGS LÄN</t>
        </is>
      </c>
      <c r="G506" t="inlineStr">
        <is>
          <t>EKSJÖ</t>
        </is>
      </c>
      <c r="H506" t="inlineStr">
        <is>
          <t>Kommuner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46314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45777</v>
      </c>
      <c r="E508" s="1" t="n">
        <v>46314</v>
      </c>
      <c r="F508" t="inlineStr">
        <is>
          <t>JÖNKÖPINGS LÄN</t>
        </is>
      </c>
      <c r="G508" t="inlineStr">
        <is>
          <t>EKSJÖ</t>
        </is>
      </c>
      <c r="H508" t="inlineStr">
        <is>
          <t>Kommuner</t>
        </is>
      </c>
      <c r="I508" t="n">
        <v>9.6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46314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46314</v>
      </c>
      <c r="F510" t="inlineStr">
        <is>
          <t>JÖNKÖPINGS LÄN</t>
        </is>
      </c>
      <c r="G510" t="inlineStr">
        <is>
          <t>EKSJÖ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21224-2025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45779</v>
      </c>
      <c r="E511" s="1" t="n">
        <v>46314</v>
      </c>
      <c r="F511" t="inlineStr">
        <is>
          <t>JÖNKÖPINGS LÄN</t>
        </is>
      </c>
      <c r="G511" t="inlineStr">
        <is>
          <t>EKSJÖ</t>
        </is>
      </c>
      <c r="H511" t="inlineStr">
        <is>
          <t>Kommuner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45334</v>
      </c>
      <c r="E512" s="1" t="n">
        <v>46314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41110-2026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46300</v>
      </c>
      <c r="E513" s="1" t="n">
        <v>46314</v>
      </c>
      <c r="F513" t="inlineStr">
        <is>
          <t>JÖNKÖPINGS LÄN</t>
        </is>
      </c>
      <c r="G513" t="inlineStr">
        <is>
          <t>EKSJÖ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45637</v>
      </c>
      <c r="E514" s="1" t="n">
        <v>46314</v>
      </c>
      <c r="F514" t="inlineStr">
        <is>
          <t>JÖNKÖPINGS LÄN</t>
        </is>
      </c>
      <c r="G514" t="inlineStr">
        <is>
          <t>EKSJÖ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46314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46314</v>
      </c>
      <c r="F516" t="inlineStr">
        <is>
          <t>JÖNKÖPINGS LÄN</t>
        </is>
      </c>
      <c r="G516" t="inlineStr">
        <is>
          <t>EKSJÖ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46314</v>
      </c>
      <c r="F517" t="inlineStr">
        <is>
          <t>JÖNKÖPINGS LÄN</t>
        </is>
      </c>
      <c r="G517" t="inlineStr">
        <is>
          <t>EKSJÖ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45706</v>
      </c>
      <c r="E518" s="1" t="n">
        <v>46314</v>
      </c>
      <c r="F518" t="inlineStr">
        <is>
          <t>JÖNKÖPINGS LÄN</t>
        </is>
      </c>
      <c r="G518" t="inlineStr">
        <is>
          <t>EKSJÖ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46314</v>
      </c>
      <c r="F519" t="inlineStr">
        <is>
          <t>JÖNKÖPINGS LÄN</t>
        </is>
      </c>
      <c r="G519" t="inlineStr">
        <is>
          <t>EKSJÖ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43407-2025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45911</v>
      </c>
      <c r="E520" s="1" t="n">
        <v>46314</v>
      </c>
      <c r="F520" t="inlineStr">
        <is>
          <t>JÖNKÖPINGS LÄN</t>
        </is>
      </c>
      <c r="G520" t="inlineStr">
        <is>
          <t>EKSJÖ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46260</v>
      </c>
      <c r="E521" s="1" t="n">
        <v>46314</v>
      </c>
      <c r="F521" t="inlineStr">
        <is>
          <t>JÖNKÖPINGS LÄN</t>
        </is>
      </c>
      <c r="G521" t="inlineStr">
        <is>
          <t>EKSJÖ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45786</v>
      </c>
      <c r="E522" s="1" t="n">
        <v>46314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26405-2026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46314</v>
      </c>
      <c r="F523" t="inlineStr">
        <is>
          <t>JÖNKÖPINGS LÄN</t>
        </is>
      </c>
      <c r="G523" t="inlineStr">
        <is>
          <t>EKSJÖ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46314</v>
      </c>
      <c r="F524" t="inlineStr">
        <is>
          <t>JÖNKÖPINGS LÄN</t>
        </is>
      </c>
      <c r="G524" t="inlineStr">
        <is>
          <t>EKSJÖ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46314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46314</v>
      </c>
      <c r="F526" t="inlineStr">
        <is>
          <t>JÖNKÖPINGS LÄN</t>
        </is>
      </c>
      <c r="G526" t="inlineStr">
        <is>
          <t>EKSJÖ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46314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22987-2025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45790</v>
      </c>
      <c r="E528" s="1" t="n">
        <v>46314</v>
      </c>
      <c r="F528" t="inlineStr">
        <is>
          <t>JÖNKÖPINGS LÄN</t>
        </is>
      </c>
      <c r="G528" t="inlineStr">
        <is>
          <t>EKSJÖ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46303</v>
      </c>
      <c r="E529" s="1" t="n">
        <v>46314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41885-2026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46303</v>
      </c>
      <c r="E530" s="1" t="n">
        <v>46314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45743-2024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46314</v>
      </c>
      <c r="F531" t="inlineStr">
        <is>
          <t>JÖNKÖPINGS LÄN</t>
        </is>
      </c>
      <c r="G531" t="inlineStr">
        <is>
          <t>EKSJÖ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46314</v>
      </c>
      <c r="F532" t="inlineStr">
        <is>
          <t>JÖNKÖPINGS LÄN</t>
        </is>
      </c>
      <c r="G532" t="inlineStr">
        <is>
          <t>EKSJÖ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23386-2025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45791</v>
      </c>
      <c r="E533" s="1" t="n">
        <v>46314</v>
      </c>
      <c r="F533" t="inlineStr">
        <is>
          <t>JÖNKÖPINGS LÄN</t>
        </is>
      </c>
      <c r="G533" t="inlineStr">
        <is>
          <t>EKSJÖ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46304</v>
      </c>
      <c r="E534" s="1" t="n">
        <v>46314</v>
      </c>
      <c r="F534" t="inlineStr">
        <is>
          <t>JÖNKÖPINGS LÄN</t>
        </is>
      </c>
      <c r="G534" t="inlineStr">
        <is>
          <t>EKSJÖ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46283</v>
      </c>
      <c r="E535" s="1" t="n">
        <v>46314</v>
      </c>
      <c r="F535" t="inlineStr">
        <is>
          <t>JÖNKÖPINGS LÄN</t>
        </is>
      </c>
      <c r="G535" t="inlineStr">
        <is>
          <t>EKSJÖ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45743</v>
      </c>
      <c r="E536" s="1" t="n">
        <v>46314</v>
      </c>
      <c r="F536" t="inlineStr">
        <is>
          <t>JÖNKÖPINGS LÄN</t>
        </is>
      </c>
      <c r="G536" t="inlineStr">
        <is>
          <t>EKSJÖ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45624</v>
      </c>
      <c r="E537" s="1" t="n">
        <v>46314</v>
      </c>
      <c r="F537" t="inlineStr">
        <is>
          <t>JÖNKÖPINGS LÄN</t>
        </is>
      </c>
      <c r="G537" t="inlineStr">
        <is>
          <t>EKSJÖ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45743</v>
      </c>
      <c r="E538" s="1" t="n">
        <v>46314</v>
      </c>
      <c r="F538" t="inlineStr">
        <is>
          <t>JÖNKÖPINGS LÄN</t>
        </is>
      </c>
      <c r="G538" t="inlineStr">
        <is>
          <t>EKSJÖ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14382-2025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45741</v>
      </c>
      <c r="E539" s="1" t="n">
        <v>46314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11345-2025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46314</v>
      </c>
      <c r="F540" t="inlineStr">
        <is>
          <t>JÖNKÖPINGS LÄN</t>
        </is>
      </c>
      <c r="G540" t="inlineStr">
        <is>
          <t>EKSJÖ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45741</v>
      </c>
      <c r="E541" s="1" t="n">
        <v>46314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45741</v>
      </c>
      <c r="E542" s="1" t="n">
        <v>46314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11957-2025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46314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45741</v>
      </c>
      <c r="E544" s="1" t="n">
        <v>46314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45727</v>
      </c>
      <c r="E545" s="1" t="n">
        <v>46314</v>
      </c>
      <c r="F545" t="inlineStr">
        <is>
          <t>JÖNKÖPINGS LÄN</t>
        </is>
      </c>
      <c r="G545" t="inlineStr">
        <is>
          <t>EKSJÖ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46309</v>
      </c>
      <c r="E546" s="1" t="n">
        <v>46314</v>
      </c>
      <c r="F546" t="inlineStr">
        <is>
          <t>JÖNKÖPINGS LÄN</t>
        </is>
      </c>
      <c r="G546" t="inlineStr">
        <is>
          <t>EKSJÖ</t>
        </is>
      </c>
      <c r="H546" t="inlineStr">
        <is>
          <t>Övriga Aktiebolag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46308</v>
      </c>
      <c r="E547" s="1" t="n">
        <v>46314</v>
      </c>
      <c r="F547" t="inlineStr">
        <is>
          <t>JÖNKÖPINGS LÄN</t>
        </is>
      </c>
      <c r="G547" t="inlineStr">
        <is>
          <t>EKSJÖ</t>
        </is>
      </c>
      <c r="H547" t="inlineStr">
        <is>
          <t>Övriga Aktiebolag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13735-2025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45737</v>
      </c>
      <c r="E548" s="1" t="n">
        <v>46314</v>
      </c>
      <c r="F548" t="inlineStr">
        <is>
          <t>JÖNKÖPINGS LÄN</t>
        </is>
      </c>
      <c r="G548" t="inlineStr">
        <is>
          <t>EKSJÖ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46308</v>
      </c>
      <c r="E549" s="1" t="n">
        <v>46314</v>
      </c>
      <c r="F549" t="inlineStr">
        <is>
          <t>JÖNKÖPINGS LÄN</t>
        </is>
      </c>
      <c r="G549" t="inlineStr">
        <is>
          <t>EKSJÖ</t>
        </is>
      </c>
      <c r="H549" t="inlineStr">
        <is>
          <t>Övriga Aktiebolag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34173-2024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46314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46309</v>
      </c>
      <c r="E551" s="1" t="n">
        <v>46314</v>
      </c>
      <c r="F551" t="inlineStr">
        <is>
          <t>JÖNKÖPINGS LÄN</t>
        </is>
      </c>
      <c r="G551" t="inlineStr">
        <is>
          <t>EKSJÖ</t>
        </is>
      </c>
      <c r="H551" t="inlineStr">
        <is>
          <t>Övriga Aktiebolag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46309</v>
      </c>
      <c r="E552" s="1" t="n">
        <v>46314</v>
      </c>
      <c r="F552" t="inlineStr">
        <is>
          <t>JÖNKÖPINGS LÄN</t>
        </is>
      </c>
      <c r="G552" t="inlineStr">
        <is>
          <t>EKSJÖ</t>
        </is>
      </c>
      <c r="H552" t="inlineStr">
        <is>
          <t>Kommuner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46314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46314</v>
      </c>
      <c r="F554" t="inlineStr">
        <is>
          <t>JÖNKÖPINGS LÄN</t>
        </is>
      </c>
      <c r="G554" t="inlineStr">
        <is>
          <t>EKSJÖ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45771</v>
      </c>
      <c r="E555" s="1" t="n">
        <v>46314</v>
      </c>
      <c r="F555" t="inlineStr">
        <is>
          <t>JÖNKÖPINGS LÄN</t>
        </is>
      </c>
      <c r="G555" t="inlineStr">
        <is>
          <t>EKSJÖ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46311</v>
      </c>
      <c r="E556" s="1" t="n">
        <v>46314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46311</v>
      </c>
      <c r="E557" s="1" t="n">
        <v>46314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46314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46314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43043-2026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46311</v>
      </c>
      <c r="E560" s="1" t="n">
        <v>46314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45819</v>
      </c>
      <c r="E561" s="1" t="n">
        <v>46314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46311</v>
      </c>
      <c r="E562" s="1" t="n">
        <v>46314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42875-2026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46310</v>
      </c>
      <c r="E563" s="1" t="n">
        <v>46314</v>
      </c>
      <c r="F563" t="inlineStr">
        <is>
          <t>JÖNKÖPINGS LÄN</t>
        </is>
      </c>
      <c r="G563" t="inlineStr">
        <is>
          <t>EKSJÖ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46314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42872-2026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46310</v>
      </c>
      <c r="E565" s="1" t="n">
        <v>46314</v>
      </c>
      <c r="F565" t="inlineStr">
        <is>
          <t>JÖNKÖPINGS LÄN</t>
        </is>
      </c>
      <c r="G565" t="inlineStr">
        <is>
          <t>EKSJÖ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45826</v>
      </c>
      <c r="E566" s="1" t="n">
        <v>46314</v>
      </c>
      <c r="F566" t="inlineStr">
        <is>
          <t>JÖNKÖPINGS LÄN</t>
        </is>
      </c>
      <c r="G566" t="inlineStr">
        <is>
          <t>EKSJÖ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41440-2024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45560</v>
      </c>
      <c r="E567" s="1" t="n">
        <v>46314</v>
      </c>
      <c r="F567" t="inlineStr">
        <is>
          <t>JÖNKÖPINGS LÄN</t>
        </is>
      </c>
      <c r="G567" t="inlineStr">
        <is>
          <t>EKSJÖ</t>
        </is>
      </c>
      <c r="H567" t="inlineStr">
        <is>
          <t>Kyrkan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45839</v>
      </c>
      <c r="E568" s="1" t="n">
        <v>46314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45841</v>
      </c>
      <c r="E569" s="1" t="n">
        <v>46314</v>
      </c>
      <c r="F569" t="inlineStr">
        <is>
          <t>JÖNKÖPINGS LÄN</t>
        </is>
      </c>
      <c r="G569" t="inlineStr">
        <is>
          <t>EKSJÖ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33614-2025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45841</v>
      </c>
      <c r="E570" s="1" t="n">
        <v>46314</v>
      </c>
      <c r="F570" t="inlineStr">
        <is>
          <t>JÖNKÖPINGS LÄN</t>
        </is>
      </c>
      <c r="G570" t="inlineStr">
        <is>
          <t>EKSJÖ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46314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45845</v>
      </c>
      <c r="E572" s="1" t="n">
        <v>46314</v>
      </c>
      <c r="F572" t="inlineStr">
        <is>
          <t>JÖNKÖPINGS LÄN</t>
        </is>
      </c>
      <c r="G572" t="inlineStr">
        <is>
          <t>EKSJÖ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45842</v>
      </c>
      <c r="E573" s="1" t="n">
        <v>46314</v>
      </c>
      <c r="F573" t="inlineStr">
        <is>
          <t>JÖNKÖPINGS LÄN</t>
        </is>
      </c>
      <c r="G573" t="inlineStr">
        <is>
          <t>EKSJÖ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45785</v>
      </c>
      <c r="E574" s="1" t="n">
        <v>46314</v>
      </c>
      <c r="F574" t="inlineStr">
        <is>
          <t>JÖNKÖPINGS LÄN</t>
        </is>
      </c>
      <c r="G574" t="inlineStr">
        <is>
          <t>EKSJÖ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44974</v>
      </c>
      <c r="E575" s="1" t="n">
        <v>46314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45695</v>
      </c>
      <c r="E576" s="1" t="n">
        <v>46314</v>
      </c>
      <c r="F576" t="inlineStr">
        <is>
          <t>JÖNKÖPINGS LÄN</t>
        </is>
      </c>
      <c r="G576" t="inlineStr">
        <is>
          <t>EKSJÖ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45461</v>
      </c>
      <c r="E577" s="1" t="n">
        <v>46314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45860</v>
      </c>
      <c r="E578" s="1" t="n">
        <v>46314</v>
      </c>
      <c r="F578" t="inlineStr">
        <is>
          <t>JÖNKÖPINGS LÄN</t>
        </is>
      </c>
      <c r="G578" t="inlineStr">
        <is>
          <t>EKSJÖ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46314</v>
      </c>
      <c r="F579" t="inlineStr">
        <is>
          <t>JÖNKÖPINGS LÄN</t>
        </is>
      </c>
      <c r="G579" t="inlineStr">
        <is>
          <t>EKSJÖ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45866</v>
      </c>
      <c r="E580" s="1" t="n">
        <v>46314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36853-2025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45874</v>
      </c>
      <c r="E581" s="1" t="n">
        <v>46314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37169-2025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46314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46314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45842</v>
      </c>
      <c r="E584" s="1" t="n">
        <v>46314</v>
      </c>
      <c r="F584" t="inlineStr">
        <is>
          <t>JÖNKÖPINGS LÄN</t>
        </is>
      </c>
      <c r="G584" t="inlineStr">
        <is>
          <t>EKSJÖ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45762</v>
      </c>
      <c r="E585" s="1" t="n">
        <v>46314</v>
      </c>
      <c r="F585" t="inlineStr">
        <is>
          <t>JÖNKÖPINGS LÄN</t>
        </is>
      </c>
      <c r="G585" t="inlineStr">
        <is>
          <t>EKSJÖ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46314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46314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46314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46314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46314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46314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46314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46314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46314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46314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46314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46314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46314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46314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46314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46314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46314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46314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46314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46314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46314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46314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46314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46314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46314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46314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46314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46314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46314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46314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2693-2026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46311</v>
      </c>
      <c r="E616" s="1" t="n">
        <v>46314</v>
      </c>
      <c r="F616" t="inlineStr">
        <is>
          <t>JÖNKÖPINGS LÄN</t>
        </is>
      </c>
      <c r="G616" t="inlineStr">
        <is>
          <t>EKSJÖ</t>
        </is>
      </c>
      <c r="H616" t="inlineStr">
        <is>
          <t>Sveaskog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2026-10-19T02:01:54Z</dcterms:created>
  <dcterms:modified xmlns:dcterms="http://purl.org/dc/terms/" xmlns:xsi="http://www.w3.org/2001/XMLSchema-instance" xsi:type="dcterms:W3CDTF">2026-10-19T02:01:55Z</dcterms:modified>
</cp:coreProperties>
</file>