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45589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45589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34468-2024</t>
        </is>
      </c>
      <c r="B6" s="1" t="n">
        <v>45525</v>
      </c>
      <c r="C6" s="1" t="n">
        <v>45589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13.6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Gul taggsvamp
Sparvuggla</t>
        </is>
      </c>
      <c r="S6">
        <f>HYPERLINK("https://klasma.github.io/Logging_0686/artfynd/A 34468-2024 artfynd.xlsx", "A 34468-2024")</f>
        <v/>
      </c>
      <c r="T6">
        <f>HYPERLINK("https://klasma.github.io/Logging_0686/kartor/A 34468-2024 karta.png", "A 34468-2024")</f>
        <v/>
      </c>
      <c r="U6">
        <f>HYPERLINK("https://klasma.github.io/Logging_0686/knärot/A 34468-2024 karta knärot.png", "A 34468-2024")</f>
        <v/>
      </c>
      <c r="V6">
        <f>HYPERLINK("https://klasma.github.io/Logging_0686/klagomål/A 34468-2024 FSC-klagomål.docx", "A 34468-2024")</f>
        <v/>
      </c>
      <c r="W6">
        <f>HYPERLINK("https://klasma.github.io/Logging_0686/klagomålsmail/A 34468-2024 FSC-klagomål mail.docx", "A 34468-2024")</f>
        <v/>
      </c>
      <c r="X6">
        <f>HYPERLINK("https://klasma.github.io/Logging_0686/tillsyn/A 34468-2024 tillsynsbegäran.docx", "A 34468-2024")</f>
        <v/>
      </c>
      <c r="Y6">
        <f>HYPERLINK("https://klasma.github.io/Logging_0686/tillsynsmail/A 34468-2024 tillsynsbegäran mail.docx", "A 34468-2024")</f>
        <v/>
      </c>
      <c r="Z6">
        <f>HYPERLINK("https://klasma.github.io/Logging_0686/fåglar/A 34468-2024 prioriterade fågelarter.docx", "A 34468-2024")</f>
        <v/>
      </c>
    </row>
    <row r="7" ht="15" customHeight="1">
      <c r="A7" t="inlineStr">
        <is>
          <t>A 62662-2019</t>
        </is>
      </c>
      <c r="B7" s="1" t="n">
        <v>43789</v>
      </c>
      <c r="C7" s="1" t="n">
        <v>45589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0.9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Brunlångöra
Nordfladdermus</t>
        </is>
      </c>
      <c r="S7">
        <f>HYPERLINK("https://klasma.github.io/Logging_0686/artfynd/A 62662-2019 artfynd.xlsx", "A 62662-2019")</f>
        <v/>
      </c>
      <c r="T7">
        <f>HYPERLINK("https://klasma.github.io/Logging_0686/kartor/A 62662-2019 karta.png", "A 62662-2019")</f>
        <v/>
      </c>
      <c r="V7">
        <f>HYPERLINK("https://klasma.github.io/Logging_0686/klagomål/A 62662-2019 FSC-klagomål.docx", "A 62662-2019")</f>
        <v/>
      </c>
      <c r="W7">
        <f>HYPERLINK("https://klasma.github.io/Logging_0686/klagomålsmail/A 62662-2019 FSC-klagomål mail.docx", "A 62662-2019")</f>
        <v/>
      </c>
      <c r="X7">
        <f>HYPERLINK("https://klasma.github.io/Logging_0686/tillsyn/A 62662-2019 tillsynsbegäran.docx", "A 62662-2019")</f>
        <v/>
      </c>
      <c r="Y7">
        <f>HYPERLINK("https://klasma.github.io/Logging_0686/tillsynsmail/A 62662-2019 tillsynsbegäran mail.docx", "A 62662-2019")</f>
        <v/>
      </c>
    </row>
    <row r="8" ht="15" customHeight="1">
      <c r="A8" t="inlineStr">
        <is>
          <t>A 30131-2023</t>
        </is>
      </c>
      <c r="B8" s="1" t="n">
        <v>45110</v>
      </c>
      <c r="C8" s="1" t="n">
        <v>45589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7.2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HYPERLINK("https://klasma.github.io/Logging_0686/artfynd/A 30131-2023 artfynd.xlsx", "A 30131-2023")</f>
        <v/>
      </c>
      <c r="T8">
        <f>HYPERLINK("https://klasma.github.io/Logging_0686/kartor/A 30131-2023 karta.png", "A 30131-2023")</f>
        <v/>
      </c>
      <c r="U8">
        <f>HYPERLINK("https://klasma.github.io/Logging_0686/knärot/A 30131-2023 karta knärot.png", "A 30131-2023")</f>
        <v/>
      </c>
      <c r="V8">
        <f>HYPERLINK("https://klasma.github.io/Logging_0686/klagomål/A 30131-2023 FSC-klagomål.docx", "A 30131-2023")</f>
        <v/>
      </c>
      <c r="W8">
        <f>HYPERLINK("https://klasma.github.io/Logging_0686/klagomålsmail/A 30131-2023 FSC-klagomål mail.docx", "A 30131-2023")</f>
        <v/>
      </c>
      <c r="X8">
        <f>HYPERLINK("https://klasma.github.io/Logging_0686/tillsyn/A 30131-2023 tillsynsbegäran.docx", "A 30131-2023")</f>
        <v/>
      </c>
      <c r="Y8">
        <f>HYPERLINK("https://klasma.github.io/Logging_0686/tillsynsmail/A 30131-2023 tillsynsbegäran mail.docx", "A 30131-2023")</f>
        <v/>
      </c>
    </row>
    <row r="9" ht="15" customHeight="1">
      <c r="A9" t="inlineStr">
        <is>
          <t>A 41315-2023</t>
        </is>
      </c>
      <c r="B9" s="1" t="n">
        <v>45174</v>
      </c>
      <c r="C9" s="1" t="n">
        <v>45589</v>
      </c>
      <c r="D9" t="inlineStr">
        <is>
          <t>JÖNKÖPINGS LÄN</t>
        </is>
      </c>
      <c r="E9" t="inlineStr">
        <is>
          <t>EKSJÖ</t>
        </is>
      </c>
      <c r="G9" t="n">
        <v>6.9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HYPERLINK("https://klasma.github.io/Logging_0686/artfynd/A 41315-2023 artfynd.xlsx", "A 41315-2023")</f>
        <v/>
      </c>
      <c r="T9">
        <f>HYPERLINK("https://klasma.github.io/Logging_0686/kartor/A 41315-2023 karta.png", "A 41315-2023")</f>
        <v/>
      </c>
      <c r="V9">
        <f>HYPERLINK("https://klasma.github.io/Logging_0686/klagomål/A 41315-2023 FSC-klagomål.docx", "A 41315-2023")</f>
        <v/>
      </c>
      <c r="W9">
        <f>HYPERLINK("https://klasma.github.io/Logging_0686/klagomålsmail/A 41315-2023 FSC-klagomål mail.docx", "A 41315-2023")</f>
        <v/>
      </c>
      <c r="X9">
        <f>HYPERLINK("https://klasma.github.io/Logging_0686/tillsyn/A 41315-2023 tillsynsbegäran.docx", "A 41315-2023")</f>
        <v/>
      </c>
      <c r="Y9">
        <f>HYPERLINK("https://klasma.github.io/Logging_0686/tillsynsmail/A 41315-2023 tillsynsbegäran mail.docx", "A 41315-2023")</f>
        <v/>
      </c>
    </row>
    <row r="10" ht="15" customHeight="1">
      <c r="A10" t="inlineStr">
        <is>
          <t>A 64978-2023</t>
        </is>
      </c>
      <c r="B10" s="1" t="n">
        <v>45285</v>
      </c>
      <c r="C10" s="1" t="n">
        <v>45589</v>
      </c>
      <c r="D10" t="inlineStr">
        <is>
          <t>JÖNKÖPINGS LÄN</t>
        </is>
      </c>
      <c r="E10" t="inlineStr">
        <is>
          <t>EKSJÖ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HYPERLINK("https://klasma.github.io/Logging_0686/artfynd/A 64978-2023 artfynd.xlsx", "A 64978-2023")</f>
        <v/>
      </c>
      <c r="T10">
        <f>HYPERLINK("https://klasma.github.io/Logging_0686/kartor/A 64978-2023 karta.png", "A 64978-2023")</f>
        <v/>
      </c>
      <c r="V10">
        <f>HYPERLINK("https://klasma.github.io/Logging_0686/klagomål/A 64978-2023 FSC-klagomål.docx", "A 64978-2023")</f>
        <v/>
      </c>
      <c r="W10">
        <f>HYPERLINK("https://klasma.github.io/Logging_0686/klagomålsmail/A 64978-2023 FSC-klagomål mail.docx", "A 64978-2023")</f>
        <v/>
      </c>
      <c r="X10">
        <f>HYPERLINK("https://klasma.github.io/Logging_0686/tillsyn/A 64978-2023 tillsynsbegäran.docx", "A 64978-2023")</f>
        <v/>
      </c>
      <c r="Y10">
        <f>HYPERLINK("https://klasma.github.io/Logging_0686/tillsynsmail/A 64978-2023 tillsynsbegäran mail.docx", "A 64978-2023")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45589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45589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45589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45589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45589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45589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45589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45589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45589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45589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45589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45589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45589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45589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45589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45589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45589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45589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45589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45589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45589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45589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45589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45589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45589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45589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45589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45589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45589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45589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45589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45589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45589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45589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45589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45589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45589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45589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45589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45589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45589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45589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45589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45589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45589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45589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45589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45589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45589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45589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45589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45589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45589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45589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45589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45589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45589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45589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45589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45589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45589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45589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45589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45589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45589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45589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45589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45589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45589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45589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45589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45589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45589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45589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45589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45589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45589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45589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45589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45589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45589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45589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45589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45589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45589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45589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45589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45589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45589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45589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45589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45589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45589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45589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45589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45589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45589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45589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45589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45589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45589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45589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45589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45589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45589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45589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45589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45589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45589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45589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45589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45589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45589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45589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45589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45589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45589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45589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45589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45589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45589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45589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45589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45589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45589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45589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45589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45589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45589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45589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45589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45589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45589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45589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45589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45589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45589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45589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45589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45589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45589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45589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45589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45589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45589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45589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45589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45589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45589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45589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45589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45589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45589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45589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45589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45589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45589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45589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45589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45589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45589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45589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45589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45589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45589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45589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45589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45589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45589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45589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45589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45589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45589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45589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45589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45589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45589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45589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45589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45589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45589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45589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45589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45589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45589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45589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45589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45589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45589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45589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45589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45589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45589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45589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45589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45589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45589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45589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45589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45589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45589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45589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45589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45589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45589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45589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45589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45589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45589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45589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45589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45589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45589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45589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45589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45589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45589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45589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45589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45589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45589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45589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45589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45589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45589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45589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45589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45589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45589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45589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45589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45589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45589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45589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45589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45589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45589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45589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45589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45589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45589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45589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45589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45589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45589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45589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45589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45589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45589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45589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45589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45589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45589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45589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45589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45589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45589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45589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45589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45589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45589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45589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45589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45589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45589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45589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45589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45589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45589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45589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45589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45589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45589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45589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45589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45589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45589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45589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45589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45589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45589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45589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45589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45589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45589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45589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45589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45589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45589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45589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45589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45589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45589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45589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45589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45589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45589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45589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45589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45589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45589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45589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45589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45589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45589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45589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45589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45589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45589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45589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45589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45589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45589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45589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45589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45589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45589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45589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45589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45589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45589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45589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45589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45589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45589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45589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45589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45589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45589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45589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45589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45589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45589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45589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45589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45589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45589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45589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45589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45589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45589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45589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45589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45589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45589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45589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45589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45589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45589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45589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45589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45589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45589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45589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45589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45589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45589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45589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45589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45589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45589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45589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45589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45589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45589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45589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45589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45589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45589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45589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45589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45589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45589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45589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45589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45589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45589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45589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45589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45589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45589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45589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45589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45589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45589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45589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45589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45589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45589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45589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45589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45589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45589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45589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45589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45589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45589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45589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45589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45589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45589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45589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45589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45589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45589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45589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45589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45589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45589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45589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45589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45589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45589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45589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45589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45589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45589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45589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45589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45589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45589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45589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45589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45589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45589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45589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45589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45589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45589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45589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45589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45589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45589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45589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45589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45589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45589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45589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45589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45589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45589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45589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45589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45589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45589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45589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45589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45589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45589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45589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45589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45589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45589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45589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45589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45589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45589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45589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45589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45589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45589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45589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45589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45589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45589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45589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45589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45589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45589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45589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45589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45589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45589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45589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45589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45589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45589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45589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45589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45589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45589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45589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45589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45589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45589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45589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45589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45589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45589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45589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45589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45589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45589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45589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45589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45589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45589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45589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45589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45589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45589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45589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45589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45589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45589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45589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45589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45589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45589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45589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45589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45589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45589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45589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45589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45589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45589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45589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45589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45589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45589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45589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45589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45589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45589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45589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45589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45589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45589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45589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45589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45589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45589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45589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45589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45589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45589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45589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45589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45589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45589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45589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45589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45589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45589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45589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45589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45589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45589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45589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45589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45589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45589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45589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45589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45589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45589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45589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45589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45589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45589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45589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45589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45589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45589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45589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45589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45589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45589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45589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45589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45589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45589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45589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45589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45589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45589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45589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45589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45589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45589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45589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45589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45589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45589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45589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45589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45589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45589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45589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45589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45589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45589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45589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45589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45589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45589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45589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45589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45589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45589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45589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45589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45589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45589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45589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45589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45589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45589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45589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45589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45589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45589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45589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45589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45589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45589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45589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45589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45589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45589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45589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45589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45589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45589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45589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45589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45589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45589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45589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45589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45589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45589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45589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45589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45589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45589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45589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45589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45589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45589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45589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45589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45589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45589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45589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45589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45589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45589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45589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45589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45589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45589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45589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45589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45589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45589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45589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45589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45589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45589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45589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45589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45589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45589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45589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45589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45589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45589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45589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45589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45589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45589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45589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45589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45589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45589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45589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45589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45589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45589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45589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45589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45589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45589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45589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45589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45589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45589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45589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45589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45589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45589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45589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45589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45589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45589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45589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45589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45589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45589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45589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45589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45589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45589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45589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45589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45589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45589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45589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45589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45589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45589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45589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45589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45589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45589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45589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45589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45589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45589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45589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45589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45589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45589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45589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45589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45589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45589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45589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45589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45589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45589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45589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45589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45589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45589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45589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45589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45589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45589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45589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45589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45589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45589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45589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45589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45589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45589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45589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45589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45589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45589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45589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45589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45589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45589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45589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45589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45589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45589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45589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45589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45589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45589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45589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45589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45589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45589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45589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45589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45589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45589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45589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45589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45589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45589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45589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45589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45589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45589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45589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45589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45589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45589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45589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45589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45589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45589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45589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45589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45589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45589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45589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45589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45589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45589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45589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45589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45589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45589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45589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45589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45589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45589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45589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45589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45589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45589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45589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45589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45589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45589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45589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45589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45589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45589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47030-2024</t>
        </is>
      </c>
      <c r="B970" s="1" t="n">
        <v>45586</v>
      </c>
      <c r="C970" s="1" t="n">
        <v>45589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2024-10-24T14:01:30Z</dcterms:created>
  <dcterms:modified xmlns:dcterms="http://purl.org/dc/terms/" xmlns:xsi="http://www.w3.org/2001/XMLSchema-instance" xsi:type="dcterms:W3CDTF">2024-10-24T14:01:31Z</dcterms:modified>
</cp:coreProperties>
</file>