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46242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46242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46242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46242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46242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46242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46242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46242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46242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46242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46242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46242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46242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46242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46242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46242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46242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46242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46242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46242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46242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46242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46242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46242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46242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46242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46242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46242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41746-2023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46242</v>
      </c>
      <c r="F30" t="inlineStr">
        <is>
          <t>JÖNKÖPINGS LÄN</t>
        </is>
      </c>
      <c r="G30" t="inlineStr">
        <is>
          <t>EKSJÖ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HYPERLINK("https://klasma.github.io/Logging_0686/artfynd/A 41746-2023 artfynd.xlsx", "A 41746-2023")</f>
        <v/>
      </c>
      <c r="X30">
        <f>HYPERLINK("https://klasma.github.io/Logging_0686/kartor/A 41746-2023 karta.png", "A 41746-2023")</f>
        <v/>
      </c>
      <c r="Y30">
        <f>HYPERLINK("https://klasma.github.io/Logging_0686/kartor_geotiff/A 41746-2023 georefererad karta.tif", "A 41746-2023")</f>
        <v/>
      </c>
      <c r="AA30">
        <f>HYPERLINK("https://klasma.github.io/Logging_0686/klagomål/A 41746-2023 FSC-klagomål.docx", "A 41746-2023")</f>
        <v/>
      </c>
      <c r="AB30">
        <f>HYPERLINK("https://klasma.github.io/Logging_0686/klagomålsmail/A 41746-2023 FSC-klagomål mail.docx", "A 41746-2023")</f>
        <v/>
      </c>
      <c r="AC30">
        <f>HYPERLINK("https://klasma.github.io/Logging_0686/tillsyn/A 41746-2023 tillsynsbegäran.docx", "A 41746-2023")</f>
        <v/>
      </c>
      <c r="AD30">
        <f>HYPERLINK("https://klasma.github.io/Logging_0686/tillsynsmail/A 41746-2023 tillsynsbegäran mail.docx", "A 41746-2023")</f>
        <v/>
      </c>
    </row>
    <row r="31" ht="15" customHeight="1">
      <c r="A31" t="inlineStr">
        <is>
          <t>A 47729-2022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44854</v>
      </c>
      <c r="E31" s="1" t="n">
        <v>46242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Tibast</t>
        </is>
      </c>
      <c r="W31">
        <f>HYPERLINK("https://klasma.github.io/Logging_0686/artfynd/A 47729-2022 artfynd.xlsx", "A 47729-2022")</f>
        <v/>
      </c>
      <c r="X31">
        <f>HYPERLINK("https://klasma.github.io/Logging_0686/kartor/A 47729-2022 karta.png", "A 47729-2022")</f>
        <v/>
      </c>
      <c r="Y31">
        <f>HYPERLINK("https://klasma.github.io/Logging_0686/kartor_geotiff/A 47729-2022 georefererad karta.tif", "A 47729-2022")</f>
        <v/>
      </c>
      <c r="AA31">
        <f>HYPERLINK("https://klasma.github.io/Logging_0686/klagomål/A 47729-2022 FSC-klagomål.docx", "A 47729-2022")</f>
        <v/>
      </c>
      <c r="AB31">
        <f>HYPERLINK("https://klasma.github.io/Logging_0686/klagomålsmail/A 47729-2022 FSC-klagomål mail.docx", "A 47729-2022")</f>
        <v/>
      </c>
      <c r="AC31">
        <f>HYPERLINK("https://klasma.github.io/Logging_0686/tillsyn/A 47729-2022 tillsynsbegäran.docx", "A 47729-2022")</f>
        <v/>
      </c>
      <c r="AD31">
        <f>HYPERLINK("https://klasma.github.io/Logging_0686/tillsynsmail/A 47729-2022 tillsynsbegäran mail.docx", "A 47729-2022")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46242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46242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46242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46242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46242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10726-2024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45369</v>
      </c>
      <c r="E37" s="1" t="n">
        <v>46242</v>
      </c>
      <c r="F37" t="inlineStr">
        <is>
          <t>JÖNKÖPINGS LÄN</t>
        </is>
      </c>
      <c r="G37" t="inlineStr">
        <is>
          <t>EKSJÖ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Sotvaxskivling</t>
        </is>
      </c>
      <c r="W37">
        <f>HYPERLINK("https://klasma.github.io/Logging_0686/artfynd/A 10726-2024 artfynd.xlsx", "A 10726-2024")</f>
        <v/>
      </c>
      <c r="X37">
        <f>HYPERLINK("https://klasma.github.io/Logging_0686/kartor/A 10726-2024 karta.png", "A 10726-2024")</f>
        <v/>
      </c>
      <c r="Y37">
        <f>HYPERLINK("https://klasma.github.io/Logging_0686/kartor_geotiff/A 10726-2024 georefererad karta.tif", "A 10726-2024")</f>
        <v/>
      </c>
      <c r="AA37">
        <f>HYPERLINK("https://klasma.github.io/Logging_0686/klagomål/A 10726-2024 FSC-klagomål.docx", "A 10726-2024")</f>
        <v/>
      </c>
      <c r="AB37">
        <f>HYPERLINK("https://klasma.github.io/Logging_0686/klagomålsmail/A 10726-2024 FSC-klagomål mail.docx", "A 10726-2024")</f>
        <v/>
      </c>
      <c r="AC37">
        <f>HYPERLINK("https://klasma.github.io/Logging_0686/tillsyn/A 10726-2024 tillsynsbegäran.docx", "A 10726-2024")</f>
        <v/>
      </c>
      <c r="AD37">
        <f>HYPERLINK("https://klasma.github.io/Logging_0686/tillsynsmail/A 10726-2024 tillsynsbegäran mail.docx", "A 10726-2024")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46242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46242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46242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46242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49412-2021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46242</v>
      </c>
      <c r="F42" t="inlineStr">
        <is>
          <t>JÖNKÖPINGS LÄN</t>
        </is>
      </c>
      <c r="G42" t="inlineStr">
        <is>
          <t>EKSJÖ</t>
        </is>
      </c>
      <c r="I42" t="n">
        <v>5.3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Ladusvala</t>
        </is>
      </c>
      <c r="W42">
        <f>HYPERLINK("https://klasma.github.io/Logging_0686/artfynd/A 49412-2021 artfynd.xlsx", "A 49412-2021")</f>
        <v/>
      </c>
      <c r="X42">
        <f>HYPERLINK("https://klasma.github.io/Logging_0686/kartor/A 49412-2021 karta.png", "A 49412-2021")</f>
        <v/>
      </c>
      <c r="Y42">
        <f>HYPERLINK("https://klasma.github.io/Logging_0686/kartor_geotiff/A 49412-2021 georefererad karta.tif", "A 49412-2021")</f>
        <v/>
      </c>
      <c r="AA42">
        <f>HYPERLINK("https://klasma.github.io/Logging_0686/klagomål/A 49412-2021 FSC-klagomål.docx", "A 49412-2021")</f>
        <v/>
      </c>
      <c r="AB42">
        <f>HYPERLINK("https://klasma.github.io/Logging_0686/klagomålsmail/A 49412-2021 FSC-klagomål mail.docx", "A 49412-2021")</f>
        <v/>
      </c>
      <c r="AC42">
        <f>HYPERLINK("https://klasma.github.io/Logging_0686/tillsyn/A 49412-2021 tillsynsbegäran.docx", "A 49412-2021")</f>
        <v/>
      </c>
      <c r="AD42">
        <f>HYPERLINK("https://klasma.github.io/Logging_0686/tillsynsmail/A 49412-2021 tillsynsbegäran mail.docx", "A 49412-2021")</f>
        <v/>
      </c>
    </row>
    <row r="43" ht="15" customHeight="1">
      <c r="A43" t="inlineStr">
        <is>
          <t>A 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46242</v>
      </c>
      <c r="F43" t="inlineStr">
        <is>
          <t>JÖNKÖPINGS LÄN</t>
        </is>
      </c>
      <c r="G43" t="inlineStr">
        <is>
          <t>EKSJÖ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HYPERLINK("https://klasma.github.io/Logging_0686/artfynd/A 58-2023 artfynd.xlsx", "A 58-2023")</f>
        <v/>
      </c>
      <c r="X43">
        <f>HYPERLINK("https://klasma.github.io/Logging_0686/kartor/A 58-2023 karta.png", "A 58-2023")</f>
        <v/>
      </c>
      <c r="Y43">
        <f>HYPERLINK("https://klasma.github.io/Logging_0686/kartor_geotiff/A 58-2023 georefererad karta.tif", "A 58-2023")</f>
        <v/>
      </c>
      <c r="AA43">
        <f>HYPERLINK("https://klasma.github.io/Logging_0686/klagomål/A 58-2023 FSC-klagomål.docx", "A 58-2023")</f>
        <v/>
      </c>
      <c r="AB43">
        <f>HYPERLINK("https://klasma.github.io/Logging_0686/klagomålsmail/A 58-2023 FSC-klagomål mail.docx", "A 58-2023")</f>
        <v/>
      </c>
      <c r="AC43">
        <f>HYPERLINK("https://klasma.github.io/Logging_0686/tillsyn/A 58-2023 tillsynsbegäran.docx", "A 58-2023")</f>
        <v/>
      </c>
      <c r="AD43">
        <f>HYPERLINK("https://klasma.github.io/Logging_0686/tillsynsmail/A 58-2023 tillsynsbegäran mail.docx", "A 58-2023")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46242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46242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46242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46242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46242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46242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46242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46242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46242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46242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46242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46242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46242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46242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46242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46242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46242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46242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46242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46242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46242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46242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46242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46242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46242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44461</v>
      </c>
      <c r="E69" s="1" t="n">
        <v>46242</v>
      </c>
      <c r="F69" t="inlineStr">
        <is>
          <t>JÖNKÖPINGS LÄN</t>
        </is>
      </c>
      <c r="G69" t="inlineStr">
        <is>
          <t>EKSJÖ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46242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46242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46242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46242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46242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46242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46242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46242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46242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46242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46242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46242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46242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46242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46242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46242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46242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46242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46242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46242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46242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46242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46242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46242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46242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46242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46242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46242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46242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46242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46242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46242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46242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46242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46242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46242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46242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46242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46242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46242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46242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46242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46242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46242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46242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46242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46242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46242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46242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46242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46242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46242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59961-2022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46242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46242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45152</v>
      </c>
      <c r="E124" s="1" t="n">
        <v>46242</v>
      </c>
      <c r="F124" t="inlineStr">
        <is>
          <t>JÖNKÖPINGS LÄN</t>
        </is>
      </c>
      <c r="G124" t="inlineStr">
        <is>
          <t>EKSJÖ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46242</v>
      </c>
      <c r="F125" t="inlineStr">
        <is>
          <t>JÖNKÖPINGS LÄN</t>
        </is>
      </c>
      <c r="G125" t="inlineStr">
        <is>
          <t>EKSJÖ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44809</v>
      </c>
      <c r="E126" s="1" t="n">
        <v>46242</v>
      </c>
      <c r="F126" t="inlineStr">
        <is>
          <t>JÖNKÖPINGS LÄN</t>
        </is>
      </c>
      <c r="G126" t="inlineStr">
        <is>
          <t>EKSJÖ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46242</v>
      </c>
      <c r="F127" t="inlineStr">
        <is>
          <t>JÖNKÖPINGS LÄN</t>
        </is>
      </c>
      <c r="G127" t="inlineStr">
        <is>
          <t>EKSJÖ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46242</v>
      </c>
      <c r="F128" t="inlineStr">
        <is>
          <t>JÖNKÖPINGS LÄN</t>
        </is>
      </c>
      <c r="G128" t="inlineStr">
        <is>
          <t>EKSJÖ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46242</v>
      </c>
      <c r="F129" t="inlineStr">
        <is>
          <t>JÖNKÖPINGS LÄN</t>
        </is>
      </c>
      <c r="G129" t="inlineStr">
        <is>
          <t>EKSJÖ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46242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46242</v>
      </c>
      <c r="F131" t="inlineStr">
        <is>
          <t>JÖNKÖPINGS LÄN</t>
        </is>
      </c>
      <c r="G131" t="inlineStr">
        <is>
          <t>EKSJÖ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44940</v>
      </c>
      <c r="E132" s="1" t="n">
        <v>46242</v>
      </c>
      <c r="F132" t="inlineStr">
        <is>
          <t>JÖNKÖPINGS LÄN</t>
        </is>
      </c>
      <c r="G132" t="inlineStr">
        <is>
          <t>EKSJÖ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44941</v>
      </c>
      <c r="E133" s="1" t="n">
        <v>46242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46242</v>
      </c>
      <c r="F134" t="inlineStr">
        <is>
          <t>JÖNKÖPINGS LÄN</t>
        </is>
      </c>
      <c r="G134" t="inlineStr">
        <is>
          <t>EKSJÖ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44925</v>
      </c>
      <c r="E135" s="1" t="n">
        <v>46242</v>
      </c>
      <c r="F135" t="inlineStr">
        <is>
          <t>JÖNKÖPINGS LÄN</t>
        </is>
      </c>
      <c r="G135" t="inlineStr">
        <is>
          <t>EKSJÖ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45345</v>
      </c>
      <c r="E136" s="1" t="n">
        <v>46242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45344</v>
      </c>
      <c r="E137" s="1" t="n">
        <v>46242</v>
      </c>
      <c r="F137" t="inlineStr">
        <is>
          <t>JÖNKÖPINGS LÄN</t>
        </is>
      </c>
      <c r="G137" t="inlineStr">
        <is>
          <t>EKSJÖ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46242</v>
      </c>
      <c r="F138" t="inlineStr">
        <is>
          <t>JÖNKÖPINGS LÄN</t>
        </is>
      </c>
      <c r="G138" t="inlineStr">
        <is>
          <t>EKSJÖ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45092</v>
      </c>
      <c r="E139" s="1" t="n">
        <v>46242</v>
      </c>
      <c r="F139" t="inlineStr">
        <is>
          <t>JÖNKÖPINGS LÄN</t>
        </is>
      </c>
      <c r="G139" t="inlineStr">
        <is>
          <t>EKSJÖ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46242</v>
      </c>
      <c r="F140" t="inlineStr">
        <is>
          <t>JÖNKÖPINGS LÄN</t>
        </is>
      </c>
      <c r="G140" t="inlineStr">
        <is>
          <t>EKSJÖ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45523</v>
      </c>
      <c r="E141" s="1" t="n">
        <v>46242</v>
      </c>
      <c r="F141" t="inlineStr">
        <is>
          <t>JÖNKÖPINGS LÄN</t>
        </is>
      </c>
      <c r="G141" t="inlineStr">
        <is>
          <t>EKSJÖ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45057</v>
      </c>
      <c r="E142" s="1" t="n">
        <v>46242</v>
      </c>
      <c r="F142" t="inlineStr">
        <is>
          <t>JÖNKÖPINGS LÄN</t>
        </is>
      </c>
      <c r="G142" t="inlineStr">
        <is>
          <t>EKSJÖ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46242</v>
      </c>
      <c r="F143" t="inlineStr">
        <is>
          <t>JÖNKÖPINGS LÄN</t>
        </is>
      </c>
      <c r="G143" t="inlineStr">
        <is>
          <t>EKSJÖ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46242</v>
      </c>
      <c r="F144" t="inlineStr">
        <is>
          <t>JÖNKÖPINGS LÄN</t>
        </is>
      </c>
      <c r="G144" t="inlineStr">
        <is>
          <t>EKSJÖ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45097</v>
      </c>
      <c r="E145" s="1" t="n">
        <v>46242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46242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46242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46242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50967-2021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44460</v>
      </c>
      <c r="E149" s="1" t="n">
        <v>46242</v>
      </c>
      <c r="F149" t="inlineStr">
        <is>
          <t>JÖNKÖPINGS LÄN</t>
        </is>
      </c>
      <c r="G149" t="inlineStr">
        <is>
          <t>EKSJÖ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45533</v>
      </c>
      <c r="E150" s="1" t="n">
        <v>46242</v>
      </c>
      <c r="F150" t="inlineStr">
        <is>
          <t>JÖNKÖPINGS LÄN</t>
        </is>
      </c>
      <c r="G150" t="inlineStr">
        <is>
          <t>EKSJÖ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46242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46242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46242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46242</v>
      </c>
      <c r="F154" t="inlineStr">
        <is>
          <t>JÖNKÖPINGS LÄN</t>
        </is>
      </c>
      <c r="G154" t="inlineStr">
        <is>
          <t>EKSJÖ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46242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46242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46242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45485</v>
      </c>
      <c r="E158" s="1" t="n">
        <v>46242</v>
      </c>
      <c r="F158" t="inlineStr">
        <is>
          <t>JÖNKÖPINGS LÄN</t>
        </is>
      </c>
      <c r="G158" t="inlineStr">
        <is>
          <t>EKSJÖ</t>
        </is>
      </c>
      <c r="H158" t="inlineStr">
        <is>
          <t>Övriga Aktiebolag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46242</v>
      </c>
      <c r="F159" t="inlineStr">
        <is>
          <t>JÖNKÖPINGS LÄN</t>
        </is>
      </c>
      <c r="G159" t="inlineStr">
        <is>
          <t>EKSJÖ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44888</v>
      </c>
      <c r="E160" s="1" t="n">
        <v>46242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46242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46242</v>
      </c>
      <c r="F162" t="inlineStr">
        <is>
          <t>JÖNKÖPINGS LÄN</t>
        </is>
      </c>
      <c r="G162" t="inlineStr">
        <is>
          <t>EKSJÖ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46242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46242</v>
      </c>
      <c r="F164" t="inlineStr">
        <is>
          <t>JÖNKÖPINGS LÄN</t>
        </is>
      </c>
      <c r="G164" t="inlineStr">
        <is>
          <t>EKSJÖ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46242</v>
      </c>
      <c r="F165" t="inlineStr">
        <is>
          <t>JÖNKÖPINGS LÄN</t>
        </is>
      </c>
      <c r="G165" t="inlineStr">
        <is>
          <t>EKSJÖ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46242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46242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46242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46242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46242</v>
      </c>
      <c r="F170" t="inlineStr">
        <is>
          <t>JÖNKÖPINGS LÄN</t>
        </is>
      </c>
      <c r="G170" t="inlineStr">
        <is>
          <t>EKSJÖ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46242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35738-2024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46242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46242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46242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46242</v>
      </c>
      <c r="F175" t="inlineStr">
        <is>
          <t>JÖNKÖPINGS LÄN</t>
        </is>
      </c>
      <c r="G175" t="inlineStr">
        <is>
          <t>EKSJÖ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45719</v>
      </c>
      <c r="E176" s="1" t="n">
        <v>46242</v>
      </c>
      <c r="F176" t="inlineStr">
        <is>
          <t>JÖNKÖPINGS LÄN</t>
        </is>
      </c>
      <c r="G176" t="inlineStr">
        <is>
          <t>EKSJÖ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46242</v>
      </c>
      <c r="F177" t="inlineStr">
        <is>
          <t>JÖNKÖPINGS LÄN</t>
        </is>
      </c>
      <c r="G177" t="inlineStr">
        <is>
          <t>EKSJÖ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46242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46242</v>
      </c>
      <c r="F179" t="inlineStr">
        <is>
          <t>JÖNKÖPINGS LÄN</t>
        </is>
      </c>
      <c r="G179" t="inlineStr">
        <is>
          <t>EKSJÖ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45686</v>
      </c>
      <c r="E180" s="1" t="n">
        <v>46242</v>
      </c>
      <c r="F180" t="inlineStr">
        <is>
          <t>JÖNKÖPINGS LÄN</t>
        </is>
      </c>
      <c r="G180" t="inlineStr">
        <is>
          <t>EKSJÖ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46242</v>
      </c>
      <c r="F181" t="inlineStr">
        <is>
          <t>JÖNKÖPINGS LÄN</t>
        </is>
      </c>
      <c r="G181" t="inlineStr">
        <is>
          <t>EKSJÖ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46242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46242</v>
      </c>
      <c r="F183" t="inlineStr">
        <is>
          <t>JÖNKÖPINGS LÄN</t>
        </is>
      </c>
      <c r="G183" t="inlineStr">
        <is>
          <t>EKSJÖ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46242</v>
      </c>
      <c r="F184" t="inlineStr">
        <is>
          <t>JÖNKÖPINGS LÄN</t>
        </is>
      </c>
      <c r="G184" t="inlineStr">
        <is>
          <t>EKSJÖ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46242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46242</v>
      </c>
      <c r="F186" t="inlineStr">
        <is>
          <t>JÖNKÖPINGS LÄN</t>
        </is>
      </c>
      <c r="G186" t="inlineStr">
        <is>
          <t>EKSJÖ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46242</v>
      </c>
      <c r="F187" t="inlineStr">
        <is>
          <t>JÖNKÖPINGS LÄN</t>
        </is>
      </c>
      <c r="G187" t="inlineStr">
        <is>
          <t>EKSJÖ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46242</v>
      </c>
      <c r="F188" t="inlineStr">
        <is>
          <t>JÖNKÖPINGS LÄN</t>
        </is>
      </c>
      <c r="G188" t="inlineStr">
        <is>
          <t>EKSJÖ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46242</v>
      </c>
      <c r="F189" t="inlineStr">
        <is>
          <t>JÖNKÖPINGS LÄN</t>
        </is>
      </c>
      <c r="G189" t="inlineStr">
        <is>
          <t>EKSJÖ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46242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46242</v>
      </c>
      <c r="F191" t="inlineStr">
        <is>
          <t>JÖNKÖPINGS LÄN</t>
        </is>
      </c>
      <c r="G191" t="inlineStr">
        <is>
          <t>EKSJÖ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44574</v>
      </c>
      <c r="E192" s="1" t="n">
        <v>46242</v>
      </c>
      <c r="F192" t="inlineStr">
        <is>
          <t>JÖNKÖPINGS LÄN</t>
        </is>
      </c>
      <c r="G192" t="inlineStr">
        <is>
          <t>EKSJÖ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46242</v>
      </c>
      <c r="F193" t="inlineStr">
        <is>
          <t>JÖNKÖPINGS LÄN</t>
        </is>
      </c>
      <c r="G193" t="inlineStr">
        <is>
          <t>EKSJÖ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46242</v>
      </c>
      <c r="F194" t="inlineStr">
        <is>
          <t>JÖNKÖPINGS LÄN</t>
        </is>
      </c>
      <c r="G194" t="inlineStr">
        <is>
          <t>EKSJÖ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46242</v>
      </c>
      <c r="F195" t="inlineStr">
        <is>
          <t>JÖNKÖPINGS LÄN</t>
        </is>
      </c>
      <c r="G195" t="inlineStr">
        <is>
          <t>EKSJÖ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9297-2025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45714</v>
      </c>
      <c r="E196" s="1" t="n">
        <v>46242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46242</v>
      </c>
      <c r="F197" t="inlineStr">
        <is>
          <t>JÖNKÖPINGS LÄN</t>
        </is>
      </c>
      <c r="G197" t="inlineStr">
        <is>
          <t>EKSJÖ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46242</v>
      </c>
      <c r="F198" t="inlineStr">
        <is>
          <t>JÖNKÖPINGS LÄN</t>
        </is>
      </c>
      <c r="G198" t="inlineStr">
        <is>
          <t>EKSJÖ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46242</v>
      </c>
      <c r="F199" t="inlineStr">
        <is>
          <t>JÖNKÖPINGS LÄN</t>
        </is>
      </c>
      <c r="G199" t="inlineStr">
        <is>
          <t>EKSJÖ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44834</v>
      </c>
      <c r="E200" s="1" t="n">
        <v>46242</v>
      </c>
      <c r="F200" t="inlineStr">
        <is>
          <t>JÖNKÖPINGS LÄN</t>
        </is>
      </c>
      <c r="G200" t="inlineStr">
        <is>
          <t>EKSJÖ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46242</v>
      </c>
      <c r="F201" t="inlineStr">
        <is>
          <t>JÖNKÖPINGS LÄN</t>
        </is>
      </c>
      <c r="G201" t="inlineStr">
        <is>
          <t>EKSJÖ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46242</v>
      </c>
      <c r="F202" t="inlineStr">
        <is>
          <t>JÖNKÖPINGS LÄN</t>
        </is>
      </c>
      <c r="G202" t="inlineStr">
        <is>
          <t>EKSJÖ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46242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46242</v>
      </c>
      <c r="F204" t="inlineStr">
        <is>
          <t>JÖNKÖPINGS LÄN</t>
        </is>
      </c>
      <c r="G204" t="inlineStr">
        <is>
          <t>EKSJÖ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45485</v>
      </c>
      <c r="E205" s="1" t="n">
        <v>46242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46045</v>
      </c>
      <c r="E206" s="1" t="n">
        <v>46242</v>
      </c>
      <c r="F206" t="inlineStr">
        <is>
          <t>JÖNKÖPINGS LÄN</t>
        </is>
      </c>
      <c r="G206" t="inlineStr">
        <is>
          <t>EKSJÖ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45418</v>
      </c>
      <c r="E207" s="1" t="n">
        <v>46242</v>
      </c>
      <c r="F207" t="inlineStr">
        <is>
          <t>JÖNKÖPINGS LÄN</t>
        </is>
      </c>
      <c r="G207" t="inlineStr">
        <is>
          <t>EKSJÖ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46242</v>
      </c>
      <c r="F208" t="inlineStr">
        <is>
          <t>JÖNKÖPINGS LÄN</t>
        </is>
      </c>
      <c r="G208" t="inlineStr">
        <is>
          <t>EKSJÖ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44888</v>
      </c>
      <c r="E209" s="1" t="n">
        <v>46242</v>
      </c>
      <c r="F209" t="inlineStr">
        <is>
          <t>JÖNKÖPINGS LÄN</t>
        </is>
      </c>
      <c r="G209" t="inlineStr">
        <is>
          <t>EKSJÖ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46242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46242</v>
      </c>
      <c r="F211" t="inlineStr">
        <is>
          <t>JÖNKÖPINGS LÄN</t>
        </is>
      </c>
      <c r="G211" t="inlineStr">
        <is>
          <t>EKSJÖ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46242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46242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45078</v>
      </c>
      <c r="E214" s="1" t="n">
        <v>46242</v>
      </c>
      <c r="F214" t="inlineStr">
        <is>
          <t>JÖNKÖPINGS LÄN</t>
        </is>
      </c>
      <c r="G214" t="inlineStr">
        <is>
          <t>EKSJÖ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45195</v>
      </c>
      <c r="E215" s="1" t="n">
        <v>46242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42929-2021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44431</v>
      </c>
      <c r="E216" s="1" t="n">
        <v>46242</v>
      </c>
      <c r="F216" t="inlineStr">
        <is>
          <t>JÖNKÖPINGS LÄN</t>
        </is>
      </c>
      <c r="G216" t="inlineStr">
        <is>
          <t>EKSJÖ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45837</v>
      </c>
      <c r="E217" s="1" t="n">
        <v>46242</v>
      </c>
      <c r="F217" t="inlineStr">
        <is>
          <t>JÖNKÖPINGS LÄN</t>
        </is>
      </c>
      <c r="G217" t="inlineStr">
        <is>
          <t>EKSJÖ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46242</v>
      </c>
      <c r="F218" t="inlineStr">
        <is>
          <t>JÖNKÖPINGS LÄN</t>
        </is>
      </c>
      <c r="G218" t="inlineStr">
        <is>
          <t>EKSJÖ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46242</v>
      </c>
      <c r="F219" t="inlineStr">
        <is>
          <t>JÖNKÖPINGS LÄN</t>
        </is>
      </c>
      <c r="G219" t="inlineStr">
        <is>
          <t>EKSJÖ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46056</v>
      </c>
      <c r="E220" s="1" t="n">
        <v>46242</v>
      </c>
      <c r="F220" t="inlineStr">
        <is>
          <t>JÖNKÖPINGS LÄN</t>
        </is>
      </c>
      <c r="G220" t="inlineStr">
        <is>
          <t>EKSJÖ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46242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44803</v>
      </c>
      <c r="E222" s="1" t="n">
        <v>46242</v>
      </c>
      <c r="F222" t="inlineStr">
        <is>
          <t>JÖNKÖPINGS LÄN</t>
        </is>
      </c>
      <c r="G222" t="inlineStr">
        <is>
          <t>EKSJÖ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46242</v>
      </c>
      <c r="F223" t="inlineStr">
        <is>
          <t>JÖNKÖPINGS LÄN</t>
        </is>
      </c>
      <c r="G223" t="inlineStr">
        <is>
          <t>EKSJÖ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46242</v>
      </c>
      <c r="F224" t="inlineStr">
        <is>
          <t>JÖNKÖPINGS LÄN</t>
        </is>
      </c>
      <c r="G224" t="inlineStr">
        <is>
          <t>EKSJÖ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46242</v>
      </c>
      <c r="F225" t="inlineStr">
        <is>
          <t>JÖNKÖPINGS LÄN</t>
        </is>
      </c>
      <c r="G225" t="inlineStr">
        <is>
          <t>EKSJÖ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46242</v>
      </c>
      <c r="F226" t="inlineStr">
        <is>
          <t>JÖNKÖPINGS LÄN</t>
        </is>
      </c>
      <c r="G226" t="inlineStr">
        <is>
          <t>EKSJÖ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46242</v>
      </c>
      <c r="F227" t="inlineStr">
        <is>
          <t>JÖNKÖPINGS LÄN</t>
        </is>
      </c>
      <c r="G227" t="inlineStr">
        <is>
          <t>EKSJÖ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46242</v>
      </c>
      <c r="F228" t="inlineStr">
        <is>
          <t>JÖNKÖPINGS LÄN</t>
        </is>
      </c>
      <c r="G228" t="inlineStr">
        <is>
          <t>EKSJÖ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46242</v>
      </c>
      <c r="F229" t="inlineStr">
        <is>
          <t>JÖNKÖPINGS LÄN</t>
        </is>
      </c>
      <c r="G229" t="inlineStr">
        <is>
          <t>EKSJÖ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46242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45176</v>
      </c>
      <c r="E231" s="1" t="n">
        <v>46242</v>
      </c>
      <c r="F231" t="inlineStr">
        <is>
          <t>JÖNKÖPINGS LÄN</t>
        </is>
      </c>
      <c r="G231" t="inlineStr">
        <is>
          <t>EKSJÖ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46242</v>
      </c>
      <c r="F232" t="inlineStr">
        <is>
          <t>JÖNKÖPINGS LÄN</t>
        </is>
      </c>
      <c r="G232" t="inlineStr">
        <is>
          <t>EKSJÖ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46242</v>
      </c>
      <c r="F233" t="inlineStr">
        <is>
          <t>JÖNKÖPINGS LÄN</t>
        </is>
      </c>
      <c r="G233" t="inlineStr">
        <is>
          <t>EKSJÖ</t>
        </is>
      </c>
      <c r="H233" t="inlineStr">
        <is>
          <t>Övriga Aktiebolag</t>
        </is>
      </c>
      <c r="I233" t="n">
        <v>17.5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46242</v>
      </c>
      <c r="F234" t="inlineStr">
        <is>
          <t>JÖNKÖPINGS LÄN</t>
        </is>
      </c>
      <c r="G234" t="inlineStr">
        <is>
          <t>EKSJÖ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45758</v>
      </c>
      <c r="E235" s="1" t="n">
        <v>46242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44526-2025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45916</v>
      </c>
      <c r="E236" s="1" t="n">
        <v>46242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46242</v>
      </c>
      <c r="F237" t="inlineStr">
        <is>
          <t>JÖNKÖPINGS LÄN</t>
        </is>
      </c>
      <c r="G237" t="inlineStr">
        <is>
          <t>EKSJÖ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46242</v>
      </c>
      <c r="F238" t="inlineStr">
        <is>
          <t>JÖNKÖPINGS LÄN</t>
        </is>
      </c>
      <c r="G238" t="inlineStr">
        <is>
          <t>EKSJÖ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46242</v>
      </c>
      <c r="F239" t="inlineStr">
        <is>
          <t>JÖNKÖPINGS LÄN</t>
        </is>
      </c>
      <c r="G239" t="inlineStr">
        <is>
          <t>EKSJÖ</t>
        </is>
      </c>
      <c r="H239" t="inlineStr">
        <is>
          <t>Kommuner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46242</v>
      </c>
      <c r="F240" t="inlineStr">
        <is>
          <t>JÖNKÖPINGS LÄN</t>
        </is>
      </c>
      <c r="G240" t="inlineStr">
        <is>
          <t>EKSJÖ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46242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46242</v>
      </c>
      <c r="F242" t="inlineStr">
        <is>
          <t>JÖNKÖPINGS LÄN</t>
        </is>
      </c>
      <c r="G242" t="inlineStr">
        <is>
          <t>EKSJÖ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45097</v>
      </c>
      <c r="E243" s="1" t="n">
        <v>46242</v>
      </c>
      <c r="F243" t="inlineStr">
        <is>
          <t>JÖNKÖPINGS LÄN</t>
        </is>
      </c>
      <c r="G243" t="inlineStr">
        <is>
          <t>EKSJÖ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46242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46242</v>
      </c>
      <c r="F245" t="inlineStr">
        <is>
          <t>JÖNKÖPINGS LÄN</t>
        </is>
      </c>
      <c r="G245" t="inlineStr">
        <is>
          <t>EKSJÖ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45008</v>
      </c>
      <c r="E246" s="1" t="n">
        <v>46242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46242</v>
      </c>
      <c r="F247" t="inlineStr">
        <is>
          <t>JÖNKÖPINGS LÄN</t>
        </is>
      </c>
      <c r="G247" t="inlineStr">
        <is>
          <t>EKSJÖ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45741</v>
      </c>
      <c r="E248" s="1" t="n">
        <v>46242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45741</v>
      </c>
      <c r="E249" s="1" t="n">
        <v>46242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45315</v>
      </c>
      <c r="E250" s="1" t="n">
        <v>46242</v>
      </c>
      <c r="F250" t="inlineStr">
        <is>
          <t>JÖNKÖPINGS LÄN</t>
        </is>
      </c>
      <c r="G250" t="inlineStr">
        <is>
          <t>EKSJÖ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45036</v>
      </c>
      <c r="E251" s="1" t="n">
        <v>46242</v>
      </c>
      <c r="F251" t="inlineStr">
        <is>
          <t>JÖNKÖPINGS LÄN</t>
        </is>
      </c>
      <c r="G251" t="inlineStr">
        <is>
          <t>EKSJÖ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43588-2025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46242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46242</v>
      </c>
      <c r="F253" t="inlineStr">
        <is>
          <t>JÖNKÖPINGS LÄN</t>
        </is>
      </c>
      <c r="G253" t="inlineStr">
        <is>
          <t>EKSJÖ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64419-2021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44511</v>
      </c>
      <c r="E254" s="1" t="n">
        <v>46242</v>
      </c>
      <c r="F254" t="inlineStr">
        <is>
          <t>JÖNKÖPINGS LÄN</t>
        </is>
      </c>
      <c r="G254" t="inlineStr">
        <is>
          <t>EKSJÖ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46242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46242</v>
      </c>
      <c r="F256" t="inlineStr">
        <is>
          <t>JÖNKÖPINGS LÄN</t>
        </is>
      </c>
      <c r="G256" t="inlineStr">
        <is>
          <t>EKSJÖ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44781</v>
      </c>
      <c r="E257" s="1" t="n">
        <v>46242</v>
      </c>
      <c r="F257" t="inlineStr">
        <is>
          <t>JÖNKÖPINGS LÄN</t>
        </is>
      </c>
      <c r="G257" t="inlineStr">
        <is>
          <t>EKSJÖ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44781</v>
      </c>
      <c r="E258" s="1" t="n">
        <v>46242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46242</v>
      </c>
      <c r="F259" t="inlineStr">
        <is>
          <t>JÖNKÖPINGS LÄN</t>
        </is>
      </c>
      <c r="G259" t="inlineStr">
        <is>
          <t>EKSJÖ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46098</v>
      </c>
      <c r="E260" s="1" t="n">
        <v>46242</v>
      </c>
      <c r="F260" t="inlineStr">
        <is>
          <t>JÖNKÖPINGS LÄN</t>
        </is>
      </c>
      <c r="G260" t="inlineStr">
        <is>
          <t>EKSJÖ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46242</v>
      </c>
      <c r="F261" t="inlineStr">
        <is>
          <t>JÖNKÖPINGS LÄN</t>
        </is>
      </c>
      <c r="G261" t="inlineStr">
        <is>
          <t>EKSJÖ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46242</v>
      </c>
      <c r="F262" t="inlineStr">
        <is>
          <t>JÖNKÖPINGS LÄN</t>
        </is>
      </c>
      <c r="G262" t="inlineStr">
        <is>
          <t>EKSJÖ</t>
        </is>
      </c>
      <c r="H262" t="inlineStr">
        <is>
          <t>Övriga Aktiebolag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46242</v>
      </c>
      <c r="F263" t="inlineStr">
        <is>
          <t>JÖNKÖPINGS LÄN</t>
        </is>
      </c>
      <c r="G263" t="inlineStr">
        <is>
          <t>EKSJÖ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46242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19469-2025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45770</v>
      </c>
      <c r="E265" s="1" t="n">
        <v>46242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45770</v>
      </c>
      <c r="E266" s="1" t="n">
        <v>46242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46242</v>
      </c>
      <c r="F267" t="inlineStr">
        <is>
          <t>JÖNKÖPINGS LÄN</t>
        </is>
      </c>
      <c r="G267" t="inlineStr">
        <is>
          <t>EKSJÖ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46242</v>
      </c>
      <c r="F268" t="inlineStr">
        <is>
          <t>JÖNKÖPINGS LÄN</t>
        </is>
      </c>
      <c r="G268" t="inlineStr">
        <is>
          <t>EKSJÖ</t>
        </is>
      </c>
      <c r="H268" t="inlineStr">
        <is>
          <t>Kommuner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46242</v>
      </c>
      <c r="F269" t="inlineStr">
        <is>
          <t>JÖNKÖPINGS LÄN</t>
        </is>
      </c>
      <c r="G269" t="inlineStr">
        <is>
          <t>EKSJÖ</t>
        </is>
      </c>
      <c r="H269" t="inlineStr">
        <is>
          <t>Kommuner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46242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46242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46107</v>
      </c>
      <c r="E272" s="1" t="n">
        <v>46242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46242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46242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45954</v>
      </c>
      <c r="E275" s="1" t="n">
        <v>46242</v>
      </c>
      <c r="F275" t="inlineStr">
        <is>
          <t>JÖNKÖPINGS LÄN</t>
        </is>
      </c>
      <c r="G275" t="inlineStr">
        <is>
          <t>EKSJÖ</t>
        </is>
      </c>
      <c r="H275" t="inlineStr">
        <is>
          <t>Kyrkan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46242</v>
      </c>
      <c r="F276" t="inlineStr">
        <is>
          <t>JÖNKÖPINGS LÄN</t>
        </is>
      </c>
      <c r="G276" t="inlineStr">
        <is>
          <t>EKSJÖ</t>
        </is>
      </c>
      <c r="H276" t="inlineStr">
        <is>
          <t>Kyrkan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46242</v>
      </c>
      <c r="F277" t="inlineStr">
        <is>
          <t>JÖNKÖPINGS LÄN</t>
        </is>
      </c>
      <c r="G277" t="inlineStr">
        <is>
          <t>EKSJÖ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54292-2023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45232</v>
      </c>
      <c r="E278" s="1" t="n">
        <v>46242</v>
      </c>
      <c r="F278" t="inlineStr">
        <is>
          <t>JÖNKÖPINGS LÄN</t>
        </is>
      </c>
      <c r="G278" t="inlineStr">
        <is>
          <t>EKSJÖ</t>
        </is>
      </c>
      <c r="I278" t="n">
        <v>18.3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46242</v>
      </c>
      <c r="F279" t="inlineStr">
        <is>
          <t>JÖNKÖPINGS LÄN</t>
        </is>
      </c>
      <c r="G279" t="inlineStr">
        <is>
          <t>EKSJÖ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45201</v>
      </c>
      <c r="E280" s="1" t="n">
        <v>46242</v>
      </c>
      <c r="F280" t="inlineStr">
        <is>
          <t>JÖNKÖPINGS LÄN</t>
        </is>
      </c>
      <c r="G280" t="inlineStr">
        <is>
          <t>EKSJÖ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45086</v>
      </c>
      <c r="E281" s="1" t="n">
        <v>46242</v>
      </c>
      <c r="F281" t="inlineStr">
        <is>
          <t>JÖNKÖPINGS LÄN</t>
        </is>
      </c>
      <c r="G281" t="inlineStr">
        <is>
          <t>EKSJÖ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46242</v>
      </c>
      <c r="F282" t="inlineStr">
        <is>
          <t>JÖNKÖPINGS LÄN</t>
        </is>
      </c>
      <c r="G282" t="inlineStr">
        <is>
          <t>EKSJÖ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45334</v>
      </c>
      <c r="E283" s="1" t="n">
        <v>46242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45334</v>
      </c>
      <c r="E284" s="1" t="n">
        <v>46242</v>
      </c>
      <c r="F284" t="inlineStr">
        <is>
          <t>JÖNKÖPINGS LÄN</t>
        </is>
      </c>
      <c r="G284" t="inlineStr">
        <is>
          <t>EKSJÖ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46242</v>
      </c>
      <c r="F285" t="inlineStr">
        <is>
          <t>JÖNKÖPINGS LÄN</t>
        </is>
      </c>
      <c r="G285" t="inlineStr">
        <is>
          <t>EKSJÖ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10926-2023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44991</v>
      </c>
      <c r="E286" s="1" t="n">
        <v>46242</v>
      </c>
      <c r="F286" t="inlineStr">
        <is>
          <t>JÖNKÖPINGS LÄN</t>
        </is>
      </c>
      <c r="G286" t="inlineStr">
        <is>
          <t>EKSJÖ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45364</v>
      </c>
      <c r="E287" s="1" t="n">
        <v>46242</v>
      </c>
      <c r="F287" t="inlineStr">
        <is>
          <t>JÖNKÖPINGS LÄN</t>
        </is>
      </c>
      <c r="G287" t="inlineStr">
        <is>
          <t>EKSJÖ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44945</v>
      </c>
      <c r="E288" s="1" t="n">
        <v>46242</v>
      </c>
      <c r="F288" t="inlineStr">
        <is>
          <t>JÖNKÖPINGS LÄN</t>
        </is>
      </c>
      <c r="G288" t="inlineStr">
        <is>
          <t>EKSJÖ</t>
        </is>
      </c>
      <c r="H288" t="inlineStr">
        <is>
          <t>Övriga Aktiebolag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46242</v>
      </c>
      <c r="F289" t="inlineStr">
        <is>
          <t>JÖNKÖPINGS LÄN</t>
        </is>
      </c>
      <c r="G289" t="inlineStr">
        <is>
          <t>EKSJÖ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46242</v>
      </c>
      <c r="F290" t="inlineStr">
        <is>
          <t>JÖNKÖPINGS LÄN</t>
        </is>
      </c>
      <c r="G290" t="inlineStr">
        <is>
          <t>EKSJÖ</t>
        </is>
      </c>
      <c r="H290" t="inlineStr">
        <is>
          <t>Övriga Aktiebolag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45338</v>
      </c>
      <c r="E291" s="1" t="n">
        <v>46242</v>
      </c>
      <c r="F291" t="inlineStr">
        <is>
          <t>JÖNKÖPINGS LÄN</t>
        </is>
      </c>
      <c r="G291" t="inlineStr">
        <is>
          <t>EKSJÖ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17387-2025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45757</v>
      </c>
      <c r="E292" s="1" t="n">
        <v>46242</v>
      </c>
      <c r="F292" t="inlineStr">
        <is>
          <t>JÖNKÖPINGS LÄN</t>
        </is>
      </c>
      <c r="G292" t="inlineStr">
        <is>
          <t>EKSJÖ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46242</v>
      </c>
      <c r="F293" t="inlineStr">
        <is>
          <t>JÖNKÖPINGS LÄN</t>
        </is>
      </c>
      <c r="G293" t="inlineStr">
        <is>
          <t>EKSJÖ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45222</v>
      </c>
      <c r="E294" s="1" t="n">
        <v>46242</v>
      </c>
      <c r="F294" t="inlineStr">
        <is>
          <t>JÖNKÖPINGS LÄN</t>
        </is>
      </c>
      <c r="G294" t="inlineStr">
        <is>
          <t>EKSJÖ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45391</v>
      </c>
      <c r="E295" s="1" t="n">
        <v>46242</v>
      </c>
      <c r="F295" t="inlineStr">
        <is>
          <t>JÖNKÖPINGS LÄN</t>
        </is>
      </c>
      <c r="G295" t="inlineStr">
        <is>
          <t>EKSJÖ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46242</v>
      </c>
      <c r="F296" t="inlineStr">
        <is>
          <t>JÖNKÖPINGS LÄN</t>
        </is>
      </c>
      <c r="G296" t="inlineStr">
        <is>
          <t>EKSJÖ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45334</v>
      </c>
      <c r="E297" s="1" t="n">
        <v>46242</v>
      </c>
      <c r="F297" t="inlineStr">
        <is>
          <t>JÖNKÖPINGS LÄN</t>
        </is>
      </c>
      <c r="G297" t="inlineStr">
        <is>
          <t>EKSJÖ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46242</v>
      </c>
      <c r="F298" t="inlineStr">
        <is>
          <t>JÖNKÖPINGS LÄN</t>
        </is>
      </c>
      <c r="G298" t="inlineStr">
        <is>
          <t>EKSJÖ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46242</v>
      </c>
      <c r="F299" t="inlineStr">
        <is>
          <t>JÖNKÖPINGS LÄN</t>
        </is>
      </c>
      <c r="G299" t="inlineStr">
        <is>
          <t>EKSJÖ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46242</v>
      </c>
      <c r="F300" t="inlineStr">
        <is>
          <t>JÖNKÖPINGS LÄN</t>
        </is>
      </c>
      <c r="G300" t="inlineStr">
        <is>
          <t>EKSJÖ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46242</v>
      </c>
      <c r="F301" t="inlineStr">
        <is>
          <t>JÖNKÖPINGS LÄN</t>
        </is>
      </c>
      <c r="G301" t="inlineStr">
        <is>
          <t>EKSJÖ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46242</v>
      </c>
      <c r="F302" t="inlineStr">
        <is>
          <t>JÖNKÖPINGS LÄN</t>
        </is>
      </c>
      <c r="G302" t="inlineStr">
        <is>
          <t>EKSJÖ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45334</v>
      </c>
      <c r="E303" s="1" t="n">
        <v>46242</v>
      </c>
      <c r="F303" t="inlineStr">
        <is>
          <t>JÖNKÖPINGS LÄN</t>
        </is>
      </c>
      <c r="G303" t="inlineStr">
        <is>
          <t>EKSJÖ</t>
        </is>
      </c>
      <c r="H303" t="inlineStr">
        <is>
          <t>Kommuner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46242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44746</v>
      </c>
      <c r="E305" s="1" t="n">
        <v>46242</v>
      </c>
      <c r="F305" t="inlineStr">
        <is>
          <t>JÖNKÖPINGS LÄN</t>
        </is>
      </c>
      <c r="G305" t="inlineStr">
        <is>
          <t>EKSJÖ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46242</v>
      </c>
      <c r="F306" t="inlineStr">
        <is>
          <t>JÖNKÖPINGS LÄN</t>
        </is>
      </c>
      <c r="G306" t="inlineStr">
        <is>
          <t>EKSJÖ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45195</v>
      </c>
      <c r="E307" s="1" t="n">
        <v>46242</v>
      </c>
      <c r="F307" t="inlineStr">
        <is>
          <t>JÖNKÖPINGS LÄN</t>
        </is>
      </c>
      <c r="G307" t="inlineStr">
        <is>
          <t>EKSJÖ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43100-2021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44431</v>
      </c>
      <c r="E308" s="1" t="n">
        <v>46242</v>
      </c>
      <c r="F308" t="inlineStr">
        <is>
          <t>JÖNKÖPINGS LÄN</t>
        </is>
      </c>
      <c r="G308" t="inlineStr">
        <is>
          <t>EKSJÖ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46242</v>
      </c>
      <c r="F309" t="inlineStr">
        <is>
          <t>JÖNKÖPINGS LÄN</t>
        </is>
      </c>
      <c r="G309" t="inlineStr">
        <is>
          <t>EKSJÖ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45071</v>
      </c>
      <c r="E310" s="1" t="n">
        <v>46242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46242</v>
      </c>
      <c r="F311" t="inlineStr">
        <is>
          <t>JÖNKÖPINGS LÄN</t>
        </is>
      </c>
      <c r="G311" t="inlineStr">
        <is>
          <t>EKSJÖ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46242</v>
      </c>
      <c r="F312" t="inlineStr">
        <is>
          <t>JÖNKÖPINGS LÄN</t>
        </is>
      </c>
      <c r="G312" t="inlineStr">
        <is>
          <t>EKSJÖ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46242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46242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46242</v>
      </c>
      <c r="F315" t="inlineStr">
        <is>
          <t>JÖNKÖPINGS LÄN</t>
        </is>
      </c>
      <c r="G315" t="inlineStr">
        <is>
          <t>EKSJÖ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41440-2024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45560</v>
      </c>
      <c r="E316" s="1" t="n">
        <v>46242</v>
      </c>
      <c r="F316" t="inlineStr">
        <is>
          <t>JÖNKÖPINGS LÄN</t>
        </is>
      </c>
      <c r="G316" t="inlineStr">
        <is>
          <t>EKSJÖ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45475</v>
      </c>
      <c r="E317" s="1" t="n">
        <v>46242</v>
      </c>
      <c r="F317" t="inlineStr">
        <is>
          <t>JÖNKÖPINGS LÄN</t>
        </is>
      </c>
      <c r="G317" t="inlineStr">
        <is>
          <t>EKSJÖ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46242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46242</v>
      </c>
      <c r="F319" t="inlineStr">
        <is>
          <t>JÖNKÖPINGS LÄN</t>
        </is>
      </c>
      <c r="G319" t="inlineStr">
        <is>
          <t>EKSJÖ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46242</v>
      </c>
      <c r="F320" t="inlineStr">
        <is>
          <t>JÖNKÖPINGS LÄN</t>
        </is>
      </c>
      <c r="G320" t="inlineStr">
        <is>
          <t>EKSJÖ</t>
        </is>
      </c>
      <c r="H320" t="inlineStr">
        <is>
          <t>Kommuner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46242</v>
      </c>
      <c r="F321" t="inlineStr">
        <is>
          <t>JÖNKÖPINGS LÄN</t>
        </is>
      </c>
      <c r="G321" t="inlineStr">
        <is>
          <t>EKSJÖ</t>
        </is>
      </c>
      <c r="H321" t="inlineStr">
        <is>
          <t>Övriga Aktiebolag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46242</v>
      </c>
      <c r="F322" t="inlineStr">
        <is>
          <t>JÖNKÖPINGS LÄN</t>
        </is>
      </c>
      <c r="G322" t="inlineStr">
        <is>
          <t>EKSJÖ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46242</v>
      </c>
      <c r="F323" t="inlineStr">
        <is>
          <t>JÖNKÖPINGS LÄN</t>
        </is>
      </c>
      <c r="G323" t="inlineStr">
        <is>
          <t>EKSJÖ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46242</v>
      </c>
      <c r="F324" t="inlineStr">
        <is>
          <t>JÖNKÖPINGS LÄN</t>
        </is>
      </c>
      <c r="G324" t="inlineStr">
        <is>
          <t>EKSJÖ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46242</v>
      </c>
      <c r="F325" t="inlineStr">
        <is>
          <t>JÖNKÖPINGS LÄN</t>
        </is>
      </c>
      <c r="G325" t="inlineStr">
        <is>
          <t>EKSJÖ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44987</v>
      </c>
      <c r="E326" s="1" t="n">
        <v>46242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44480</v>
      </c>
      <c r="E327" s="1" t="n">
        <v>46242</v>
      </c>
      <c r="F327" t="inlineStr">
        <is>
          <t>JÖNKÖPINGS LÄN</t>
        </is>
      </c>
      <c r="G327" t="inlineStr">
        <is>
          <t>EKSJÖ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46242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46242</v>
      </c>
      <c r="F329" t="inlineStr">
        <is>
          <t>JÖNKÖPINGS LÄN</t>
        </is>
      </c>
      <c r="G329" t="inlineStr">
        <is>
          <t>EKSJÖ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46242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45666</v>
      </c>
      <c r="E331" s="1" t="n">
        <v>46242</v>
      </c>
      <c r="F331" t="inlineStr">
        <is>
          <t>JÖNKÖPINGS LÄN</t>
        </is>
      </c>
      <c r="G331" t="inlineStr">
        <is>
          <t>EKSJÖ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46242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45991</v>
      </c>
      <c r="E333" s="1" t="n">
        <v>46242</v>
      </c>
      <c r="F333" t="inlineStr">
        <is>
          <t>JÖNKÖPINGS LÄN</t>
        </is>
      </c>
      <c r="G333" t="inlineStr">
        <is>
          <t>EKSJÖ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46242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11381-2022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44630</v>
      </c>
      <c r="E335" s="1" t="n">
        <v>46242</v>
      </c>
      <c r="F335" t="inlineStr">
        <is>
          <t>JÖNKÖPINGS LÄN</t>
        </is>
      </c>
      <c r="G335" t="inlineStr">
        <is>
          <t>EKSJÖ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64993-2023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45286</v>
      </c>
      <c r="E336" s="1" t="n">
        <v>46242</v>
      </c>
      <c r="F336" t="inlineStr">
        <is>
          <t>JÖNKÖPINGS LÄN</t>
        </is>
      </c>
      <c r="G336" t="inlineStr">
        <is>
          <t>EKSJÖ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45512</v>
      </c>
      <c r="E337" s="1" t="n">
        <v>46242</v>
      </c>
      <c r="F337" t="inlineStr">
        <is>
          <t>JÖNKÖPINGS LÄN</t>
        </is>
      </c>
      <c r="G337" t="inlineStr">
        <is>
          <t>EKSJÖ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46242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46242</v>
      </c>
      <c r="F339" t="inlineStr">
        <is>
          <t>JÖNKÖPINGS LÄN</t>
        </is>
      </c>
      <c r="G339" t="inlineStr">
        <is>
          <t>EKSJÖ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45839</v>
      </c>
      <c r="E340" s="1" t="n">
        <v>46242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12821-2024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45384</v>
      </c>
      <c r="E341" s="1" t="n">
        <v>46242</v>
      </c>
      <c r="F341" t="inlineStr">
        <is>
          <t>JÖNKÖPINGS LÄN</t>
        </is>
      </c>
      <c r="G341" t="inlineStr">
        <is>
          <t>EKSJÖ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46242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46242</v>
      </c>
      <c r="F343" t="inlineStr">
        <is>
          <t>JÖNKÖPINGS LÄN</t>
        </is>
      </c>
      <c r="G343" t="inlineStr">
        <is>
          <t>EKSJÖ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46242</v>
      </c>
      <c r="F344" t="inlineStr">
        <is>
          <t>JÖNKÖPINGS LÄN</t>
        </is>
      </c>
      <c r="G344" t="inlineStr">
        <is>
          <t>EKSJÖ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45628</v>
      </c>
      <c r="E345" s="1" t="n">
        <v>46242</v>
      </c>
      <c r="F345" t="inlineStr">
        <is>
          <t>JÖNKÖPINGS LÄN</t>
        </is>
      </c>
      <c r="G345" t="inlineStr">
        <is>
          <t>EKSJÖ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62958-2025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46242</v>
      </c>
      <c r="F346" t="inlineStr">
        <is>
          <t>JÖNKÖPINGS LÄN</t>
        </is>
      </c>
      <c r="G346" t="inlineStr">
        <is>
          <t>EKSJÖ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45315</v>
      </c>
      <c r="E347" s="1" t="n">
        <v>46242</v>
      </c>
      <c r="F347" t="inlineStr">
        <is>
          <t>JÖNKÖPINGS LÄN</t>
        </is>
      </c>
      <c r="G347" t="inlineStr">
        <is>
          <t>EKSJÖ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41016-2023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45173</v>
      </c>
      <c r="E348" s="1" t="n">
        <v>46242</v>
      </c>
      <c r="F348" t="inlineStr">
        <is>
          <t>JÖNKÖPINGS LÄN</t>
        </is>
      </c>
      <c r="G348" t="inlineStr">
        <is>
          <t>EKSJÖ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46242</v>
      </c>
      <c r="F349" t="inlineStr">
        <is>
          <t>JÖNKÖPINGS LÄN</t>
        </is>
      </c>
      <c r="G349" t="inlineStr">
        <is>
          <t>EKSJÖ</t>
        </is>
      </c>
      <c r="H349" t="inlineStr">
        <is>
          <t>Kommuner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45513</v>
      </c>
      <c r="E350" s="1" t="n">
        <v>46242</v>
      </c>
      <c r="F350" t="inlineStr">
        <is>
          <t>JÖNKÖPINGS LÄN</t>
        </is>
      </c>
      <c r="G350" t="inlineStr">
        <is>
          <t>EKSJÖ</t>
        </is>
      </c>
      <c r="H350" t="inlineStr">
        <is>
          <t>Kyrkan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46242</v>
      </c>
      <c r="F351" t="inlineStr">
        <is>
          <t>JÖNKÖPINGS LÄN</t>
        </is>
      </c>
      <c r="G351" t="inlineStr">
        <is>
          <t>EKSJÖ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45706</v>
      </c>
      <c r="E352" s="1" t="n">
        <v>46242</v>
      </c>
      <c r="F352" t="inlineStr">
        <is>
          <t>JÖNKÖPINGS LÄN</t>
        </is>
      </c>
      <c r="G352" t="inlineStr">
        <is>
          <t>EKSJÖ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46013</v>
      </c>
      <c r="E353" s="1" t="n">
        <v>46242</v>
      </c>
      <c r="F353" t="inlineStr">
        <is>
          <t>JÖNKÖPINGS LÄN</t>
        </is>
      </c>
      <c r="G353" t="inlineStr">
        <is>
          <t>EKSJÖ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46242</v>
      </c>
      <c r="F354" t="inlineStr">
        <is>
          <t>JÖNKÖPINGS LÄN</t>
        </is>
      </c>
      <c r="G354" t="inlineStr">
        <is>
          <t>EKSJÖ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46013</v>
      </c>
      <c r="E355" s="1" t="n">
        <v>46242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46014</v>
      </c>
      <c r="E356" s="1" t="n">
        <v>46242</v>
      </c>
      <c r="F356" t="inlineStr">
        <is>
          <t>JÖNKÖPINGS LÄN</t>
        </is>
      </c>
      <c r="G356" t="inlineStr">
        <is>
          <t>EKSJÖ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46242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45841</v>
      </c>
      <c r="E358" s="1" t="n">
        <v>46242</v>
      </c>
      <c r="F358" t="inlineStr">
        <is>
          <t>JÖNKÖPINGS LÄN</t>
        </is>
      </c>
      <c r="G358" t="inlineStr">
        <is>
          <t>EKSJÖ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45251</v>
      </c>
      <c r="E359" s="1" t="n">
        <v>46242</v>
      </c>
      <c r="F359" t="inlineStr">
        <is>
          <t>JÖNKÖPINGS LÄN</t>
        </is>
      </c>
      <c r="G359" t="inlineStr">
        <is>
          <t>EKSJÖ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50516-2025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46242</v>
      </c>
      <c r="F360" t="inlineStr">
        <is>
          <t>JÖNKÖPINGS LÄN</t>
        </is>
      </c>
      <c r="G360" t="inlineStr">
        <is>
          <t>EKSJÖ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65554-2021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44516</v>
      </c>
      <c r="E361" s="1" t="n">
        <v>46242</v>
      </c>
      <c r="F361" t="inlineStr">
        <is>
          <t>JÖNKÖPINGS LÄN</t>
        </is>
      </c>
      <c r="G361" t="inlineStr">
        <is>
          <t>EKSJÖ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45370-2024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45576</v>
      </c>
      <c r="E362" s="1" t="n">
        <v>46242</v>
      </c>
      <c r="F362" t="inlineStr">
        <is>
          <t>JÖNKÖPINGS LÄN</t>
        </is>
      </c>
      <c r="G362" t="inlineStr">
        <is>
          <t>EKSJÖ</t>
        </is>
      </c>
      <c r="H362" t="inlineStr">
        <is>
          <t>Övriga Aktiebolag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61913-2022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46242</v>
      </c>
      <c r="F363" t="inlineStr">
        <is>
          <t>JÖNKÖPINGS LÄN</t>
        </is>
      </c>
      <c r="G363" t="inlineStr">
        <is>
          <t>EKSJÖ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46012-2022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44846</v>
      </c>
      <c r="E364" s="1" t="n">
        <v>46242</v>
      </c>
      <c r="F364" t="inlineStr">
        <is>
          <t>JÖNKÖPINGS LÄN</t>
        </is>
      </c>
      <c r="G364" t="inlineStr">
        <is>
          <t>EKSJÖ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46242</v>
      </c>
      <c r="F365" t="inlineStr">
        <is>
          <t>JÖNKÖPINGS LÄN</t>
        </is>
      </c>
      <c r="G365" t="inlineStr">
        <is>
          <t>EKSJÖ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44991</v>
      </c>
      <c r="E366" s="1" t="n">
        <v>46242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46242</v>
      </c>
      <c r="F367" t="inlineStr">
        <is>
          <t>JÖNKÖPINGS LÄN</t>
        </is>
      </c>
      <c r="G367" t="inlineStr">
        <is>
          <t>EKSJÖ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34124-2025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45845</v>
      </c>
      <c r="E368" s="1" t="n">
        <v>46242</v>
      </c>
      <c r="F368" t="inlineStr">
        <is>
          <t>JÖNKÖPINGS LÄN</t>
        </is>
      </c>
      <c r="G368" t="inlineStr">
        <is>
          <t>EKSJÖ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46242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45842</v>
      </c>
      <c r="E370" s="1" t="n">
        <v>46242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44925</v>
      </c>
      <c r="E371" s="1" t="n">
        <v>46242</v>
      </c>
      <c r="F371" t="inlineStr">
        <is>
          <t>JÖNKÖPINGS LÄN</t>
        </is>
      </c>
      <c r="G371" t="inlineStr">
        <is>
          <t>EKSJÖ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46242</v>
      </c>
      <c r="F372" t="inlineStr">
        <is>
          <t>JÖNKÖPINGS LÄN</t>
        </is>
      </c>
      <c r="G372" t="inlineStr">
        <is>
          <t>EKSJÖ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31307-2023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45114</v>
      </c>
      <c r="E373" s="1" t="n">
        <v>46242</v>
      </c>
      <c r="F373" t="inlineStr">
        <is>
          <t>JÖNKÖPINGS LÄN</t>
        </is>
      </c>
      <c r="G373" t="inlineStr">
        <is>
          <t>EKSJÖ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45402</v>
      </c>
      <c r="E374" s="1" t="n">
        <v>46242</v>
      </c>
      <c r="F374" t="inlineStr">
        <is>
          <t>JÖNKÖPINGS LÄN</t>
        </is>
      </c>
      <c r="G374" t="inlineStr">
        <is>
          <t>EKSJÖ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46242</v>
      </c>
      <c r="F375" t="inlineStr">
        <is>
          <t>JÖNKÖPINGS LÄN</t>
        </is>
      </c>
      <c r="G375" t="inlineStr">
        <is>
          <t>EKSJÖ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41739-2023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45176</v>
      </c>
      <c r="E376" s="1" t="n">
        <v>46242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45314</v>
      </c>
      <c r="E377" s="1" t="n">
        <v>46242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46242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45785</v>
      </c>
      <c r="E379" s="1" t="n">
        <v>46242</v>
      </c>
      <c r="F379" t="inlineStr">
        <is>
          <t>JÖNKÖPINGS LÄN</t>
        </is>
      </c>
      <c r="G379" t="inlineStr">
        <is>
          <t>EKSJÖ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46242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46242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46242</v>
      </c>
      <c r="F382" t="inlineStr">
        <is>
          <t>JÖNKÖPINGS LÄN</t>
        </is>
      </c>
      <c r="G382" t="inlineStr">
        <is>
          <t>EKSJÖ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46242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45197</v>
      </c>
      <c r="E384" s="1" t="n">
        <v>46242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45659</v>
      </c>
      <c r="E385" s="1" t="n">
        <v>46242</v>
      </c>
      <c r="F385" t="inlineStr">
        <is>
          <t>JÖNKÖPINGS LÄN</t>
        </is>
      </c>
      <c r="G385" t="inlineStr">
        <is>
          <t>EKSJÖ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34772-2023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45141</v>
      </c>
      <c r="E386" s="1" t="n">
        <v>46242</v>
      </c>
      <c r="F386" t="inlineStr">
        <is>
          <t>JÖNKÖPINGS LÄN</t>
        </is>
      </c>
      <c r="G386" t="inlineStr">
        <is>
          <t>EKSJÖ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45461</v>
      </c>
      <c r="E387" s="1" t="n">
        <v>46242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45860</v>
      </c>
      <c r="E388" s="1" t="n">
        <v>46242</v>
      </c>
      <c r="F388" t="inlineStr">
        <is>
          <t>JÖNKÖPINGS LÄN</t>
        </is>
      </c>
      <c r="G388" t="inlineStr">
        <is>
          <t>EKSJÖ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45860</v>
      </c>
      <c r="E389" s="1" t="n">
        <v>46242</v>
      </c>
      <c r="F389" t="inlineStr">
        <is>
          <t>JÖNKÖPINGS LÄN</t>
        </is>
      </c>
      <c r="G389" t="inlineStr">
        <is>
          <t>EKSJÖ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46242</v>
      </c>
      <c r="F390" t="inlineStr">
        <is>
          <t>JÖNKÖPINGS LÄN</t>
        </is>
      </c>
      <c r="G390" t="inlineStr">
        <is>
          <t>EKSJÖ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46013</v>
      </c>
      <c r="E391" s="1" t="n">
        <v>46242</v>
      </c>
      <c r="F391" t="inlineStr">
        <is>
          <t>JÖNKÖPINGS LÄN</t>
        </is>
      </c>
      <c r="G391" t="inlineStr">
        <is>
          <t>EKSJÖ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45866</v>
      </c>
      <c r="E392" s="1" t="n">
        <v>46242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45232</v>
      </c>
      <c r="E393" s="1" t="n">
        <v>46242</v>
      </c>
      <c r="F393" t="inlineStr">
        <is>
          <t>JÖNKÖPINGS LÄN</t>
        </is>
      </c>
      <c r="G393" t="inlineStr">
        <is>
          <t>EKSJÖ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45175</v>
      </c>
      <c r="E394" s="1" t="n">
        <v>46242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45086</v>
      </c>
      <c r="E395" s="1" t="n">
        <v>46242</v>
      </c>
      <c r="F395" t="inlineStr">
        <is>
          <t>JÖNKÖPINGS LÄN</t>
        </is>
      </c>
      <c r="G395" t="inlineStr">
        <is>
          <t>EKSJÖ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46242</v>
      </c>
      <c r="F396" t="inlineStr">
        <is>
          <t>JÖNKÖPINGS LÄN</t>
        </is>
      </c>
      <c r="G396" t="inlineStr">
        <is>
          <t>EKSJÖ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46242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46242</v>
      </c>
      <c r="F398" t="inlineStr">
        <is>
          <t>JÖNKÖPINGS LÄN</t>
        </is>
      </c>
      <c r="G398" t="inlineStr">
        <is>
          <t>EKSJÖ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60920-2025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45996</v>
      </c>
      <c r="E399" s="1" t="n">
        <v>46242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46242</v>
      </c>
      <c r="F400" t="inlineStr">
        <is>
          <t>JÖNKÖPINGS LÄN</t>
        </is>
      </c>
      <c r="G400" t="inlineStr">
        <is>
          <t>EKSJÖ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46242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46242</v>
      </c>
      <c r="F402" t="inlineStr">
        <is>
          <t>JÖNKÖPINGS LÄN</t>
        </is>
      </c>
      <c r="G402" t="inlineStr">
        <is>
          <t>EKSJÖ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36070-2024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45533</v>
      </c>
      <c r="E403" s="1" t="n">
        <v>46242</v>
      </c>
      <c r="F403" t="inlineStr">
        <is>
          <t>JÖNKÖPINGS LÄN</t>
        </is>
      </c>
      <c r="G403" t="inlineStr">
        <is>
          <t>EKSJÖ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44783</v>
      </c>
      <c r="E404" s="1" t="n">
        <v>46242</v>
      </c>
      <c r="F404" t="inlineStr">
        <is>
          <t>JÖNKÖPINGS LÄN</t>
        </is>
      </c>
      <c r="G404" t="inlineStr">
        <is>
          <t>EKSJÖ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46242</v>
      </c>
      <c r="F405" t="inlineStr">
        <is>
          <t>JÖNKÖPINGS LÄN</t>
        </is>
      </c>
      <c r="G405" t="inlineStr">
        <is>
          <t>EKSJÖ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46242</v>
      </c>
      <c r="F406" t="inlineStr">
        <is>
          <t>JÖNKÖPINGS LÄN</t>
        </is>
      </c>
      <c r="G406" t="inlineStr">
        <is>
          <t>EKSJÖ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46242</v>
      </c>
      <c r="F407" t="inlineStr">
        <is>
          <t>JÖNKÖPINGS LÄN</t>
        </is>
      </c>
      <c r="G407" t="inlineStr">
        <is>
          <t>EKSJÖ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46242</v>
      </c>
      <c r="F408" t="inlineStr">
        <is>
          <t>JÖNKÖPINGS LÄN</t>
        </is>
      </c>
      <c r="G408" t="inlineStr">
        <is>
          <t>EKSJÖ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46242</v>
      </c>
      <c r="F409" t="inlineStr">
        <is>
          <t>JÖNKÖPINGS LÄN</t>
        </is>
      </c>
      <c r="G409" t="inlineStr">
        <is>
          <t>EKSJÖ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46242</v>
      </c>
      <c r="F410" t="inlineStr">
        <is>
          <t>JÖNKÖPINGS LÄN</t>
        </is>
      </c>
      <c r="G410" t="inlineStr">
        <is>
          <t>EKSJÖ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45054</v>
      </c>
      <c r="E411" s="1" t="n">
        <v>46242</v>
      </c>
      <c r="F411" t="inlineStr">
        <is>
          <t>JÖNKÖPINGS LÄN</t>
        </is>
      </c>
      <c r="G411" t="inlineStr">
        <is>
          <t>EKSJÖ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56805-2024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45628</v>
      </c>
      <c r="E412" s="1" t="n">
        <v>46242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46242</v>
      </c>
      <c r="F413" t="inlineStr">
        <is>
          <t>JÖNKÖPINGS LÄN</t>
        </is>
      </c>
      <c r="G413" t="inlineStr">
        <is>
          <t>EKSJÖ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26706-2022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44739</v>
      </c>
      <c r="E414" s="1" t="n">
        <v>46242</v>
      </c>
      <c r="F414" t="inlineStr">
        <is>
          <t>JÖNKÖPINGS LÄN</t>
        </is>
      </c>
      <c r="G414" t="inlineStr">
        <is>
          <t>EKSJÖ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30931-2023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45113</v>
      </c>
      <c r="E415" s="1" t="n">
        <v>46242</v>
      </c>
      <c r="F415" t="inlineStr">
        <is>
          <t>JÖNKÖPINGS LÄN</t>
        </is>
      </c>
      <c r="G415" t="inlineStr">
        <is>
          <t>EKSJÖ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46242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34021-2024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45523</v>
      </c>
      <c r="E417" s="1" t="n">
        <v>46242</v>
      </c>
      <c r="F417" t="inlineStr">
        <is>
          <t>JÖNKÖPINGS LÄN</t>
        </is>
      </c>
      <c r="G417" t="inlineStr">
        <is>
          <t>EKSJÖ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46242</v>
      </c>
      <c r="F418" t="inlineStr">
        <is>
          <t>JÖNKÖPINGS LÄN</t>
        </is>
      </c>
      <c r="G418" t="inlineStr">
        <is>
          <t>EKSJÖ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46209</v>
      </c>
      <c r="E419" s="1" t="n">
        <v>46242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50287-2024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45600</v>
      </c>
      <c r="E420" s="1" t="n">
        <v>46242</v>
      </c>
      <c r="F420" t="inlineStr">
        <is>
          <t>JÖNKÖPINGS LÄN</t>
        </is>
      </c>
      <c r="G420" t="inlineStr">
        <is>
          <t>EKSJÖ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46242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46242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36042-2024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45533</v>
      </c>
      <c r="E423" s="1" t="n">
        <v>46242</v>
      </c>
      <c r="F423" t="inlineStr">
        <is>
          <t>JÖNKÖPINGS LÄN</t>
        </is>
      </c>
      <c r="G423" t="inlineStr">
        <is>
          <t>EKSJÖ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19468-2023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45049</v>
      </c>
      <c r="E424" s="1" t="n">
        <v>46242</v>
      </c>
      <c r="F424" t="inlineStr">
        <is>
          <t>JÖNKÖPINGS LÄN</t>
        </is>
      </c>
      <c r="G424" t="inlineStr">
        <is>
          <t>EKSJÖ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36853-2025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45874</v>
      </c>
      <c r="E425" s="1" t="n">
        <v>46242</v>
      </c>
      <c r="F425" t="inlineStr">
        <is>
          <t>JÖNKÖPINGS LÄN</t>
        </is>
      </c>
      <c r="G425" t="inlineStr">
        <is>
          <t>EKSJÖ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47390-2022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46242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9283-2025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45714</v>
      </c>
      <c r="E427" s="1" t="n">
        <v>46242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45714</v>
      </c>
      <c r="E428" s="1" t="n">
        <v>46242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44925</v>
      </c>
      <c r="E429" s="1" t="n">
        <v>46242</v>
      </c>
      <c r="F429" t="inlineStr">
        <is>
          <t>JÖNKÖPINGS LÄN</t>
        </is>
      </c>
      <c r="G429" t="inlineStr">
        <is>
          <t>EKSJÖ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45875</v>
      </c>
      <c r="E430" s="1" t="n">
        <v>46242</v>
      </c>
      <c r="F430" t="inlineStr">
        <is>
          <t>JÖNKÖPINGS LÄN</t>
        </is>
      </c>
      <c r="G430" t="inlineStr">
        <is>
          <t>EKSJÖ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45212</v>
      </c>
      <c r="E431" s="1" t="n">
        <v>46242</v>
      </c>
      <c r="F431" t="inlineStr">
        <is>
          <t>JÖNKÖPINGS LÄN</t>
        </is>
      </c>
      <c r="G431" t="inlineStr">
        <is>
          <t>EKSJÖ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45875</v>
      </c>
      <c r="E432" s="1" t="n">
        <v>46242</v>
      </c>
      <c r="F432" t="inlineStr">
        <is>
          <t>JÖNKÖPINGS LÄN</t>
        </is>
      </c>
      <c r="G432" t="inlineStr">
        <is>
          <t>EKSJÖ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46242</v>
      </c>
      <c r="F433" t="inlineStr">
        <is>
          <t>JÖNKÖPINGS LÄN</t>
        </is>
      </c>
      <c r="G433" t="inlineStr">
        <is>
          <t>EKSJÖ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45877</v>
      </c>
      <c r="E434" s="1" t="n">
        <v>46242</v>
      </c>
      <c r="F434" t="inlineStr">
        <is>
          <t>JÖNKÖPINGS LÄN</t>
        </is>
      </c>
      <c r="G434" t="inlineStr">
        <is>
          <t>EKSJÖ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46242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46242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44685</v>
      </c>
      <c r="E437" s="1" t="n">
        <v>46242</v>
      </c>
      <c r="F437" t="inlineStr">
        <is>
          <t>JÖNKÖPINGS LÄN</t>
        </is>
      </c>
      <c r="G437" t="inlineStr">
        <is>
          <t>EKSJÖ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46019-2022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46242</v>
      </c>
      <c r="F438" t="inlineStr">
        <is>
          <t>JÖNKÖPINGS LÄN</t>
        </is>
      </c>
      <c r="G438" t="inlineStr">
        <is>
          <t>EKSJÖ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46242</v>
      </c>
      <c r="F439" t="inlineStr">
        <is>
          <t>JÖNKÖPINGS LÄN</t>
        </is>
      </c>
      <c r="G439" t="inlineStr">
        <is>
          <t>EKSJÖ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33971-2025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45842</v>
      </c>
      <c r="E440" s="1" t="n">
        <v>46242</v>
      </c>
      <c r="F440" t="inlineStr">
        <is>
          <t>JÖNKÖPINGS LÄN</t>
        </is>
      </c>
      <c r="G440" t="inlineStr">
        <is>
          <t>EKSJÖ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18062-2024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45420</v>
      </c>
      <c r="E441" s="1" t="n">
        <v>46242</v>
      </c>
      <c r="F441" t="inlineStr">
        <is>
          <t>JÖNKÖPINGS LÄN</t>
        </is>
      </c>
      <c r="G441" t="inlineStr">
        <is>
          <t>EKSJÖ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18695-2024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45426</v>
      </c>
      <c r="E442" s="1" t="n">
        <v>46242</v>
      </c>
      <c r="F442" t="inlineStr">
        <is>
          <t>JÖNKÖPINGS LÄN</t>
        </is>
      </c>
      <c r="G442" t="inlineStr">
        <is>
          <t>EKSJÖ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36355-2022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46242</v>
      </c>
      <c r="F443" t="inlineStr">
        <is>
          <t>JÖNKÖPINGS LÄN</t>
        </is>
      </c>
      <c r="G443" t="inlineStr">
        <is>
          <t>EKSJÖ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45251</v>
      </c>
      <c r="E444" s="1" t="n">
        <v>46242</v>
      </c>
      <c r="F444" t="inlineStr">
        <is>
          <t>JÖNKÖPINGS LÄN</t>
        </is>
      </c>
      <c r="G444" t="inlineStr">
        <is>
          <t>EKSJÖ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46242</v>
      </c>
      <c r="F445" t="inlineStr">
        <is>
          <t>JÖNKÖPINGS LÄN</t>
        </is>
      </c>
      <c r="G445" t="inlineStr">
        <is>
          <t>EKSJÖ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45677</v>
      </c>
      <c r="E446" s="1" t="n">
        <v>46242</v>
      </c>
      <c r="F446" t="inlineStr">
        <is>
          <t>JÖNKÖPINGS LÄN</t>
        </is>
      </c>
      <c r="G446" t="inlineStr">
        <is>
          <t>EKSJÖ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46242</v>
      </c>
      <c r="F447" t="inlineStr">
        <is>
          <t>JÖNKÖPINGS LÄN</t>
        </is>
      </c>
      <c r="G447" t="inlineStr">
        <is>
          <t>EKSJÖ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46242</v>
      </c>
      <c r="F448" t="inlineStr">
        <is>
          <t>JÖNKÖPINGS LÄN</t>
        </is>
      </c>
      <c r="G448" t="inlineStr">
        <is>
          <t>EKSJÖ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44974</v>
      </c>
      <c r="E449" s="1" t="n">
        <v>46242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46242</v>
      </c>
      <c r="F450" t="inlineStr">
        <is>
          <t>JÖNKÖPINGS LÄN</t>
        </is>
      </c>
      <c r="G450" t="inlineStr">
        <is>
          <t>EKSJÖ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54292-2023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45232</v>
      </c>
      <c r="E451" s="1" t="n">
        <v>46242</v>
      </c>
      <c r="F451" t="inlineStr">
        <is>
          <t>JÖNKÖPINGS LÄN</t>
        </is>
      </c>
      <c r="G451" t="inlineStr">
        <is>
          <t>EKSJÖ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56322-2021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44477</v>
      </c>
      <c r="E452" s="1" t="n">
        <v>46242</v>
      </c>
      <c r="F452" t="inlineStr">
        <is>
          <t>JÖNKÖPINGS LÄN</t>
        </is>
      </c>
      <c r="G452" t="inlineStr">
        <is>
          <t>EKSJÖ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46242</v>
      </c>
      <c r="F453" t="inlineStr">
        <is>
          <t>JÖNKÖPINGS LÄN</t>
        </is>
      </c>
      <c r="G453" t="inlineStr">
        <is>
          <t>EKSJÖ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46242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44846</v>
      </c>
      <c r="E455" s="1" t="n">
        <v>46242</v>
      </c>
      <c r="F455" t="inlineStr">
        <is>
          <t>JÖNKÖPINGS LÄN</t>
        </is>
      </c>
      <c r="G455" t="inlineStr">
        <is>
          <t>EKSJÖ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46014-2022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44846</v>
      </c>
      <c r="E456" s="1" t="n">
        <v>46242</v>
      </c>
      <c r="F456" t="inlineStr">
        <is>
          <t>JÖNKÖPINGS LÄN</t>
        </is>
      </c>
      <c r="G456" t="inlineStr">
        <is>
          <t>EKSJÖ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45468</v>
      </c>
      <c r="E457" s="1" t="n">
        <v>46242</v>
      </c>
      <c r="F457" t="inlineStr">
        <is>
          <t>JÖNKÖPINGS LÄN</t>
        </is>
      </c>
      <c r="G457" t="inlineStr">
        <is>
          <t>EKSJÖ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44713</v>
      </c>
      <c r="E458" s="1" t="n">
        <v>46242</v>
      </c>
      <c r="F458" t="inlineStr">
        <is>
          <t>JÖNKÖPINGS LÄN</t>
        </is>
      </c>
      <c r="G458" t="inlineStr">
        <is>
          <t>EKSJÖ</t>
        </is>
      </c>
      <c r="H458" t="inlineStr">
        <is>
          <t>Kyrkan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45308</v>
      </c>
      <c r="E459" s="1" t="n">
        <v>46242</v>
      </c>
      <c r="F459" t="inlineStr">
        <is>
          <t>JÖNKÖPINGS LÄN</t>
        </is>
      </c>
      <c r="G459" t="inlineStr">
        <is>
          <t>EKSJÖ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49403-2021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44454</v>
      </c>
      <c r="E460" s="1" t="n">
        <v>46242</v>
      </c>
      <c r="F460" t="inlineStr">
        <is>
          <t>JÖNKÖPINGS LÄN</t>
        </is>
      </c>
      <c r="G460" t="inlineStr">
        <is>
          <t>EKSJÖ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10972-2025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45723</v>
      </c>
      <c r="E461" s="1" t="n">
        <v>46242</v>
      </c>
      <c r="F461" t="inlineStr">
        <is>
          <t>JÖNKÖPINGS LÄN</t>
        </is>
      </c>
      <c r="G461" t="inlineStr">
        <is>
          <t>EKSJÖ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46242</v>
      </c>
      <c r="F462" t="inlineStr">
        <is>
          <t>JÖNKÖPINGS LÄN</t>
        </is>
      </c>
      <c r="G462" t="inlineStr">
        <is>
          <t>EKSJÖ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46242</v>
      </c>
      <c r="F463" t="inlineStr">
        <is>
          <t>JÖNKÖPINGS LÄN</t>
        </is>
      </c>
      <c r="G463" t="inlineStr">
        <is>
          <t>EKSJÖ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46212</v>
      </c>
      <c r="E464" s="1" t="n">
        <v>46242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45154</v>
      </c>
      <c r="E465" s="1" t="n">
        <v>46242</v>
      </c>
      <c r="F465" t="inlineStr">
        <is>
          <t>JÖNKÖPINGS LÄN</t>
        </is>
      </c>
      <c r="G465" t="inlineStr">
        <is>
          <t>EKSJÖ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46242</v>
      </c>
      <c r="F466" t="inlineStr">
        <is>
          <t>JÖNKÖPINGS LÄN</t>
        </is>
      </c>
      <c r="G466" t="inlineStr">
        <is>
          <t>EKSJÖ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26179-2026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46182</v>
      </c>
      <c r="E467" s="1" t="n">
        <v>46242</v>
      </c>
      <c r="F467" t="inlineStr">
        <is>
          <t>JÖNKÖPINGS LÄN</t>
        </is>
      </c>
      <c r="G467" t="inlineStr">
        <is>
          <t>EKSJÖ</t>
        </is>
      </c>
      <c r="H467" t="inlineStr">
        <is>
          <t>Kyrkan</t>
        </is>
      </c>
      <c r="I467" t="n">
        <v>15.2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44908</v>
      </c>
      <c r="E468" s="1" t="n">
        <v>46242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46183</v>
      </c>
      <c r="E469" s="1" t="n">
        <v>46242</v>
      </c>
      <c r="F469" t="inlineStr">
        <is>
          <t>JÖNKÖPINGS LÄN</t>
        </is>
      </c>
      <c r="G469" t="inlineStr">
        <is>
          <t>EKSJÖ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46184</v>
      </c>
      <c r="E470" s="1" t="n">
        <v>46242</v>
      </c>
      <c r="F470" t="inlineStr">
        <is>
          <t>JÖNKÖPINGS LÄN</t>
        </is>
      </c>
      <c r="G470" t="inlineStr">
        <is>
          <t>EKSJÖ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9058-2022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44615</v>
      </c>
      <c r="E471" s="1" t="n">
        <v>46242</v>
      </c>
      <c r="F471" t="inlineStr">
        <is>
          <t>JÖNKÖPINGS LÄN</t>
        </is>
      </c>
      <c r="G471" t="inlineStr">
        <is>
          <t>EKSJÖ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46242</v>
      </c>
      <c r="F472" t="inlineStr">
        <is>
          <t>JÖNKÖPINGS LÄN</t>
        </is>
      </c>
      <c r="G472" t="inlineStr">
        <is>
          <t>EKSJÖ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46242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46242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44909</v>
      </c>
      <c r="E475" s="1" t="n">
        <v>46242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53053-2021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44467</v>
      </c>
      <c r="E476" s="1" t="n">
        <v>46242</v>
      </c>
      <c r="F476" t="inlineStr">
        <is>
          <t>JÖNKÖPINGS LÄN</t>
        </is>
      </c>
      <c r="G476" t="inlineStr">
        <is>
          <t>EKSJÖ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45161</v>
      </c>
      <c r="E477" s="1" t="n">
        <v>46242</v>
      </c>
      <c r="F477" t="inlineStr">
        <is>
          <t>JÖNKÖPINGS LÄN</t>
        </is>
      </c>
      <c r="G477" t="inlineStr">
        <is>
          <t>EKSJÖ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46242</v>
      </c>
      <c r="F478" t="inlineStr">
        <is>
          <t>JÖNKÖPINGS LÄN</t>
        </is>
      </c>
      <c r="G478" t="inlineStr">
        <is>
          <t>EKSJÖ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46242</v>
      </c>
      <c r="F479" t="inlineStr">
        <is>
          <t>JÖNKÖPINGS LÄN</t>
        </is>
      </c>
      <c r="G479" t="inlineStr">
        <is>
          <t>EKSJÖ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45224</v>
      </c>
      <c r="E480" s="1" t="n">
        <v>46242</v>
      </c>
      <c r="F480" t="inlineStr">
        <is>
          <t>JÖNKÖPINGS LÄN</t>
        </is>
      </c>
      <c r="G480" t="inlineStr">
        <is>
          <t>EKSJÖ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56689-2021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44481</v>
      </c>
      <c r="E481" s="1" t="n">
        <v>46242</v>
      </c>
      <c r="F481" t="inlineStr">
        <is>
          <t>JÖNKÖPINGS LÄN</t>
        </is>
      </c>
      <c r="G481" t="inlineStr">
        <is>
          <t>EKSJÖ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36873-2023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45154</v>
      </c>
      <c r="E482" s="1" t="n">
        <v>46242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46242</v>
      </c>
      <c r="F483" t="inlineStr">
        <is>
          <t>JÖNKÖPINGS LÄN</t>
        </is>
      </c>
      <c r="G483" t="inlineStr">
        <is>
          <t>EKSJÖ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45719</v>
      </c>
      <c r="E484" s="1" t="n">
        <v>46242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46242</v>
      </c>
      <c r="F485" t="inlineStr">
        <is>
          <t>JÖNKÖPINGS LÄN</t>
        </is>
      </c>
      <c r="G485" t="inlineStr">
        <is>
          <t>EKSJÖ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46242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45741</v>
      </c>
      <c r="E487" s="1" t="n">
        <v>46242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46242</v>
      </c>
      <c r="F488" t="inlineStr">
        <is>
          <t>JÖNKÖPINGS LÄN</t>
        </is>
      </c>
      <c r="G488" t="inlineStr">
        <is>
          <t>EKSJÖ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45649</v>
      </c>
      <c r="E489" s="1" t="n">
        <v>46242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46242</v>
      </c>
      <c r="F490" t="inlineStr">
        <is>
          <t>JÖNKÖPINGS LÄN</t>
        </is>
      </c>
      <c r="G490" t="inlineStr">
        <is>
          <t>EKSJÖ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46242</v>
      </c>
      <c r="F491" t="inlineStr">
        <is>
          <t>JÖNKÖPINGS LÄN</t>
        </is>
      </c>
      <c r="G491" t="inlineStr">
        <is>
          <t>EKSJÖ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28624-2026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46242</v>
      </c>
      <c r="F492" t="inlineStr">
        <is>
          <t>JÖNKÖPINGS LÄN</t>
        </is>
      </c>
      <c r="G492" t="inlineStr">
        <is>
          <t>EKSJÖ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45236</v>
      </c>
      <c r="E493" s="1" t="n">
        <v>46242</v>
      </c>
      <c r="F493" t="inlineStr">
        <is>
          <t>JÖNKÖPINGS LÄN</t>
        </is>
      </c>
      <c r="G493" t="inlineStr">
        <is>
          <t>EKSJÖ</t>
        </is>
      </c>
      <c r="H493" t="inlineStr">
        <is>
          <t>Övriga Aktiebolag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36505-2024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45537</v>
      </c>
      <c r="E494" s="1" t="n">
        <v>46242</v>
      </c>
      <c r="F494" t="inlineStr">
        <is>
          <t>JÖNKÖPINGS LÄN</t>
        </is>
      </c>
      <c r="G494" t="inlineStr">
        <is>
          <t>EKSJÖ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46242</v>
      </c>
      <c r="F495" t="inlineStr">
        <is>
          <t>JÖNKÖPINGS LÄN</t>
        </is>
      </c>
      <c r="G495" t="inlineStr">
        <is>
          <t>EKSJÖ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63959-2023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46242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28402-2026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46197</v>
      </c>
      <c r="E497" s="1" t="n">
        <v>46242</v>
      </c>
      <c r="F497" t="inlineStr">
        <is>
          <t>JÖNKÖPINGS LÄN</t>
        </is>
      </c>
      <c r="G497" t="inlineStr">
        <is>
          <t>EKSJÖ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46242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46242</v>
      </c>
      <c r="F499" t="inlineStr">
        <is>
          <t>JÖNKÖPINGS LÄN</t>
        </is>
      </c>
      <c r="G499" t="inlineStr">
        <is>
          <t>EKSJÖ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44966</v>
      </c>
      <c r="E500" s="1" t="n">
        <v>46242</v>
      </c>
      <c r="F500" t="inlineStr">
        <is>
          <t>JÖNKÖPINGS LÄN</t>
        </is>
      </c>
      <c r="G500" t="inlineStr">
        <is>
          <t>EKSJÖ</t>
        </is>
      </c>
      <c r="H500" t="inlineStr">
        <is>
          <t>Kyrkan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45160</v>
      </c>
      <c r="E501" s="1" t="n">
        <v>46242</v>
      </c>
      <c r="F501" t="inlineStr">
        <is>
          <t>JÖNKÖPINGS LÄN</t>
        </is>
      </c>
      <c r="G501" t="inlineStr">
        <is>
          <t>EKSJÖ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46242</v>
      </c>
      <c r="F502" t="inlineStr">
        <is>
          <t>JÖNKÖPINGS LÄN</t>
        </is>
      </c>
      <c r="G502" t="inlineStr">
        <is>
          <t>EKSJÖ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45068</v>
      </c>
      <c r="E503" s="1" t="n">
        <v>46242</v>
      </c>
      <c r="F503" t="inlineStr">
        <is>
          <t>JÖNKÖPINGS LÄN</t>
        </is>
      </c>
      <c r="G503" t="inlineStr">
        <is>
          <t>EKSJÖ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71313-2021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44539</v>
      </c>
      <c r="E504" s="1" t="n">
        <v>46242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45253</v>
      </c>
      <c r="E505" s="1" t="n">
        <v>46242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44845</v>
      </c>
      <c r="E506" s="1" t="n">
        <v>46242</v>
      </c>
      <c r="F506" t="inlineStr">
        <is>
          <t>JÖNKÖPINGS LÄN</t>
        </is>
      </c>
      <c r="G506" t="inlineStr">
        <is>
          <t>EKSJÖ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33644-2022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44789</v>
      </c>
      <c r="E507" s="1" t="n">
        <v>46242</v>
      </c>
      <c r="F507" t="inlineStr">
        <is>
          <t>JÖNKÖPINGS LÄN</t>
        </is>
      </c>
      <c r="G507" t="inlineStr">
        <is>
          <t>EKSJÖ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55817-2023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45239</v>
      </c>
      <c r="E508" s="1" t="n">
        <v>46242</v>
      </c>
      <c r="F508" t="inlineStr">
        <is>
          <t>JÖNKÖPINGS LÄN</t>
        </is>
      </c>
      <c r="G508" t="inlineStr">
        <is>
          <t>EKSJÖ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45370</v>
      </c>
      <c r="E509" s="1" t="n">
        <v>46242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45334</v>
      </c>
      <c r="E510" s="1" t="n">
        <v>46242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46242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44865</v>
      </c>
      <c r="E512" s="1" t="n">
        <v>46242</v>
      </c>
      <c r="F512" t="inlineStr">
        <is>
          <t>JÖNKÖPINGS LÄN</t>
        </is>
      </c>
      <c r="G512" t="inlineStr">
        <is>
          <t>EKSJÖ</t>
        </is>
      </c>
      <c r="H512" t="inlineStr">
        <is>
          <t>Övriga Aktiebolag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46242</v>
      </c>
      <c r="F513" t="inlineStr">
        <is>
          <t>JÖNKÖPINGS LÄN</t>
        </is>
      </c>
      <c r="G513" t="inlineStr">
        <is>
          <t>EKSJÖ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45204</v>
      </c>
      <c r="E514" s="1" t="n">
        <v>46242</v>
      </c>
      <c r="F514" t="inlineStr">
        <is>
          <t>JÖNKÖPINGS LÄN</t>
        </is>
      </c>
      <c r="G514" t="inlineStr">
        <is>
          <t>EKSJÖ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46242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46242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46242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45367-2024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45576</v>
      </c>
      <c r="E518" s="1" t="n">
        <v>46242</v>
      </c>
      <c r="F518" t="inlineStr">
        <is>
          <t>JÖNKÖPINGS LÄN</t>
        </is>
      </c>
      <c r="G518" t="inlineStr">
        <is>
          <t>EKSJÖ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59050-2021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44490</v>
      </c>
      <c r="E519" s="1" t="n">
        <v>46242</v>
      </c>
      <c r="F519" t="inlineStr">
        <is>
          <t>JÖNKÖPINGS LÄN</t>
        </is>
      </c>
      <c r="G519" t="inlineStr">
        <is>
          <t>EKSJÖ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45076</v>
      </c>
      <c r="E520" s="1" t="n">
        <v>46242</v>
      </c>
      <c r="F520" t="inlineStr">
        <is>
          <t>JÖNKÖPINGS LÄN</t>
        </is>
      </c>
      <c r="G520" t="inlineStr">
        <is>
          <t>EKSJÖ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46242</v>
      </c>
      <c r="F521" t="inlineStr">
        <is>
          <t>JÖNKÖPINGS LÄN</t>
        </is>
      </c>
      <c r="G521" t="inlineStr">
        <is>
          <t>EKSJÖ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11474-2024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45372</v>
      </c>
      <c r="E522" s="1" t="n">
        <v>46242</v>
      </c>
      <c r="F522" t="inlineStr">
        <is>
          <t>JÖNKÖPINGS LÄN</t>
        </is>
      </c>
      <c r="G522" t="inlineStr">
        <is>
          <t>EKSJÖ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44623</v>
      </c>
      <c r="E523" s="1" t="n">
        <v>46242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45156</v>
      </c>
      <c r="E524" s="1" t="n">
        <v>46242</v>
      </c>
      <c r="F524" t="inlineStr">
        <is>
          <t>JÖNKÖPINGS LÄN</t>
        </is>
      </c>
      <c r="G524" t="inlineStr">
        <is>
          <t>EKSJÖ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45071</v>
      </c>
      <c r="E525" s="1" t="n">
        <v>46242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44908</v>
      </c>
      <c r="E526" s="1" t="n">
        <v>46242</v>
      </c>
      <c r="F526" t="inlineStr">
        <is>
          <t>JÖNKÖPINGS LÄN</t>
        </is>
      </c>
      <c r="G526" t="inlineStr">
        <is>
          <t>EKSJÖ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45391</v>
      </c>
      <c r="E527" s="1" t="n">
        <v>46242</v>
      </c>
      <c r="F527" t="inlineStr">
        <is>
          <t>JÖNKÖPINGS LÄN</t>
        </is>
      </c>
      <c r="G527" t="inlineStr">
        <is>
          <t>EKSJÖ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2819-2022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44581</v>
      </c>
      <c r="E528" s="1" t="n">
        <v>46242</v>
      </c>
      <c r="F528" t="inlineStr">
        <is>
          <t>JÖNKÖPINGS LÄN</t>
        </is>
      </c>
      <c r="G528" t="inlineStr">
        <is>
          <t>EKSJÖ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30527-2023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45111</v>
      </c>
      <c r="E529" s="1" t="n">
        <v>46242</v>
      </c>
      <c r="F529" t="inlineStr">
        <is>
          <t>JÖNKÖPINGS LÄN</t>
        </is>
      </c>
      <c r="G529" t="inlineStr">
        <is>
          <t>EKSJÖ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44600</v>
      </c>
      <c r="E530" s="1" t="n">
        <v>46242</v>
      </c>
      <c r="F530" t="inlineStr">
        <is>
          <t>JÖNKÖPINGS LÄN</t>
        </is>
      </c>
      <c r="G530" t="inlineStr">
        <is>
          <t>EKSJÖ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46242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17030-2024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45411</v>
      </c>
      <c r="E532" s="1" t="n">
        <v>46242</v>
      </c>
      <c r="F532" t="inlineStr">
        <is>
          <t>JÖNKÖPINGS LÄN</t>
        </is>
      </c>
      <c r="G532" t="inlineStr">
        <is>
          <t>EKSJÖ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45214</v>
      </c>
      <c r="E533" s="1" t="n">
        <v>46242</v>
      </c>
      <c r="F533" t="inlineStr">
        <is>
          <t>JÖNKÖPINGS LÄN</t>
        </is>
      </c>
      <c r="G533" t="inlineStr">
        <is>
          <t>EKSJÖ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46242</v>
      </c>
      <c r="F534" t="inlineStr">
        <is>
          <t>JÖNKÖPINGS LÄN</t>
        </is>
      </c>
      <c r="G534" t="inlineStr">
        <is>
          <t>EKSJÖ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28024-2022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46242</v>
      </c>
      <c r="F535" t="inlineStr">
        <is>
          <t>JÖNKÖPINGS LÄN</t>
        </is>
      </c>
      <c r="G535" t="inlineStr">
        <is>
          <t>EKSJÖ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46242</v>
      </c>
      <c r="F536" t="inlineStr">
        <is>
          <t>JÖNKÖPINGS LÄN</t>
        </is>
      </c>
      <c r="G536" t="inlineStr">
        <is>
          <t>EKSJÖ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58095-2024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46242</v>
      </c>
      <c r="F537" t="inlineStr">
        <is>
          <t>JÖNKÖPINGS LÄN</t>
        </is>
      </c>
      <c r="G537" t="inlineStr">
        <is>
          <t>EKSJÖ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48740-2023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45208</v>
      </c>
      <c r="E538" s="1" t="n">
        <v>46242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51020-2023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45218</v>
      </c>
      <c r="E539" s="1" t="n">
        <v>46242</v>
      </c>
      <c r="F539" t="inlineStr">
        <is>
          <t>JÖNKÖPINGS LÄN</t>
        </is>
      </c>
      <c r="G539" t="inlineStr">
        <is>
          <t>EKSJÖ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46242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46577-2022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44848</v>
      </c>
      <c r="E541" s="1" t="n">
        <v>46242</v>
      </c>
      <c r="F541" t="inlineStr">
        <is>
          <t>JÖNKÖPINGS LÄN</t>
        </is>
      </c>
      <c r="G541" t="inlineStr">
        <is>
          <t>EKSJÖ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45537</v>
      </c>
      <c r="E542" s="1" t="n">
        <v>46242</v>
      </c>
      <c r="F542" t="inlineStr">
        <is>
          <t>JÖNKÖPINGS LÄN</t>
        </is>
      </c>
      <c r="G542" t="inlineStr">
        <is>
          <t>EKSJÖ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9292-2025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45714</v>
      </c>
      <c r="E543" s="1" t="n">
        <v>46242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45714</v>
      </c>
      <c r="E544" s="1" t="n">
        <v>46242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46242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46242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46242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47204-2022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44851</v>
      </c>
      <c r="E548" s="1" t="n">
        <v>46242</v>
      </c>
      <c r="F548" t="inlineStr">
        <is>
          <t>JÖNKÖPINGS LÄN</t>
        </is>
      </c>
      <c r="G548" t="inlineStr">
        <is>
          <t>EKSJÖ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8056-2025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45707</v>
      </c>
      <c r="E549" s="1" t="n">
        <v>46242</v>
      </c>
      <c r="F549" t="inlineStr">
        <is>
          <t>JÖNKÖPINGS LÄN</t>
        </is>
      </c>
      <c r="G549" t="inlineStr">
        <is>
          <t>EKSJÖ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45329</v>
      </c>
      <c r="E550" s="1" t="n">
        <v>46242</v>
      </c>
      <c r="F550" t="inlineStr">
        <is>
          <t>JÖNKÖPINGS LÄN</t>
        </is>
      </c>
      <c r="G550" t="inlineStr">
        <is>
          <t>EKSJÖ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58490-2024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45635</v>
      </c>
      <c r="E551" s="1" t="n">
        <v>46242</v>
      </c>
      <c r="F551" t="inlineStr">
        <is>
          <t>JÖNKÖPINGS LÄN</t>
        </is>
      </c>
      <c r="G551" t="inlineStr">
        <is>
          <t>EKSJÖ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45334</v>
      </c>
      <c r="E552" s="1" t="n">
        <v>46242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45334</v>
      </c>
      <c r="E553" s="1" t="n">
        <v>46242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44939</v>
      </c>
      <c r="E554" s="1" t="n">
        <v>46242</v>
      </c>
      <c r="F554" t="inlineStr">
        <is>
          <t>JÖNKÖPINGS LÄN</t>
        </is>
      </c>
      <c r="G554" t="inlineStr">
        <is>
          <t>EKSJÖ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41816-2024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45561</v>
      </c>
      <c r="E555" s="1" t="n">
        <v>46242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44719</v>
      </c>
      <c r="E556" s="1" t="n">
        <v>46242</v>
      </c>
      <c r="F556" t="inlineStr">
        <is>
          <t>JÖNKÖPINGS LÄN</t>
        </is>
      </c>
      <c r="G556" t="inlineStr">
        <is>
          <t>EKSJÖ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45762</v>
      </c>
      <c r="E557" s="1" t="n">
        <v>46242</v>
      </c>
      <c r="F557" t="inlineStr">
        <is>
          <t>JÖNKÖPINGS LÄN</t>
        </is>
      </c>
      <c r="G557" t="inlineStr">
        <is>
          <t>EKSJÖ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45671</v>
      </c>
      <c r="E558" s="1" t="n">
        <v>46242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44609</v>
      </c>
      <c r="E559" s="1" t="n">
        <v>46242</v>
      </c>
      <c r="F559" t="inlineStr">
        <is>
          <t>JÖNKÖPINGS LÄN</t>
        </is>
      </c>
      <c r="G559" t="inlineStr">
        <is>
          <t>EKSJÖ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46242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12409-2023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44999</v>
      </c>
      <c r="E561" s="1" t="n">
        <v>46242</v>
      </c>
      <c r="F561" t="inlineStr">
        <is>
          <t>JÖNKÖPINGS LÄN</t>
        </is>
      </c>
      <c r="G561" t="inlineStr">
        <is>
          <t>EKSJÖ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50275-2023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45209</v>
      </c>
      <c r="E562" s="1" t="n">
        <v>46242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19497-2025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45770</v>
      </c>
      <c r="E563" s="1" t="n">
        <v>46242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46242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45777</v>
      </c>
      <c r="E565" s="1" t="n">
        <v>46242</v>
      </c>
      <c r="F565" t="inlineStr">
        <is>
          <t>JÖNKÖPINGS LÄN</t>
        </is>
      </c>
      <c r="G565" t="inlineStr">
        <is>
          <t>EKSJÖ</t>
        </is>
      </c>
      <c r="H565" t="inlineStr">
        <is>
          <t>Kommuner</t>
        </is>
      </c>
      <c r="I565" t="n">
        <v>9.6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45779</v>
      </c>
      <c r="E566" s="1" t="n">
        <v>46242</v>
      </c>
      <c r="F566" t="inlineStr">
        <is>
          <t>JÖNKÖPINGS LÄN</t>
        </is>
      </c>
      <c r="G566" t="inlineStr">
        <is>
          <t>EKSJÖ</t>
        </is>
      </c>
      <c r="H566" t="inlineStr">
        <is>
          <t>Kommuner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46242</v>
      </c>
      <c r="F567" t="inlineStr">
        <is>
          <t>JÖNKÖPINGS LÄN</t>
        </is>
      </c>
      <c r="G567" t="inlineStr">
        <is>
          <t>EKSJÖ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45706</v>
      </c>
      <c r="E568" s="1" t="n">
        <v>46242</v>
      </c>
      <c r="F568" t="inlineStr">
        <is>
          <t>JÖNKÖPINGS LÄN</t>
        </is>
      </c>
      <c r="G568" t="inlineStr">
        <is>
          <t>EKSJÖ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46242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46242</v>
      </c>
      <c r="F570" t="inlineStr">
        <is>
          <t>JÖNKÖPINGS LÄN</t>
        </is>
      </c>
      <c r="G570" t="inlineStr">
        <is>
          <t>EKSJÖ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46242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35253-2024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45530</v>
      </c>
      <c r="E572" s="1" t="n">
        <v>46242</v>
      </c>
      <c r="F572" t="inlineStr">
        <is>
          <t>JÖNKÖPINGS LÄN</t>
        </is>
      </c>
      <c r="G572" t="inlineStr">
        <is>
          <t>EKSJÖ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22987-2025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45790</v>
      </c>
      <c r="E573" s="1" t="n">
        <v>46242</v>
      </c>
      <c r="F573" t="inlineStr">
        <is>
          <t>JÖNKÖPINGS LÄN</t>
        </is>
      </c>
      <c r="G573" t="inlineStr">
        <is>
          <t>EKSJÖ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45743-2024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45579</v>
      </c>
      <c r="E574" s="1" t="n">
        <v>46242</v>
      </c>
      <c r="F574" t="inlineStr">
        <is>
          <t>JÖNKÖPINGS LÄN</t>
        </is>
      </c>
      <c r="G574" t="inlineStr">
        <is>
          <t>EKSJÖ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46242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23386-2025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46242</v>
      </c>
      <c r="F576" t="inlineStr">
        <is>
          <t>JÖNKÖPINGS LÄN</t>
        </is>
      </c>
      <c r="G576" t="inlineStr">
        <is>
          <t>EKSJÖ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46242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56039-2024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46242</v>
      </c>
      <c r="F578" t="inlineStr">
        <is>
          <t>JÖNKÖPINGS LÄN</t>
        </is>
      </c>
      <c r="G578" t="inlineStr">
        <is>
          <t>EKSJÖ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46242</v>
      </c>
      <c r="F579" t="inlineStr">
        <is>
          <t>JÖNKÖPINGS LÄN</t>
        </is>
      </c>
      <c r="G579" t="inlineStr">
        <is>
          <t>EKSJÖ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14382-2025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45741</v>
      </c>
      <c r="E580" s="1" t="n">
        <v>46242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46242</v>
      </c>
      <c r="F581" t="inlineStr">
        <is>
          <t>JÖNKÖPINGS LÄN</t>
        </is>
      </c>
      <c r="G581" t="inlineStr">
        <is>
          <t>EKSJÖ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46242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46242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46242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46242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46242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46242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46242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46242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46242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46242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46242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46242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46242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46242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46242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46242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46242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46242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46242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46242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46242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46242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46242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46242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46242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46242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1973-2026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46210</v>
      </c>
      <c r="E608" s="1" t="n">
        <v>46242</v>
      </c>
      <c r="F608" t="inlineStr">
        <is>
          <t>JÖNKÖPINGS LÄN</t>
        </is>
      </c>
      <c r="G608" t="inlineStr">
        <is>
          <t>EKSJÖ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46242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1825-2026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46242</v>
      </c>
      <c r="F610" t="inlineStr">
        <is>
          <t>JÖNKÖPINGS LÄN</t>
        </is>
      </c>
      <c r="G610" t="inlineStr">
        <is>
          <t>EKSJÖ</t>
        </is>
      </c>
      <c r="I610" t="n">
        <v>14.8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1842-2026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46153</v>
      </c>
      <c r="E611" s="1" t="n">
        <v>46242</v>
      </c>
      <c r="F611" t="inlineStr">
        <is>
          <t>JÖNKÖPINGS LÄN</t>
        </is>
      </c>
      <c r="G611" t="inlineStr">
        <is>
          <t>EKSJÖ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2026-08-08T01:52:59Z</dcterms:created>
  <dcterms:modified xmlns:dcterms="http://purl.org/dc/terms/" xmlns:xsi="http://www.w3.org/2001/XMLSchema-instance" xsi:type="dcterms:W3CDTF">2026-08-08T01:53:00Z</dcterms:modified>
</cp:coreProperties>
</file>