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46293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46293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46293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46293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46293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46293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46293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46293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46293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46293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46293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46293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46293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46293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46293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46293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46293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46293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46293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46293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46293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46293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46293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46293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46293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46293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46293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5128-2024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45330</v>
      </c>
      <c r="E29" s="1" t="n">
        <v>46293</v>
      </c>
      <c r="F29" t="inlineStr">
        <is>
          <t>JÖNKÖPINGS LÄN</t>
        </is>
      </c>
      <c r="G29" t="inlineStr">
        <is>
          <t>EKSJÖ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Ask</t>
        </is>
      </c>
      <c r="W29">
        <f>HYPERLINK("https://klasma.github.io/Logging_0686/artfynd/A 5128-2024 artfynd.xlsx", "A 5128-2024")</f>
        <v/>
      </c>
      <c r="X29">
        <f>HYPERLINK("https://klasma.github.io/Logging_0686/kartor/A 5128-2024 karta.png", "A 5128-2024")</f>
        <v/>
      </c>
      <c r="Y29">
        <f>HYPERLINK("https://klasma.github.io/Logging_0686/kartor_geotiff/A 5128-2024 georefererad karta.tif", "A 5128-2024")</f>
        <v/>
      </c>
      <c r="AA29">
        <f>HYPERLINK("https://klasma.github.io/Logging_0686/klagomål/A 5128-2024 FSC-klagomål.docx", "A 5128-2024")</f>
        <v/>
      </c>
      <c r="AB29">
        <f>HYPERLINK("https://klasma.github.io/Logging_0686/klagomålsmail/A 5128-2024 FSC-klagomål mail.docx", "A 5128-2024")</f>
        <v/>
      </c>
      <c r="AC29">
        <f>HYPERLINK("https://klasma.github.io/Logging_0686/tillsyn/A 5128-2024 tillsynsbegäran.docx", "A 5128-2024")</f>
        <v/>
      </c>
      <c r="AD29">
        <f>HYPERLINK("https://klasma.github.io/Logging_0686/tillsynsmail/A 5128-2024 tillsynsbegäran mail.docx", "A 5128-2024")</f>
        <v/>
      </c>
    </row>
    <row r="30" ht="15" customHeight="1">
      <c r="A30" t="inlineStr">
        <is>
          <t>A 41029-2025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45898</v>
      </c>
      <c r="E30" s="1" t="n">
        <v>46293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4.4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HYPERLINK("https://klasma.github.io/Logging_0686/artfynd/A 41029-2025 artfynd.xlsx", "A 41029-2025")</f>
        <v/>
      </c>
      <c r="X30">
        <f>HYPERLINK("https://klasma.github.io/Logging_0686/kartor/A 41029-2025 karta.png", "A 41029-2025")</f>
        <v/>
      </c>
      <c r="Y30">
        <f>HYPERLINK("https://klasma.github.io/Logging_0686/kartor_geotiff/A 41029-2025 georefererad karta.tif", "A 41029-2025")</f>
        <v/>
      </c>
      <c r="AA30">
        <f>HYPERLINK("https://klasma.github.io/Logging_0686/klagomål/A 41029-2025 FSC-klagomål.docx", "A 41029-2025")</f>
        <v/>
      </c>
      <c r="AB30">
        <f>HYPERLINK("https://klasma.github.io/Logging_0686/klagomålsmail/A 41029-2025 FSC-klagomål mail.docx", "A 41029-2025")</f>
        <v/>
      </c>
      <c r="AC30">
        <f>HYPERLINK("https://klasma.github.io/Logging_0686/tillsyn/A 41029-2025 tillsynsbegäran.docx", "A 41029-2025")</f>
        <v/>
      </c>
      <c r="AD30">
        <f>HYPERLINK("https://klasma.github.io/Logging_0686/tillsynsmail/A 41029-2025 tillsynsbegäran mail.docx", "A 41029-2025")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46293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15419-2026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46106</v>
      </c>
      <c r="E32" s="1" t="n">
        <v>46293</v>
      </c>
      <c r="F32" t="inlineStr">
        <is>
          <t>JÖNKÖPINGS LÄN</t>
        </is>
      </c>
      <c r="G32" t="inlineStr">
        <is>
          <t>EKSJÖ</t>
        </is>
      </c>
      <c r="H32" t="inlineStr">
        <is>
          <t>Kommuner</t>
        </is>
      </c>
      <c r="I32" t="n">
        <v>4.1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HYPERLINK("https://klasma.github.io/Logging_0686/artfynd/A 15419-2026 artfynd.xlsx", "A 15419-2026")</f>
        <v/>
      </c>
      <c r="X32">
        <f>HYPERLINK("https://klasma.github.io/Logging_0686/kartor/A 15419-2026 karta.png", "A 15419-2026")</f>
        <v/>
      </c>
      <c r="Y32">
        <f>HYPERLINK("https://klasma.github.io/Logging_0686/kartor_geotiff/A 15419-2026 georefererad karta.tif", "A 15419-2026")</f>
        <v/>
      </c>
      <c r="AA32">
        <f>HYPERLINK("https://klasma.github.io/Logging_0686/klagomål/A 15419-2026 FSC-klagomål.docx", "A 15419-2026")</f>
        <v/>
      </c>
      <c r="AB32">
        <f>HYPERLINK("https://klasma.github.io/Logging_0686/klagomålsmail/A 15419-2026 FSC-klagomål mail.docx", "A 15419-2026")</f>
        <v/>
      </c>
      <c r="AC32">
        <f>HYPERLINK("https://klasma.github.io/Logging_0686/tillsyn/A 15419-2026 tillsynsbegäran.docx", "A 15419-2026")</f>
        <v/>
      </c>
      <c r="AD32">
        <f>HYPERLINK("https://klasma.github.io/Logging_0686/tillsynsmail/A 15419-2026 tillsynsbegäran mail.docx", "A 15419-2026")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46293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46293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46293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46293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46293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46293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46293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46293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4446-2023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44956</v>
      </c>
      <c r="E41" s="1" t="n">
        <v>46293</v>
      </c>
      <c r="F41" t="inlineStr">
        <is>
          <t>JÖNKÖPINGS LÄN</t>
        </is>
      </c>
      <c r="G41" t="inlineStr">
        <is>
          <t>EKSJÖ</t>
        </is>
      </c>
      <c r="I41" t="n">
        <v>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HYPERLINK("https://klasma.github.io/Logging_0686/artfynd/A 4446-2023 artfynd.xlsx", "A 4446-2023")</f>
        <v/>
      </c>
      <c r="X41">
        <f>HYPERLINK("https://klasma.github.io/Logging_0686/kartor/A 4446-2023 karta.png", "A 4446-2023")</f>
        <v/>
      </c>
      <c r="Y41">
        <f>HYPERLINK("https://klasma.github.io/Logging_0686/kartor_geotiff/A 4446-2023 georefererad karta.tif", "A 4446-2023")</f>
        <v/>
      </c>
      <c r="AA41">
        <f>HYPERLINK("https://klasma.github.io/Logging_0686/klagomål/A 4446-2023 FSC-klagomål.docx", "A 4446-2023")</f>
        <v/>
      </c>
      <c r="AB41">
        <f>HYPERLINK("https://klasma.github.io/Logging_0686/klagomålsmail/A 4446-2023 FSC-klagomål mail.docx", "A 4446-2023")</f>
        <v/>
      </c>
      <c r="AC41">
        <f>HYPERLINK("https://klasma.github.io/Logging_0686/tillsyn/A 4446-2023 tillsynsbegäran.docx", "A 4446-2023")</f>
        <v/>
      </c>
      <c r="AD41">
        <f>HYPERLINK("https://klasma.github.io/Logging_0686/tillsynsmail/A 4446-2023 tillsynsbegäran mail.docx", "A 4446-2023")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46293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46293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38596-2026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46283</v>
      </c>
      <c r="E44" s="1" t="n">
        <v>46293</v>
      </c>
      <c r="F44" t="inlineStr">
        <is>
          <t>JÖNKÖPINGS LÄN</t>
        </is>
      </c>
      <c r="G44" t="inlineStr">
        <is>
          <t>EKSJÖ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HYPERLINK("https://klasma.github.io/Logging_0686/artfynd/A 38596-2026 artfynd.xlsx", "A 38596-2026")</f>
        <v/>
      </c>
      <c r="X44">
        <f>HYPERLINK("https://klasma.github.io/Logging_0686/kartor/A 38596-2026 karta.png", "A 38596-2026")</f>
        <v/>
      </c>
      <c r="Y44">
        <f>HYPERLINK("https://klasma.github.io/Logging_0686/kartor_geotiff/A 38596-2026 georefererad karta.tif", "A 38596-2026")</f>
        <v/>
      </c>
      <c r="AA44">
        <f>HYPERLINK("https://klasma.github.io/Logging_0686/klagomål/A 38596-2026 FSC-klagomål.docx", "A 38596-2026")</f>
        <v/>
      </c>
      <c r="AB44">
        <f>HYPERLINK("https://klasma.github.io/Logging_0686/klagomålsmail/A 38596-2026 FSC-klagomål mail.docx", "A 38596-2026")</f>
        <v/>
      </c>
      <c r="AC44">
        <f>HYPERLINK("https://klasma.github.io/Logging_0686/tillsyn/A 38596-2026 tillsynsbegäran.docx", "A 38596-2026")</f>
        <v/>
      </c>
      <c r="AD44">
        <f>HYPERLINK("https://klasma.github.io/Logging_0686/tillsynsmail/A 38596-2026 tillsynsbegäran mail.docx", "A 38596-2026")</f>
        <v/>
      </c>
    </row>
    <row r="45" ht="15" customHeight="1">
      <c r="A45" t="inlineStr">
        <is>
          <t>A 48033-2023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45204</v>
      </c>
      <c r="E45" s="1" t="n">
        <v>46293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5</v>
      </c>
      <c r="U45" t="n">
        <v>0</v>
      </c>
      <c r="V45" s="2" t="inlineStr">
        <is>
          <t>Ask</t>
        </is>
      </c>
      <c r="W45">
        <f>HYPERLINK("https://klasma.github.io/Logging_0686/artfynd/A 48033-2023 artfynd.xlsx", "A 48033-2023")</f>
        <v/>
      </c>
      <c r="X45">
        <f>HYPERLINK("https://klasma.github.io/Logging_0686/kartor/A 48033-2023 karta.png", "A 48033-2023")</f>
        <v/>
      </c>
      <c r="Y45">
        <f>HYPERLINK("https://klasma.github.io/Logging_0686/kartor_geotiff/A 48033-2023 georefererad karta.tif", "A 48033-2023")</f>
        <v/>
      </c>
      <c r="AA45">
        <f>HYPERLINK("https://klasma.github.io/Logging_0686/klagomål/A 48033-2023 FSC-klagomål.docx", "A 48033-2023")</f>
        <v/>
      </c>
      <c r="AB45">
        <f>HYPERLINK("https://klasma.github.io/Logging_0686/klagomålsmail/A 48033-2023 FSC-klagomål mail.docx", "A 48033-2023")</f>
        <v/>
      </c>
      <c r="AC45">
        <f>HYPERLINK("https://klasma.github.io/Logging_0686/tillsyn/A 48033-2023 tillsynsbegäran.docx", "A 48033-2023")</f>
        <v/>
      </c>
      <c r="AD45">
        <f>HYPERLINK("https://klasma.github.io/Logging_0686/tillsynsmail/A 48033-2023 tillsynsbegäran mail.docx", "A 48033-2023")</f>
        <v/>
      </c>
    </row>
    <row r="46" ht="15" customHeight="1">
      <c r="A46" t="inlineStr">
        <is>
          <t>A 4964-2023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44958</v>
      </c>
      <c r="E46" s="1" t="n">
        <v>46293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HYPERLINK("https://klasma.github.io/Logging_0686/artfynd/A 4964-2023 artfynd.xlsx", "A 4964-2023")</f>
        <v/>
      </c>
      <c r="X46">
        <f>HYPERLINK("https://klasma.github.io/Logging_0686/kartor/A 4964-2023 karta.png", "A 4964-2023")</f>
        <v/>
      </c>
      <c r="Y46">
        <f>HYPERLINK("https://klasma.github.io/Logging_0686/kartor_geotiff/A 4964-2023 georefererad karta.tif", "A 4964-2023")</f>
        <v/>
      </c>
      <c r="AA46">
        <f>HYPERLINK("https://klasma.github.io/Logging_0686/klagomål/A 4964-2023 FSC-klagomål.docx", "A 4964-2023")</f>
        <v/>
      </c>
      <c r="AB46">
        <f>HYPERLINK("https://klasma.github.io/Logging_0686/klagomålsmail/A 4964-2023 FSC-klagomål mail.docx", "A 4964-2023")</f>
        <v/>
      </c>
      <c r="AC46">
        <f>HYPERLINK("https://klasma.github.io/Logging_0686/tillsyn/A 4964-2023 tillsynsbegäran.docx", "A 4964-2023")</f>
        <v/>
      </c>
      <c r="AD46">
        <f>HYPERLINK("https://klasma.github.io/Logging_0686/tillsynsmail/A 4964-2023 tillsynsbegäran mail.docx", "A 4964-2023")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46293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46293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46293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46293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46293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46293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46293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46293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46293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46293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46293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46293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46293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46293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46293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46293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46293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46293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46293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46293</v>
      </c>
      <c r="F66" t="inlineStr">
        <is>
          <t>JÖNKÖPINGS LÄN</t>
        </is>
      </c>
      <c r="G66" t="inlineStr">
        <is>
          <t>EKSJÖ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13919-2022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46293</v>
      </c>
      <c r="F67" t="inlineStr">
        <is>
          <t>JÖNKÖPINGS LÄN</t>
        </is>
      </c>
      <c r="G67" t="inlineStr">
        <is>
          <t>EKSJÖ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46293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46293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46293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46293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46293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46293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46293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46293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46293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46293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46293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46293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46293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46293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46293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46293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46293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46293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46293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46293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46293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46293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52817-2021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46293</v>
      </c>
      <c r="F90" t="inlineStr">
        <is>
          <t>JÖNKÖPINGS LÄN</t>
        </is>
      </c>
      <c r="G90" t="inlineStr">
        <is>
          <t>EKSJÖ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46293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46293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46293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46293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46293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46293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46293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46293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46293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46293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46293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44879</v>
      </c>
      <c r="E102" s="1" t="n">
        <v>46293</v>
      </c>
      <c r="F102" t="inlineStr">
        <is>
          <t>JÖNKÖPINGS LÄN</t>
        </is>
      </c>
      <c r="G102" t="inlineStr">
        <is>
          <t>EKSJÖ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46293</v>
      </c>
      <c r="F103" t="inlineStr">
        <is>
          <t>JÖNKÖPINGS LÄN</t>
        </is>
      </c>
      <c r="G103" t="inlineStr">
        <is>
          <t>EKSJÖ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46293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46293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46293</v>
      </c>
      <c r="F106" t="inlineStr">
        <is>
          <t>JÖNKÖPINGS LÄN</t>
        </is>
      </c>
      <c r="G106" t="inlineStr">
        <is>
          <t>EKSJÖ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46293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46293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45334</v>
      </c>
      <c r="E109" s="1" t="n">
        <v>46293</v>
      </c>
      <c r="F109" t="inlineStr">
        <is>
          <t>JÖNKÖPINGS LÄN</t>
        </is>
      </c>
      <c r="G109" t="inlineStr">
        <is>
          <t>EKSJÖ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46293</v>
      </c>
      <c r="F110" t="inlineStr">
        <is>
          <t>JÖNKÖPINGS LÄN</t>
        </is>
      </c>
      <c r="G110" t="inlineStr">
        <is>
          <t>EKSJÖ</t>
        </is>
      </c>
      <c r="H110" t="inlineStr">
        <is>
          <t>Sveaskog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43411-2022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44834</v>
      </c>
      <c r="E111" s="1" t="n">
        <v>46293</v>
      </c>
      <c r="F111" t="inlineStr">
        <is>
          <t>JÖNKÖPINGS LÄN</t>
        </is>
      </c>
      <c r="G111" t="inlineStr">
        <is>
          <t>EKSJÖ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46293</v>
      </c>
      <c r="F112" t="inlineStr">
        <is>
          <t>JÖNKÖPINGS LÄN</t>
        </is>
      </c>
      <c r="G112" t="inlineStr">
        <is>
          <t>EKSJÖ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45512</v>
      </c>
      <c r="E113" s="1" t="n">
        <v>46293</v>
      </c>
      <c r="F113" t="inlineStr">
        <is>
          <t>JÖNKÖPINGS LÄN</t>
        </is>
      </c>
      <c r="G113" t="inlineStr">
        <is>
          <t>EKSJÖ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46293</v>
      </c>
      <c r="F114" t="inlineStr">
        <is>
          <t>JÖNKÖPINGS LÄN</t>
        </is>
      </c>
      <c r="G114" t="inlineStr">
        <is>
          <t>EKSJÖ</t>
        </is>
      </c>
      <c r="H114" t="inlineStr">
        <is>
          <t>Kommuner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46293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46293</v>
      </c>
      <c r="F116" t="inlineStr">
        <is>
          <t>JÖNKÖPINGS LÄN</t>
        </is>
      </c>
      <c r="G116" t="inlineStr">
        <is>
          <t>EKSJÖ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45076</v>
      </c>
      <c r="E117" s="1" t="n">
        <v>46293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46293</v>
      </c>
      <c r="F118" t="inlineStr">
        <is>
          <t>JÖNKÖPINGS LÄN</t>
        </is>
      </c>
      <c r="G118" t="inlineStr">
        <is>
          <t>EKSJÖ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46293</v>
      </c>
      <c r="F119" t="inlineStr">
        <is>
          <t>JÖNKÖPINGS LÄN</t>
        </is>
      </c>
      <c r="G119" t="inlineStr">
        <is>
          <t>EKSJÖ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19468-2023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46293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46293</v>
      </c>
      <c r="F121" t="inlineStr">
        <is>
          <t>JÖNKÖPINGS LÄN</t>
        </is>
      </c>
      <c r="G121" t="inlineStr">
        <is>
          <t>EKSJÖ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45245</v>
      </c>
      <c r="E122" s="1" t="n">
        <v>46293</v>
      </c>
      <c r="F122" t="inlineStr">
        <is>
          <t>JÖNKÖPINGS LÄN</t>
        </is>
      </c>
      <c r="G122" t="inlineStr">
        <is>
          <t>EKSJÖ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56689-2021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46293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27077-2023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45096</v>
      </c>
      <c r="E124" s="1" t="n">
        <v>46293</v>
      </c>
      <c r="F124" t="inlineStr">
        <is>
          <t>JÖNKÖPINGS LÄN</t>
        </is>
      </c>
      <c r="G124" t="inlineStr">
        <is>
          <t>EKSJÖ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45300</v>
      </c>
      <c r="E125" s="1" t="n">
        <v>46293</v>
      </c>
      <c r="F125" t="inlineStr">
        <is>
          <t>JÖNKÖPINGS LÄN</t>
        </is>
      </c>
      <c r="G125" t="inlineStr">
        <is>
          <t>EKSJÖ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46293</v>
      </c>
      <c r="F126" t="inlineStr">
        <is>
          <t>JÖNKÖPINGS LÄN</t>
        </is>
      </c>
      <c r="G126" t="inlineStr">
        <is>
          <t>EKSJÖ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46293</v>
      </c>
      <c r="F127" t="inlineStr">
        <is>
          <t>JÖNKÖPINGS LÄN</t>
        </is>
      </c>
      <c r="G127" t="inlineStr">
        <is>
          <t>EKSJÖ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46017-2022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46293</v>
      </c>
      <c r="F128" t="inlineStr">
        <is>
          <t>JÖNKÖPINGS LÄN</t>
        </is>
      </c>
      <c r="G128" t="inlineStr">
        <is>
          <t>EKSJÖ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46293</v>
      </c>
      <c r="F129" t="inlineStr">
        <is>
          <t>JÖNKÖPINGS LÄN</t>
        </is>
      </c>
      <c r="G129" t="inlineStr">
        <is>
          <t>EKSJÖ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46293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44974</v>
      </c>
      <c r="E131" s="1" t="n">
        <v>46293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46293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46293</v>
      </c>
      <c r="F133" t="inlineStr">
        <is>
          <t>JÖNKÖPINGS LÄN</t>
        </is>
      </c>
      <c r="G133" t="inlineStr">
        <is>
          <t>EKSJÖ</t>
        </is>
      </c>
      <c r="H133" t="inlineStr">
        <is>
          <t>Övriga Aktiebolag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45154</v>
      </c>
      <c r="E134" s="1" t="n">
        <v>46293</v>
      </c>
      <c r="F134" t="inlineStr">
        <is>
          <t>JÖNKÖPINGS LÄN</t>
        </is>
      </c>
      <c r="G134" t="inlineStr">
        <is>
          <t>EKSJÖ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46293</v>
      </c>
      <c r="F135" t="inlineStr">
        <is>
          <t>JÖNKÖPINGS LÄN</t>
        </is>
      </c>
      <c r="G135" t="inlineStr">
        <is>
          <t>EKSJÖ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45741</v>
      </c>
      <c r="E136" s="1" t="n">
        <v>46293</v>
      </c>
      <c r="F136" t="inlineStr">
        <is>
          <t>JÖNKÖPINGS LÄN</t>
        </is>
      </c>
      <c r="G136" t="inlineStr">
        <is>
          <t>EKSJÖ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46293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30931-2023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45113</v>
      </c>
      <c r="E138" s="1" t="n">
        <v>46293</v>
      </c>
      <c r="F138" t="inlineStr">
        <is>
          <t>JÖNKÖPINGS LÄN</t>
        </is>
      </c>
      <c r="G138" t="inlineStr">
        <is>
          <t>EKSJÖ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46293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46293</v>
      </c>
      <c r="F140" t="inlineStr">
        <is>
          <t>JÖNKÖPINGS LÄN</t>
        </is>
      </c>
      <c r="G140" t="inlineStr">
        <is>
          <t>EKSJÖ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14382-2025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45741</v>
      </c>
      <c r="E141" s="1" t="n">
        <v>46293</v>
      </c>
      <c r="F141" t="inlineStr">
        <is>
          <t>JÖNKÖPINGS LÄN</t>
        </is>
      </c>
      <c r="G141" t="inlineStr">
        <is>
          <t>EKSJÖ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45743</v>
      </c>
      <c r="E142" s="1" t="n">
        <v>46293</v>
      </c>
      <c r="F142" t="inlineStr">
        <is>
          <t>JÖNKÖPINGS LÄN</t>
        </is>
      </c>
      <c r="G142" t="inlineStr">
        <is>
          <t>EKSJÖ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45334</v>
      </c>
      <c r="E143" s="1" t="n">
        <v>46293</v>
      </c>
      <c r="F143" t="inlineStr">
        <is>
          <t>JÖNKÖPINGS LÄN</t>
        </is>
      </c>
      <c r="G143" t="inlineStr">
        <is>
          <t>EKSJÖ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46293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46293</v>
      </c>
      <c r="F145" t="inlineStr">
        <is>
          <t>JÖNKÖPINGS LÄN</t>
        </is>
      </c>
      <c r="G145" t="inlineStr">
        <is>
          <t>EKSJÖ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45741</v>
      </c>
      <c r="E146" s="1" t="n">
        <v>46293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46293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46034</v>
      </c>
      <c r="E148" s="1" t="n">
        <v>46293</v>
      </c>
      <c r="F148" t="inlineStr">
        <is>
          <t>JÖNKÖPINGS LÄN</t>
        </is>
      </c>
      <c r="G148" t="inlineStr">
        <is>
          <t>EKSJÖ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46293</v>
      </c>
      <c r="F149" t="inlineStr">
        <is>
          <t>JÖNKÖPINGS LÄN</t>
        </is>
      </c>
      <c r="G149" t="inlineStr">
        <is>
          <t>EKSJÖ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46293</v>
      </c>
      <c r="F150" t="inlineStr">
        <is>
          <t>JÖNKÖPINGS LÄN</t>
        </is>
      </c>
      <c r="G150" t="inlineStr">
        <is>
          <t>EKSJÖ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46293</v>
      </c>
      <c r="F151" t="inlineStr">
        <is>
          <t>JÖNKÖPINGS LÄN</t>
        </is>
      </c>
      <c r="G151" t="inlineStr">
        <is>
          <t>EKSJÖ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46293</v>
      </c>
      <c r="F152" t="inlineStr">
        <is>
          <t>JÖNKÖPINGS LÄN</t>
        </is>
      </c>
      <c r="G152" t="inlineStr">
        <is>
          <t>EKSJÖ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46293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46293</v>
      </c>
      <c r="F154" t="inlineStr">
        <is>
          <t>JÖNKÖPINGS LÄN</t>
        </is>
      </c>
      <c r="G154" t="inlineStr">
        <is>
          <t>EKSJÖ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45837</v>
      </c>
      <c r="E155" s="1" t="n">
        <v>46293</v>
      </c>
      <c r="F155" t="inlineStr">
        <is>
          <t>JÖNKÖPINGS LÄN</t>
        </is>
      </c>
      <c r="G155" t="inlineStr">
        <is>
          <t>EKSJÖ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46293</v>
      </c>
      <c r="F156" t="inlineStr">
        <is>
          <t>JÖNKÖPINGS LÄN</t>
        </is>
      </c>
      <c r="G156" t="inlineStr">
        <is>
          <t>EKSJÖ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56322-2021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44477</v>
      </c>
      <c r="E157" s="1" t="n">
        <v>46293</v>
      </c>
      <c r="F157" t="inlineStr">
        <is>
          <t>JÖNKÖPINGS LÄN</t>
        </is>
      </c>
      <c r="G157" t="inlineStr">
        <is>
          <t>EKSJÖ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46293</v>
      </c>
      <c r="F158" t="inlineStr">
        <is>
          <t>JÖNKÖPINGS LÄN</t>
        </is>
      </c>
      <c r="G158" t="inlineStr">
        <is>
          <t>EKSJÖ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46293</v>
      </c>
      <c r="F159" t="inlineStr">
        <is>
          <t>JÖNKÖPINGS LÄN</t>
        </is>
      </c>
      <c r="G159" t="inlineStr">
        <is>
          <t>EKSJÖ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46293</v>
      </c>
      <c r="F160" t="inlineStr">
        <is>
          <t>JÖNKÖPINGS LÄN</t>
        </is>
      </c>
      <c r="G160" t="inlineStr">
        <is>
          <t>EKSJÖ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45530</v>
      </c>
      <c r="E161" s="1" t="n">
        <v>46293</v>
      </c>
      <c r="F161" t="inlineStr">
        <is>
          <t>JÖNKÖPINGS LÄN</t>
        </is>
      </c>
      <c r="G161" t="inlineStr">
        <is>
          <t>EKSJÖ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46293</v>
      </c>
      <c r="F162" t="inlineStr">
        <is>
          <t>JÖNKÖPINGS LÄN</t>
        </is>
      </c>
      <c r="G162" t="inlineStr">
        <is>
          <t>EKSJÖ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50498-2022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44861</v>
      </c>
      <c r="E163" s="1" t="n">
        <v>46293</v>
      </c>
      <c r="F163" t="inlineStr">
        <is>
          <t>JÖNKÖPINGS LÄN</t>
        </is>
      </c>
      <c r="G163" t="inlineStr">
        <is>
          <t>EKSJÖ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29653-2025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46293</v>
      </c>
      <c r="F164" t="inlineStr">
        <is>
          <t>JÖNKÖPINGS LÄN</t>
        </is>
      </c>
      <c r="G164" t="inlineStr">
        <is>
          <t>EKSJÖ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45485</v>
      </c>
      <c r="E165" s="1" t="n">
        <v>46293</v>
      </c>
      <c r="F165" t="inlineStr">
        <is>
          <t>JÖNKÖPINGS LÄN</t>
        </is>
      </c>
      <c r="G165" t="inlineStr">
        <is>
          <t>EKSJÖ</t>
        </is>
      </c>
      <c r="H165" t="inlineStr">
        <is>
          <t>Övriga Aktiebolag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46293</v>
      </c>
      <c r="F166" t="inlineStr">
        <is>
          <t>JÖNKÖPINGS LÄN</t>
        </is>
      </c>
      <c r="G166" t="inlineStr">
        <is>
          <t>EKSJÖ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46293</v>
      </c>
      <c r="F167" t="inlineStr">
        <is>
          <t>JÖNKÖPINGS LÄN</t>
        </is>
      </c>
      <c r="G167" t="inlineStr">
        <is>
          <t>EKSJÖ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46293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56039-2024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45624</v>
      </c>
      <c r="E169" s="1" t="n">
        <v>46293</v>
      </c>
      <c r="F169" t="inlineStr">
        <is>
          <t>JÖNKÖPINGS LÄN</t>
        </is>
      </c>
      <c r="G169" t="inlineStr">
        <is>
          <t>EKSJÖ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41038-2025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46293</v>
      </c>
      <c r="F170" t="inlineStr">
        <is>
          <t>JÖNKÖPINGS LÄN</t>
        </is>
      </c>
      <c r="G170" t="inlineStr">
        <is>
          <t>EKSJÖ</t>
        </is>
      </c>
      <c r="H170" t="inlineStr">
        <is>
          <t>Sveaskog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46293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45911-2023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45195</v>
      </c>
      <c r="E172" s="1" t="n">
        <v>46293</v>
      </c>
      <c r="F172" t="inlineStr">
        <is>
          <t>JÖNKÖPINGS LÄN</t>
        </is>
      </c>
      <c r="G172" t="inlineStr">
        <is>
          <t>EKSJÖ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4348-2026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46293</v>
      </c>
      <c r="F173" t="inlineStr">
        <is>
          <t>JÖNKÖPINGS LÄN</t>
        </is>
      </c>
      <c r="G173" t="inlineStr">
        <is>
          <t>EKSJÖ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46293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46048</v>
      </c>
      <c r="E175" s="1" t="n">
        <v>46293</v>
      </c>
      <c r="F175" t="inlineStr">
        <is>
          <t>JÖNKÖPINGS LÄN</t>
        </is>
      </c>
      <c r="G175" t="inlineStr">
        <is>
          <t>EKSJÖ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46293</v>
      </c>
      <c r="F176" t="inlineStr">
        <is>
          <t>JÖNKÖPINGS LÄN</t>
        </is>
      </c>
      <c r="G176" t="inlineStr">
        <is>
          <t>EKSJÖ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46293</v>
      </c>
      <c r="F177" t="inlineStr">
        <is>
          <t>JÖNKÖPINGS LÄN</t>
        </is>
      </c>
      <c r="G177" t="inlineStr">
        <is>
          <t>EKSJÖ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45837</v>
      </c>
      <c r="E178" s="1" t="n">
        <v>46293</v>
      </c>
      <c r="F178" t="inlineStr">
        <is>
          <t>JÖNKÖPINGS LÄN</t>
        </is>
      </c>
      <c r="G178" t="inlineStr">
        <is>
          <t>EKSJÖ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46293</v>
      </c>
      <c r="F179" t="inlineStr">
        <is>
          <t>JÖNKÖPINGS LÄN</t>
        </is>
      </c>
      <c r="G179" t="inlineStr">
        <is>
          <t>EKSJÖ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46293</v>
      </c>
      <c r="F180" t="inlineStr">
        <is>
          <t>JÖNKÖPINGS LÄN</t>
        </is>
      </c>
      <c r="G180" t="inlineStr">
        <is>
          <t>EKSJÖ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46293</v>
      </c>
      <c r="F181" t="inlineStr">
        <is>
          <t>JÖNKÖPINGS LÄN</t>
        </is>
      </c>
      <c r="G181" t="inlineStr">
        <is>
          <t>EKSJÖ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59961-2022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46293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38040-2024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45544</v>
      </c>
      <c r="E183" s="1" t="n">
        <v>46293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46293</v>
      </c>
      <c r="F184" t="inlineStr">
        <is>
          <t>JÖNKÖPINGS LÄN</t>
        </is>
      </c>
      <c r="G184" t="inlineStr">
        <is>
          <t>EKSJÖ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46056</v>
      </c>
      <c r="E185" s="1" t="n">
        <v>46293</v>
      </c>
      <c r="F185" t="inlineStr">
        <is>
          <t>JÖNKÖPINGS LÄN</t>
        </is>
      </c>
      <c r="G185" t="inlineStr">
        <is>
          <t>EKSJÖ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46293</v>
      </c>
      <c r="F186" t="inlineStr">
        <is>
          <t>JÖNKÖPINGS LÄN</t>
        </is>
      </c>
      <c r="G186" t="inlineStr">
        <is>
          <t>EKSJÖ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46293</v>
      </c>
      <c r="F187" t="inlineStr">
        <is>
          <t>JÖNKÖPINGS LÄN</t>
        </is>
      </c>
      <c r="G187" t="inlineStr">
        <is>
          <t>EKSJÖ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46293</v>
      </c>
      <c r="F188" t="inlineStr">
        <is>
          <t>JÖNKÖPINGS LÄN</t>
        </is>
      </c>
      <c r="G188" t="inlineStr">
        <is>
          <t>EKSJÖ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46293</v>
      </c>
      <c r="F189" t="inlineStr">
        <is>
          <t>JÖNKÖPINGS LÄN</t>
        </is>
      </c>
      <c r="G189" t="inlineStr">
        <is>
          <t>EKSJÖ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46293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46293</v>
      </c>
      <c r="F191" t="inlineStr">
        <is>
          <t>JÖNKÖPINGS LÄN</t>
        </is>
      </c>
      <c r="G191" t="inlineStr">
        <is>
          <t>EKSJÖ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46293</v>
      </c>
      <c r="F192" t="inlineStr">
        <is>
          <t>JÖNKÖPINGS LÄN</t>
        </is>
      </c>
      <c r="G192" t="inlineStr">
        <is>
          <t>EKSJÖ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46293</v>
      </c>
      <c r="F193" t="inlineStr">
        <is>
          <t>JÖNKÖPINGS LÄN</t>
        </is>
      </c>
      <c r="G193" t="inlineStr">
        <is>
          <t>EKSJÖ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46293</v>
      </c>
      <c r="F194" t="inlineStr">
        <is>
          <t>JÖNKÖPINGS LÄN</t>
        </is>
      </c>
      <c r="G194" t="inlineStr">
        <is>
          <t>EKSJÖ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44526-2025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45916</v>
      </c>
      <c r="E195" s="1" t="n">
        <v>46293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46293</v>
      </c>
      <c r="F196" t="inlineStr">
        <is>
          <t>JÖNKÖPINGS LÄN</t>
        </is>
      </c>
      <c r="G196" t="inlineStr">
        <is>
          <t>EKSJÖ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46293</v>
      </c>
      <c r="F197" t="inlineStr">
        <is>
          <t>JÖNKÖPINGS LÄN</t>
        </is>
      </c>
      <c r="G197" t="inlineStr">
        <is>
          <t>EKSJÖ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44574</v>
      </c>
      <c r="E198" s="1" t="n">
        <v>46293</v>
      </c>
      <c r="F198" t="inlineStr">
        <is>
          <t>JÖNKÖPINGS LÄN</t>
        </is>
      </c>
      <c r="G198" t="inlineStr">
        <is>
          <t>EKSJÖ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13735-2025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45737</v>
      </c>
      <c r="E199" s="1" t="n">
        <v>46293</v>
      </c>
      <c r="F199" t="inlineStr">
        <is>
          <t>JÖNKÖPINGS LÄN</t>
        </is>
      </c>
      <c r="G199" t="inlineStr">
        <is>
          <t>EKSJÖ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46293</v>
      </c>
      <c r="F200" t="inlineStr">
        <is>
          <t>JÖNKÖPINGS LÄN</t>
        </is>
      </c>
      <c r="G200" t="inlineStr">
        <is>
          <t>EKSJÖ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45513</v>
      </c>
      <c r="E201" s="1" t="n">
        <v>46293</v>
      </c>
      <c r="F201" t="inlineStr">
        <is>
          <t>JÖNKÖPINGS LÄN</t>
        </is>
      </c>
      <c r="G201" t="inlineStr">
        <is>
          <t>EKSJÖ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46293</v>
      </c>
      <c r="F202" t="inlineStr">
        <is>
          <t>JÖNKÖPINGS LÄN</t>
        </is>
      </c>
      <c r="G202" t="inlineStr">
        <is>
          <t>EKSJÖ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46293</v>
      </c>
      <c r="F203" t="inlineStr">
        <is>
          <t>JÖNKÖPINGS LÄN</t>
        </is>
      </c>
      <c r="G203" t="inlineStr">
        <is>
          <t>EKSJÖ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46293</v>
      </c>
      <c r="F204" t="inlineStr">
        <is>
          <t>JÖNKÖPINGS LÄN</t>
        </is>
      </c>
      <c r="G204" t="inlineStr">
        <is>
          <t>EKSJÖ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44888</v>
      </c>
      <c r="E205" s="1" t="n">
        <v>46293</v>
      </c>
      <c r="F205" t="inlineStr">
        <is>
          <t>JÖNKÖPINGS LÄN</t>
        </is>
      </c>
      <c r="G205" t="inlineStr">
        <is>
          <t>EKSJÖ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46293</v>
      </c>
      <c r="F206" t="inlineStr">
        <is>
          <t>JÖNKÖPINGS LÄN</t>
        </is>
      </c>
      <c r="G206" t="inlineStr">
        <is>
          <t>EKSJÖ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46293</v>
      </c>
      <c r="F207" t="inlineStr">
        <is>
          <t>JÖNKÖPINGS LÄN</t>
        </is>
      </c>
      <c r="G207" t="inlineStr">
        <is>
          <t>EKSJÖ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26306-2023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46293</v>
      </c>
      <c r="F208" t="inlineStr">
        <is>
          <t>JÖNKÖPINGS LÄN</t>
        </is>
      </c>
      <c r="G208" t="inlineStr">
        <is>
          <t>EKSJÖ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11474-2024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46293</v>
      </c>
      <c r="F209" t="inlineStr">
        <is>
          <t>JÖNKÖPINGS LÄN</t>
        </is>
      </c>
      <c r="G209" t="inlineStr">
        <is>
          <t>EKSJÖ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46293</v>
      </c>
      <c r="F210" t="inlineStr">
        <is>
          <t>JÖNKÖPINGS LÄN</t>
        </is>
      </c>
      <c r="G210" t="inlineStr">
        <is>
          <t>EKSJÖ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8172-2023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46293</v>
      </c>
      <c r="F211" t="inlineStr">
        <is>
          <t>JÖNKÖPINGS LÄN</t>
        </is>
      </c>
      <c r="G211" t="inlineStr">
        <is>
          <t>EKSJÖ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44623</v>
      </c>
      <c r="E212" s="1" t="n">
        <v>46293</v>
      </c>
      <c r="F212" t="inlineStr">
        <is>
          <t>JÖNKÖPINGS LÄN</t>
        </is>
      </c>
      <c r="G212" t="inlineStr">
        <is>
          <t>EKSJÖ</t>
        </is>
      </c>
      <c r="H212" t="inlineStr">
        <is>
          <t>Sveaskog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49862-2025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46293</v>
      </c>
      <c r="F213" t="inlineStr">
        <is>
          <t>JÖNKÖPINGS LÄN</t>
        </is>
      </c>
      <c r="G213" t="inlineStr">
        <is>
          <t>EKSJÖ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12821-2024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45384</v>
      </c>
      <c r="E214" s="1" t="n">
        <v>46293</v>
      </c>
      <c r="F214" t="inlineStr">
        <is>
          <t>JÖNKÖPINGS LÄN</t>
        </is>
      </c>
      <c r="G214" t="inlineStr">
        <is>
          <t>EKSJÖ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45370-2024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45576</v>
      </c>
      <c r="E215" s="1" t="n">
        <v>46293</v>
      </c>
      <c r="F215" t="inlineStr">
        <is>
          <t>JÖNKÖPINGS LÄN</t>
        </is>
      </c>
      <c r="G215" t="inlineStr">
        <is>
          <t>EKSJÖ</t>
        </is>
      </c>
      <c r="H215" t="inlineStr">
        <is>
          <t>Övriga Aktiebolag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46293</v>
      </c>
      <c r="F216" t="inlineStr">
        <is>
          <t>JÖNKÖPINGS LÄN</t>
        </is>
      </c>
      <c r="G216" t="inlineStr">
        <is>
          <t>EKSJÖ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46293</v>
      </c>
      <c r="F217" t="inlineStr">
        <is>
          <t>JÖNKÖPINGS LÄN</t>
        </is>
      </c>
      <c r="G217" t="inlineStr">
        <is>
          <t>EKSJÖ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44928</v>
      </c>
      <c r="E218" s="1" t="n">
        <v>46293</v>
      </c>
      <c r="F218" t="inlineStr">
        <is>
          <t>JÖNKÖPINGS LÄN</t>
        </is>
      </c>
      <c r="G218" t="inlineStr">
        <is>
          <t>EKSJÖ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46293</v>
      </c>
      <c r="F219" t="inlineStr">
        <is>
          <t>JÖNKÖPINGS LÄN</t>
        </is>
      </c>
      <c r="G219" t="inlineStr">
        <is>
          <t>EKSJÖ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46293</v>
      </c>
      <c r="F220" t="inlineStr">
        <is>
          <t>JÖNKÖPINGS LÄN</t>
        </is>
      </c>
      <c r="G220" t="inlineStr">
        <is>
          <t>EKSJÖ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10153-2024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45364</v>
      </c>
      <c r="E221" s="1" t="n">
        <v>46293</v>
      </c>
      <c r="F221" t="inlineStr">
        <is>
          <t>JÖNKÖPINGS LÄN</t>
        </is>
      </c>
      <c r="G221" t="inlineStr">
        <is>
          <t>EKSJÖ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46293</v>
      </c>
      <c r="F222" t="inlineStr">
        <is>
          <t>JÖNKÖPINGS LÄN</t>
        </is>
      </c>
      <c r="G222" t="inlineStr">
        <is>
          <t>EKSJÖ</t>
        </is>
      </c>
      <c r="H222" t="inlineStr">
        <is>
          <t>Övriga Aktiebolag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46100</v>
      </c>
      <c r="E223" s="1" t="n">
        <v>46293</v>
      </c>
      <c r="F223" t="inlineStr">
        <is>
          <t>JÖNKÖPINGS LÄN</t>
        </is>
      </c>
      <c r="G223" t="inlineStr">
        <is>
          <t>EKSJÖ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46293</v>
      </c>
      <c r="F224" t="inlineStr">
        <is>
          <t>JÖNKÖPINGS LÄN</t>
        </is>
      </c>
      <c r="G224" t="inlineStr">
        <is>
          <t>EKSJÖ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44701</v>
      </c>
      <c r="E225" s="1" t="n">
        <v>46293</v>
      </c>
      <c r="F225" t="inlineStr">
        <is>
          <t>JÖNKÖPINGS LÄN</t>
        </is>
      </c>
      <c r="G225" t="inlineStr">
        <is>
          <t>EKSJÖ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45251</v>
      </c>
      <c r="E226" s="1" t="n">
        <v>46293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22456-2022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44713</v>
      </c>
      <c r="E227" s="1" t="n">
        <v>46293</v>
      </c>
      <c r="F227" t="inlineStr">
        <is>
          <t>JÖNKÖPINGS LÄN</t>
        </is>
      </c>
      <c r="G227" t="inlineStr">
        <is>
          <t>EKSJÖ</t>
        </is>
      </c>
      <c r="H227" t="inlineStr">
        <is>
          <t>Kyrkan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46293</v>
      </c>
      <c r="F228" t="inlineStr">
        <is>
          <t>JÖNKÖPINGS LÄN</t>
        </is>
      </c>
      <c r="G228" t="inlineStr">
        <is>
          <t>EKSJÖ</t>
        </is>
      </c>
      <c r="H228" t="inlineStr">
        <is>
          <t>Övriga Aktiebolag</t>
        </is>
      </c>
      <c r="I228" t="n">
        <v>17.5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46107</v>
      </c>
      <c r="E229" s="1" t="n">
        <v>46293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46293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46293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15767-2026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46293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46293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46293</v>
      </c>
      <c r="F234" t="inlineStr">
        <is>
          <t>JÖNKÖPINGS LÄN</t>
        </is>
      </c>
      <c r="G234" t="inlineStr">
        <is>
          <t>EKSJÖ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15403-2026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46293</v>
      </c>
      <c r="F235" t="inlineStr">
        <is>
          <t>JÖNKÖPINGS LÄN</t>
        </is>
      </c>
      <c r="G235" t="inlineStr">
        <is>
          <t>EKSJÖ</t>
        </is>
      </c>
      <c r="H235" t="inlineStr">
        <is>
          <t>Kommuner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46293</v>
      </c>
      <c r="F236" t="inlineStr">
        <is>
          <t>JÖNKÖPINGS LÄN</t>
        </is>
      </c>
      <c r="G236" t="inlineStr">
        <is>
          <t>EKSJÖ</t>
        </is>
      </c>
      <c r="H236" t="inlineStr">
        <is>
          <t>Kommuner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46293</v>
      </c>
      <c r="F237" t="inlineStr">
        <is>
          <t>JÖNKÖPINGS LÄN</t>
        </is>
      </c>
      <c r="G237" t="inlineStr">
        <is>
          <t>EKSJÖ</t>
        </is>
      </c>
      <c r="H237" t="inlineStr">
        <is>
          <t>Kyrkan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46293</v>
      </c>
      <c r="F238" t="inlineStr">
        <is>
          <t>JÖNKÖPINGS LÄN</t>
        </is>
      </c>
      <c r="G238" t="inlineStr">
        <is>
          <t>EKSJÖ</t>
        </is>
      </c>
      <c r="H238" t="inlineStr">
        <is>
          <t>Kyrkan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45076</v>
      </c>
      <c r="E239" s="1" t="n">
        <v>46293</v>
      </c>
      <c r="F239" t="inlineStr">
        <is>
          <t>JÖNKÖPINGS LÄN</t>
        </is>
      </c>
      <c r="G239" t="inlineStr">
        <is>
          <t>EKSJÖ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46293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46293</v>
      </c>
      <c r="F241" t="inlineStr">
        <is>
          <t>JÖNKÖPINGS LÄN</t>
        </is>
      </c>
      <c r="G241" t="inlineStr">
        <is>
          <t>EKSJÖ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46293</v>
      </c>
      <c r="F242" t="inlineStr">
        <is>
          <t>JÖNKÖPINGS LÄN</t>
        </is>
      </c>
      <c r="G242" t="inlineStr">
        <is>
          <t>EKSJÖ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36355-2022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46293</v>
      </c>
      <c r="F243" t="inlineStr">
        <is>
          <t>JÖNKÖPINGS LÄN</t>
        </is>
      </c>
      <c r="G243" t="inlineStr">
        <is>
          <t>EKSJÖ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16885-2026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46293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46293</v>
      </c>
      <c r="F245" t="inlineStr">
        <is>
          <t>JÖNKÖPINGS LÄN</t>
        </is>
      </c>
      <c r="G245" t="inlineStr">
        <is>
          <t>EKSJÖ</t>
        </is>
      </c>
      <c r="H245" t="inlineStr">
        <is>
          <t>Övriga Aktiebolag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46293</v>
      </c>
      <c r="F246" t="inlineStr">
        <is>
          <t>JÖNKÖPINGS LÄN</t>
        </is>
      </c>
      <c r="G246" t="inlineStr">
        <is>
          <t>EKSJÖ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46293</v>
      </c>
      <c r="F247" t="inlineStr">
        <is>
          <t>JÖNKÖPINGS LÄN</t>
        </is>
      </c>
      <c r="G247" t="inlineStr">
        <is>
          <t>EKSJÖ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59955-2022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44909</v>
      </c>
      <c r="E248" s="1" t="n">
        <v>46293</v>
      </c>
      <c r="F248" t="inlineStr">
        <is>
          <t>JÖNKÖPINGS LÄN</t>
        </is>
      </c>
      <c r="G248" t="inlineStr">
        <is>
          <t>EKSJÖ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46293</v>
      </c>
      <c r="F249" t="inlineStr">
        <is>
          <t>JÖNKÖPINGS LÄN</t>
        </is>
      </c>
      <c r="G249" t="inlineStr">
        <is>
          <t>EKSJÖ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25141-2023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45086</v>
      </c>
      <c r="E250" s="1" t="n">
        <v>46293</v>
      </c>
      <c r="F250" t="inlineStr">
        <is>
          <t>JÖNKÖPINGS LÄN</t>
        </is>
      </c>
      <c r="G250" t="inlineStr">
        <is>
          <t>EKSJÖ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46127</v>
      </c>
      <c r="E251" s="1" t="n">
        <v>46293</v>
      </c>
      <c r="F251" t="inlineStr">
        <is>
          <t>JÖNKÖPINGS LÄN</t>
        </is>
      </c>
      <c r="G251" t="inlineStr">
        <is>
          <t>EKSJÖ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46293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46293</v>
      </c>
      <c r="F253" t="inlineStr">
        <is>
          <t>JÖNKÖPINGS LÄN</t>
        </is>
      </c>
      <c r="G253" t="inlineStr">
        <is>
          <t>EKSJÖ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46293</v>
      </c>
      <c r="F254" t="inlineStr">
        <is>
          <t>JÖNKÖPINGS LÄN</t>
        </is>
      </c>
      <c r="G254" t="inlineStr">
        <is>
          <t>EKSJÖ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13273-2023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45003</v>
      </c>
      <c r="E255" s="1" t="n">
        <v>46293</v>
      </c>
      <c r="F255" t="inlineStr">
        <is>
          <t>JÖNKÖPINGS LÄN</t>
        </is>
      </c>
      <c r="G255" t="inlineStr">
        <is>
          <t>EKSJÖ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58095-2024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46293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46293</v>
      </c>
      <c r="F257" t="inlineStr">
        <is>
          <t>JÖNKÖPINGS LÄN</t>
        </is>
      </c>
      <c r="G257" t="inlineStr">
        <is>
          <t>EKSJÖ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46293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44719</v>
      </c>
      <c r="E259" s="1" t="n">
        <v>46293</v>
      </c>
      <c r="F259" t="inlineStr">
        <is>
          <t>JÖNKÖPINGS LÄN</t>
        </is>
      </c>
      <c r="G259" t="inlineStr">
        <is>
          <t>EKSJÖ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45036</v>
      </c>
      <c r="E260" s="1" t="n">
        <v>46293</v>
      </c>
      <c r="F260" t="inlineStr">
        <is>
          <t>JÖNKÖPINGS LÄN</t>
        </is>
      </c>
      <c r="G260" t="inlineStr">
        <is>
          <t>EKSJÖ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46293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45365</v>
      </c>
      <c r="E262" s="1" t="n">
        <v>46293</v>
      </c>
      <c r="F262" t="inlineStr">
        <is>
          <t>JÖNKÖPINGS LÄN</t>
        </is>
      </c>
      <c r="G262" t="inlineStr">
        <is>
          <t>EKSJÖ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46293</v>
      </c>
      <c r="F263" t="inlineStr">
        <is>
          <t>JÖNKÖPINGS LÄN</t>
        </is>
      </c>
      <c r="G263" t="inlineStr">
        <is>
          <t>EKSJÖ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27086-2023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45096</v>
      </c>
      <c r="E264" s="1" t="n">
        <v>46293</v>
      </c>
      <c r="F264" t="inlineStr">
        <is>
          <t>JÖNKÖPINGS LÄN</t>
        </is>
      </c>
      <c r="G264" t="inlineStr">
        <is>
          <t>EKSJÖ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57802-2025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46293</v>
      </c>
      <c r="F265" t="inlineStr">
        <is>
          <t>JÖNKÖPINGS LÄN</t>
        </is>
      </c>
      <c r="G265" t="inlineStr">
        <is>
          <t>EKSJÖ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45114</v>
      </c>
      <c r="E266" s="1" t="n">
        <v>46293</v>
      </c>
      <c r="F266" t="inlineStr">
        <is>
          <t>JÖNKÖPINGS LÄN</t>
        </is>
      </c>
      <c r="G266" t="inlineStr">
        <is>
          <t>EKSJÖ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45628</v>
      </c>
      <c r="E267" s="1" t="n">
        <v>46293</v>
      </c>
      <c r="F267" t="inlineStr">
        <is>
          <t>JÖNKÖPINGS LÄN</t>
        </is>
      </c>
      <c r="G267" t="inlineStr">
        <is>
          <t>EKSJÖ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58307-2025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45985</v>
      </c>
      <c r="E268" s="1" t="n">
        <v>46293</v>
      </c>
      <c r="F268" t="inlineStr">
        <is>
          <t>JÖNKÖPINGS LÄN</t>
        </is>
      </c>
      <c r="G268" t="inlineStr">
        <is>
          <t>EKSJÖ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46293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46293</v>
      </c>
      <c r="F270" t="inlineStr">
        <is>
          <t>JÖNKÖPINGS LÄN</t>
        </is>
      </c>
      <c r="G270" t="inlineStr">
        <is>
          <t>EKSJÖ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46293</v>
      </c>
      <c r="F271" t="inlineStr">
        <is>
          <t>JÖNKÖPINGS LÄN</t>
        </is>
      </c>
      <c r="G271" t="inlineStr">
        <is>
          <t>EKSJÖ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17635-2025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46293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45631</v>
      </c>
      <c r="E273" s="1" t="n">
        <v>46293</v>
      </c>
      <c r="F273" t="inlineStr">
        <is>
          <t>JÖNKÖPINGS LÄN</t>
        </is>
      </c>
      <c r="G273" t="inlineStr">
        <is>
          <t>EKSJÖ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46293</v>
      </c>
      <c r="F274" t="inlineStr">
        <is>
          <t>JÖNKÖPINGS LÄN</t>
        </is>
      </c>
      <c r="G274" t="inlineStr">
        <is>
          <t>EKSJÖ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59655-2025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46293</v>
      </c>
      <c r="F275" t="inlineStr">
        <is>
          <t>JÖNKÖPINGS LÄN</t>
        </is>
      </c>
      <c r="G275" t="inlineStr">
        <is>
          <t>EKSJÖ</t>
        </is>
      </c>
      <c r="H275" t="inlineStr">
        <is>
          <t>Sveaskog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46293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59564-2025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45991</v>
      </c>
      <c r="E277" s="1" t="n">
        <v>46293</v>
      </c>
      <c r="F277" t="inlineStr">
        <is>
          <t>JÖNKÖPINGS LÄN</t>
        </is>
      </c>
      <c r="G277" t="inlineStr">
        <is>
          <t>EKSJÖ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46293</v>
      </c>
      <c r="F278" t="inlineStr">
        <is>
          <t>JÖNKÖPINGS LÄN</t>
        </is>
      </c>
      <c r="G278" t="inlineStr">
        <is>
          <t>EKSJÖ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44783</v>
      </c>
      <c r="E279" s="1" t="n">
        <v>46293</v>
      </c>
      <c r="F279" t="inlineStr">
        <is>
          <t>JÖNKÖPINGS LÄN</t>
        </is>
      </c>
      <c r="G279" t="inlineStr">
        <is>
          <t>EKSJÖ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47390-2022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44853</v>
      </c>
      <c r="E280" s="1" t="n">
        <v>46293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46293</v>
      </c>
      <c r="F281" t="inlineStr">
        <is>
          <t>JÖNKÖPINGS LÄN</t>
        </is>
      </c>
      <c r="G281" t="inlineStr">
        <is>
          <t>EKSJÖ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46293</v>
      </c>
      <c r="F282" t="inlineStr">
        <is>
          <t>JÖNKÖPINGS LÄN</t>
        </is>
      </c>
      <c r="G282" t="inlineStr">
        <is>
          <t>EKSJÖ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46293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9364-2025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45715</v>
      </c>
      <c r="E284" s="1" t="n">
        <v>46293</v>
      </c>
      <c r="F284" t="inlineStr">
        <is>
          <t>JÖNKÖPINGS LÄN</t>
        </is>
      </c>
      <c r="G284" t="inlineStr">
        <is>
          <t>EKSJÖ</t>
        </is>
      </c>
      <c r="H284" t="inlineStr">
        <is>
          <t>Sveaskog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45485</v>
      </c>
      <c r="E285" s="1" t="n">
        <v>46293</v>
      </c>
      <c r="F285" t="inlineStr">
        <is>
          <t>JÖNKÖPINGS LÄN</t>
        </is>
      </c>
      <c r="G285" t="inlineStr">
        <is>
          <t>EKSJÖ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46293</v>
      </c>
      <c r="F286" t="inlineStr">
        <is>
          <t>JÖNKÖPINGS LÄN</t>
        </is>
      </c>
      <c r="G286" t="inlineStr">
        <is>
          <t>EKSJÖ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46293</v>
      </c>
      <c r="F287" t="inlineStr">
        <is>
          <t>JÖNKÖPINGS LÄN</t>
        </is>
      </c>
      <c r="G287" t="inlineStr">
        <is>
          <t>EKSJÖ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46293</v>
      </c>
      <c r="F288" t="inlineStr">
        <is>
          <t>JÖNKÖPINGS LÄN</t>
        </is>
      </c>
      <c r="G288" t="inlineStr">
        <is>
          <t>EKSJÖ</t>
        </is>
      </c>
      <c r="H288" t="inlineStr">
        <is>
          <t>Övriga Aktiebolag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45237</v>
      </c>
      <c r="E289" s="1" t="n">
        <v>46293</v>
      </c>
      <c r="F289" t="inlineStr">
        <is>
          <t>JÖNKÖPINGS LÄN</t>
        </is>
      </c>
      <c r="G289" t="inlineStr">
        <is>
          <t>EKSJÖ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46293</v>
      </c>
      <c r="F290" t="inlineStr">
        <is>
          <t>JÖNKÖPINGS LÄN</t>
        </is>
      </c>
      <c r="G290" t="inlineStr">
        <is>
          <t>EKSJÖ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38592-2022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44813</v>
      </c>
      <c r="E291" s="1" t="n">
        <v>46293</v>
      </c>
      <c r="F291" t="inlineStr">
        <is>
          <t>JÖNKÖPINGS LÄN</t>
        </is>
      </c>
      <c r="G291" t="inlineStr">
        <is>
          <t>EKSJÖ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46293</v>
      </c>
      <c r="F292" t="inlineStr">
        <is>
          <t>JÖNKÖPINGS LÄN</t>
        </is>
      </c>
      <c r="G292" t="inlineStr">
        <is>
          <t>EKSJÖ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45224</v>
      </c>
      <c r="E293" s="1" t="n">
        <v>46293</v>
      </c>
      <c r="F293" t="inlineStr">
        <is>
          <t>JÖNKÖPINGS LÄN</t>
        </is>
      </c>
      <c r="G293" t="inlineStr">
        <is>
          <t>EKSJÖ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45819</v>
      </c>
      <c r="E294" s="1" t="n">
        <v>46293</v>
      </c>
      <c r="F294" t="inlineStr">
        <is>
          <t>JÖNKÖPINGS LÄN</t>
        </is>
      </c>
      <c r="G294" t="inlineStr">
        <is>
          <t>EKSJÖ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46293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46293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10045-2025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45719</v>
      </c>
      <c r="E297" s="1" t="n">
        <v>46293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62892-2025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46293</v>
      </c>
      <c r="F298" t="inlineStr">
        <is>
          <t>JÖNKÖPINGS LÄN</t>
        </is>
      </c>
      <c r="G298" t="inlineStr">
        <is>
          <t>EKSJÖ</t>
        </is>
      </c>
      <c r="H298" t="inlineStr">
        <is>
          <t>Kommuner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46293</v>
      </c>
      <c r="F299" t="inlineStr">
        <is>
          <t>JÖNKÖPINGS LÄN</t>
        </is>
      </c>
      <c r="G299" t="inlineStr">
        <is>
          <t>EKSJÖ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63438-2025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46013</v>
      </c>
      <c r="E300" s="1" t="n">
        <v>46293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46293</v>
      </c>
      <c r="F301" t="inlineStr">
        <is>
          <t>JÖNKÖPINGS LÄN</t>
        </is>
      </c>
      <c r="G301" t="inlineStr">
        <is>
          <t>EKSJÖ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64106-2025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46293</v>
      </c>
      <c r="F302" t="inlineStr">
        <is>
          <t>JÖNKÖPINGS LÄN</t>
        </is>
      </c>
      <c r="G302" t="inlineStr">
        <is>
          <t>EKSJÖ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46293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46293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44945</v>
      </c>
      <c r="E305" s="1" t="n">
        <v>46293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46293</v>
      </c>
      <c r="F306" t="inlineStr">
        <is>
          <t>JÖNKÖPINGS LÄN</t>
        </is>
      </c>
      <c r="G306" t="inlineStr">
        <is>
          <t>EKSJÖ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38106-2025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45882</v>
      </c>
      <c r="E307" s="1" t="n">
        <v>46293</v>
      </c>
      <c r="F307" t="inlineStr">
        <is>
          <t>JÖNKÖPINGS LÄN</t>
        </is>
      </c>
      <c r="G307" t="inlineStr">
        <is>
          <t>EKSJÖ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45671</v>
      </c>
      <c r="E308" s="1" t="n">
        <v>46293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5634-2024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45334</v>
      </c>
      <c r="E309" s="1" t="n">
        <v>46293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45826</v>
      </c>
      <c r="E310" s="1" t="n">
        <v>46293</v>
      </c>
      <c r="F310" t="inlineStr">
        <is>
          <t>JÖNKÖPINGS LÄN</t>
        </is>
      </c>
      <c r="G310" t="inlineStr">
        <is>
          <t>EKSJÖ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45197</v>
      </c>
      <c r="E311" s="1" t="n">
        <v>46293</v>
      </c>
      <c r="F311" t="inlineStr">
        <is>
          <t>JÖNKÖPINGS LÄN</t>
        </is>
      </c>
      <c r="G311" t="inlineStr">
        <is>
          <t>EKSJÖ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41016-2023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46293</v>
      </c>
      <c r="F312" t="inlineStr">
        <is>
          <t>JÖNKÖPINGS LÄN</t>
        </is>
      </c>
      <c r="G312" t="inlineStr">
        <is>
          <t>EKSJÖ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46293</v>
      </c>
      <c r="F313" t="inlineStr">
        <is>
          <t>JÖNKÖPINGS LÄN</t>
        </is>
      </c>
      <c r="G313" t="inlineStr">
        <is>
          <t>EKSJÖ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45072</v>
      </c>
      <c r="E314" s="1" t="n">
        <v>46293</v>
      </c>
      <c r="F314" t="inlineStr">
        <is>
          <t>JÖNKÖPINGS LÄN</t>
        </is>
      </c>
      <c r="G314" t="inlineStr">
        <is>
          <t>EKSJÖ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45418</v>
      </c>
      <c r="E315" s="1" t="n">
        <v>46293</v>
      </c>
      <c r="F315" t="inlineStr">
        <is>
          <t>JÖNKÖPINGS LÄN</t>
        </is>
      </c>
      <c r="G315" t="inlineStr">
        <is>
          <t>EKSJÖ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45068</v>
      </c>
      <c r="E316" s="1" t="n">
        <v>46293</v>
      </c>
      <c r="F316" t="inlineStr">
        <is>
          <t>JÖNKÖPINGS LÄN</t>
        </is>
      </c>
      <c r="G316" t="inlineStr">
        <is>
          <t>EKSJÖ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45741</v>
      </c>
      <c r="E317" s="1" t="n">
        <v>46293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22670-2023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46293</v>
      </c>
      <c r="F318" t="inlineStr">
        <is>
          <t>JÖNKÖPINGS LÄN</t>
        </is>
      </c>
      <c r="G318" t="inlineStr">
        <is>
          <t>EKSJÖ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46293</v>
      </c>
      <c r="F319" t="inlineStr">
        <is>
          <t>JÖNKÖPINGS LÄN</t>
        </is>
      </c>
      <c r="G319" t="inlineStr">
        <is>
          <t>EKSJÖ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46293</v>
      </c>
      <c r="F320" t="inlineStr">
        <is>
          <t>JÖNKÖPINGS LÄN</t>
        </is>
      </c>
      <c r="G320" t="inlineStr">
        <is>
          <t>EKSJÖ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21073-2026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46293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59852-2022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46293</v>
      </c>
      <c r="F322" t="inlineStr">
        <is>
          <t>JÖNKÖPINGS LÄN</t>
        </is>
      </c>
      <c r="G322" t="inlineStr">
        <is>
          <t>EKSJÖ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14420-2025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45741</v>
      </c>
      <c r="E323" s="1" t="n">
        <v>46293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56469-2021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44480</v>
      </c>
      <c r="E324" s="1" t="n">
        <v>46293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45757</v>
      </c>
      <c r="E325" s="1" t="n">
        <v>46293</v>
      </c>
      <c r="F325" t="inlineStr">
        <is>
          <t>JÖNKÖPINGS LÄN</t>
        </is>
      </c>
      <c r="G325" t="inlineStr">
        <is>
          <t>EKSJÖ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46293</v>
      </c>
      <c r="F326" t="inlineStr">
        <is>
          <t>JÖNKÖPINGS LÄN</t>
        </is>
      </c>
      <c r="G326" t="inlineStr">
        <is>
          <t>EKSJÖ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41440-2024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45560</v>
      </c>
      <c r="E327" s="1" t="n">
        <v>46293</v>
      </c>
      <c r="F327" t="inlineStr">
        <is>
          <t>JÖNKÖPINGS LÄN</t>
        </is>
      </c>
      <c r="G327" t="inlineStr">
        <is>
          <t>EKSJÖ</t>
        </is>
      </c>
      <c r="H327" t="inlineStr">
        <is>
          <t>Kyrkan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46013</v>
      </c>
      <c r="E328" s="1" t="n">
        <v>46293</v>
      </c>
      <c r="F328" t="inlineStr">
        <is>
          <t>JÖNKÖPINGS LÄN</t>
        </is>
      </c>
      <c r="G328" t="inlineStr">
        <is>
          <t>EKSJÖ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46293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60920-2025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45996</v>
      </c>
      <c r="E330" s="1" t="n">
        <v>46293</v>
      </c>
      <c r="F330" t="inlineStr">
        <is>
          <t>JÖNKÖPINGS LÄN</t>
        </is>
      </c>
      <c r="G330" t="inlineStr">
        <is>
          <t>EKSJÖ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45097</v>
      </c>
      <c r="E331" s="1" t="n">
        <v>46293</v>
      </c>
      <c r="F331" t="inlineStr">
        <is>
          <t>JÖNKÖPINGS LÄN</t>
        </is>
      </c>
      <c r="G331" t="inlineStr">
        <is>
          <t>EKSJÖ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46293</v>
      </c>
      <c r="F332" t="inlineStr">
        <is>
          <t>JÖNKÖPINGS LÄN</t>
        </is>
      </c>
      <c r="G332" t="inlineStr">
        <is>
          <t>EKSJÖ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32873-2025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45839</v>
      </c>
      <c r="E333" s="1" t="n">
        <v>46293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33614-2025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46293</v>
      </c>
      <c r="F334" t="inlineStr">
        <is>
          <t>JÖNKÖPINGS LÄN</t>
        </is>
      </c>
      <c r="G334" t="inlineStr">
        <is>
          <t>EKSJÖ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46293</v>
      </c>
      <c r="F335" t="inlineStr">
        <is>
          <t>JÖNKÖPINGS LÄN</t>
        </is>
      </c>
      <c r="G335" t="inlineStr">
        <is>
          <t>EKSJÖ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46293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46293</v>
      </c>
      <c r="F337" t="inlineStr">
        <is>
          <t>JÖNKÖPINGS LÄN</t>
        </is>
      </c>
      <c r="G337" t="inlineStr">
        <is>
          <t>EKSJÖ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44966</v>
      </c>
      <c r="E338" s="1" t="n">
        <v>46293</v>
      </c>
      <c r="F338" t="inlineStr">
        <is>
          <t>JÖNKÖPINGS LÄN</t>
        </is>
      </c>
      <c r="G338" t="inlineStr">
        <is>
          <t>EKSJÖ</t>
        </is>
      </c>
      <c r="H338" t="inlineStr">
        <is>
          <t>Kyrkan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45845</v>
      </c>
      <c r="E339" s="1" t="n">
        <v>46293</v>
      </c>
      <c r="F339" t="inlineStr">
        <is>
          <t>JÖNKÖPINGS LÄN</t>
        </is>
      </c>
      <c r="G339" t="inlineStr">
        <is>
          <t>EKSJÖ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46293</v>
      </c>
      <c r="F340" t="inlineStr">
        <is>
          <t>JÖNKÖPINGS LÄN</t>
        </is>
      </c>
      <c r="G340" t="inlineStr">
        <is>
          <t>EKSJÖ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46293</v>
      </c>
      <c r="F341" t="inlineStr">
        <is>
          <t>JÖNKÖPINGS LÄN</t>
        </is>
      </c>
      <c r="G341" t="inlineStr">
        <is>
          <t>EKSJÖ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23575-2026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46293</v>
      </c>
      <c r="F342" t="inlineStr">
        <is>
          <t>JÖNKÖPINGS LÄN</t>
        </is>
      </c>
      <c r="G342" t="inlineStr">
        <is>
          <t>EKSJÖ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46293</v>
      </c>
      <c r="F343" t="inlineStr">
        <is>
          <t>JÖNKÖPINGS LÄN</t>
        </is>
      </c>
      <c r="G343" t="inlineStr">
        <is>
          <t>EKSJÖ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46293</v>
      </c>
      <c r="F344" t="inlineStr">
        <is>
          <t>JÖNKÖPINGS LÄN</t>
        </is>
      </c>
      <c r="G344" t="inlineStr">
        <is>
          <t>EKSJÖ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23488-2026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46163</v>
      </c>
      <c r="E345" s="1" t="n">
        <v>46293</v>
      </c>
      <c r="F345" t="inlineStr">
        <is>
          <t>JÖNKÖPINGS LÄN</t>
        </is>
      </c>
      <c r="G345" t="inlineStr">
        <is>
          <t>EKSJÖ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44953</v>
      </c>
      <c r="E346" s="1" t="n">
        <v>46293</v>
      </c>
      <c r="F346" t="inlineStr">
        <is>
          <t>JÖNKÖPINGS LÄN</t>
        </is>
      </c>
      <c r="G346" t="inlineStr">
        <is>
          <t>EKSJÖ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46163</v>
      </c>
      <c r="E347" s="1" t="n">
        <v>46293</v>
      </c>
      <c r="F347" t="inlineStr">
        <is>
          <t>JÖNKÖPINGS LÄN</t>
        </is>
      </c>
      <c r="G347" t="inlineStr">
        <is>
          <t>EKSJÖ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45391</v>
      </c>
      <c r="E348" s="1" t="n">
        <v>46293</v>
      </c>
      <c r="F348" t="inlineStr">
        <is>
          <t>JÖNKÖPINGS LÄN</t>
        </is>
      </c>
      <c r="G348" t="inlineStr">
        <is>
          <t>EKSJÖ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23573-2026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46163</v>
      </c>
      <c r="E349" s="1" t="n">
        <v>46293</v>
      </c>
      <c r="F349" t="inlineStr">
        <is>
          <t>JÖNKÖPINGS LÄN</t>
        </is>
      </c>
      <c r="G349" t="inlineStr">
        <is>
          <t>EKSJÖ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46293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35617-2023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45147</v>
      </c>
      <c r="E351" s="1" t="n">
        <v>46293</v>
      </c>
      <c r="F351" t="inlineStr">
        <is>
          <t>JÖNKÖPINGS LÄN</t>
        </is>
      </c>
      <c r="G351" t="inlineStr">
        <is>
          <t>EKSJÖ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46293</v>
      </c>
      <c r="F352" t="inlineStr">
        <is>
          <t>JÖNKÖPINGS LÄN</t>
        </is>
      </c>
      <c r="G352" t="inlineStr">
        <is>
          <t>EKSJÖ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45785</v>
      </c>
      <c r="E353" s="1" t="n">
        <v>46293</v>
      </c>
      <c r="F353" t="inlineStr">
        <is>
          <t>JÖNKÖPINGS LÄN</t>
        </is>
      </c>
      <c r="G353" t="inlineStr">
        <is>
          <t>EKSJÖ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44293-2025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46293</v>
      </c>
      <c r="F354" t="inlineStr">
        <is>
          <t>JÖNKÖPINGS LÄN</t>
        </is>
      </c>
      <c r="G354" t="inlineStr">
        <is>
          <t>EKSJÖ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41816-2024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45561</v>
      </c>
      <c r="E355" s="1" t="n">
        <v>46293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45461</v>
      </c>
      <c r="E356" s="1" t="n">
        <v>46293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35784-2025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45860</v>
      </c>
      <c r="E357" s="1" t="n">
        <v>46293</v>
      </c>
      <c r="F357" t="inlineStr">
        <is>
          <t>JÖNKÖPINGS LÄN</t>
        </is>
      </c>
      <c r="G357" t="inlineStr">
        <is>
          <t>EKSJÖ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61913-2022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46293</v>
      </c>
      <c r="F358" t="inlineStr">
        <is>
          <t>JÖNKÖPINGS LÄN</t>
        </is>
      </c>
      <c r="G358" t="inlineStr">
        <is>
          <t>EKSJÖ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35785-2025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45860</v>
      </c>
      <c r="E359" s="1" t="n">
        <v>46293</v>
      </c>
      <c r="F359" t="inlineStr">
        <is>
          <t>JÖNKÖPINGS LÄN</t>
        </is>
      </c>
      <c r="G359" t="inlineStr">
        <is>
          <t>EKSJÖ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46293</v>
      </c>
      <c r="F360" t="inlineStr">
        <is>
          <t>JÖNKÖPINGS LÄN</t>
        </is>
      </c>
      <c r="G360" t="inlineStr">
        <is>
          <t>EKSJÖ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46293</v>
      </c>
      <c r="F361" t="inlineStr">
        <is>
          <t>JÖNKÖPINGS LÄN</t>
        </is>
      </c>
      <c r="G361" t="inlineStr">
        <is>
          <t>EKSJÖ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46293</v>
      </c>
      <c r="F362" t="inlineStr">
        <is>
          <t>JÖNKÖPINGS LÄN</t>
        </is>
      </c>
      <c r="G362" t="inlineStr">
        <is>
          <t>EKSJÖ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45334</v>
      </c>
      <c r="E363" s="1" t="n">
        <v>46293</v>
      </c>
      <c r="F363" t="inlineStr">
        <is>
          <t>JÖNKÖPINGS LÄN</t>
        </is>
      </c>
      <c r="G363" t="inlineStr">
        <is>
          <t>EKSJÖ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9281-2023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46293</v>
      </c>
      <c r="F364" t="inlineStr">
        <is>
          <t>JÖNKÖPINGS LÄN</t>
        </is>
      </c>
      <c r="G364" t="inlineStr">
        <is>
          <t>EKSJÖ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25132-2026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46175</v>
      </c>
      <c r="E365" s="1" t="n">
        <v>46293</v>
      </c>
      <c r="F365" t="inlineStr">
        <is>
          <t>JÖNKÖPINGS LÄN</t>
        </is>
      </c>
      <c r="G365" t="inlineStr">
        <is>
          <t>EKSJÖ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36148-2025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45866</v>
      </c>
      <c r="E366" s="1" t="n">
        <v>46293</v>
      </c>
      <c r="F366" t="inlineStr">
        <is>
          <t>JÖNKÖPINGS LÄN</t>
        </is>
      </c>
      <c r="G366" t="inlineStr">
        <is>
          <t>EKSJÖ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41397-2024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45560</v>
      </c>
      <c r="E367" s="1" t="n">
        <v>46293</v>
      </c>
      <c r="F367" t="inlineStr">
        <is>
          <t>JÖNKÖPINGS LÄN</t>
        </is>
      </c>
      <c r="G367" t="inlineStr">
        <is>
          <t>EKSJÖ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64419-2021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44511</v>
      </c>
      <c r="E368" s="1" t="n">
        <v>46293</v>
      </c>
      <c r="F368" t="inlineStr">
        <is>
          <t>JÖNKÖPINGS LÄN</t>
        </is>
      </c>
      <c r="G368" t="inlineStr">
        <is>
          <t>EKSJÖ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25783-2026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46293</v>
      </c>
      <c r="F369" t="inlineStr">
        <is>
          <t>JÖNKÖPINGS LÄN</t>
        </is>
      </c>
      <c r="G369" t="inlineStr">
        <is>
          <t>EKSJÖ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26222-2024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45468</v>
      </c>
      <c r="E370" s="1" t="n">
        <v>46293</v>
      </c>
      <c r="F370" t="inlineStr">
        <is>
          <t>JÖNKÖPINGS LÄN</t>
        </is>
      </c>
      <c r="G370" t="inlineStr">
        <is>
          <t>EKSJÖ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45315</v>
      </c>
      <c r="E371" s="1" t="n">
        <v>46293</v>
      </c>
      <c r="F371" t="inlineStr">
        <is>
          <t>JÖNKÖPINGS LÄN</t>
        </is>
      </c>
      <c r="G371" t="inlineStr">
        <is>
          <t>EKSJÖ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46293</v>
      </c>
      <c r="F372" t="inlineStr">
        <is>
          <t>JÖNKÖPINGS LÄN</t>
        </is>
      </c>
      <c r="G372" t="inlineStr">
        <is>
          <t>EKSJÖ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45664</v>
      </c>
      <c r="E373" s="1" t="n">
        <v>46293</v>
      </c>
      <c r="F373" t="inlineStr">
        <is>
          <t>JÖNKÖPINGS LÄN</t>
        </is>
      </c>
      <c r="G373" t="inlineStr">
        <is>
          <t>EKSJÖ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46293</v>
      </c>
      <c r="F374" t="inlineStr">
        <is>
          <t>JÖNKÖPINGS LÄN</t>
        </is>
      </c>
      <c r="G374" t="inlineStr">
        <is>
          <t>EKSJÖ</t>
        </is>
      </c>
      <c r="H374" t="inlineStr">
        <is>
          <t>Kyrkan</t>
        </is>
      </c>
      <c r="I374" t="n">
        <v>15.2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46293</v>
      </c>
      <c r="F375" t="inlineStr">
        <is>
          <t>JÖNKÖPINGS LÄN</t>
        </is>
      </c>
      <c r="G375" t="inlineStr">
        <is>
          <t>EKSJÖ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8165-2022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44609</v>
      </c>
      <c r="E376" s="1" t="n">
        <v>46293</v>
      </c>
      <c r="F376" t="inlineStr">
        <is>
          <t>JÖNKÖPINGS LÄN</t>
        </is>
      </c>
      <c r="G376" t="inlineStr">
        <is>
          <t>EKSJÖ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26644-2026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46184</v>
      </c>
      <c r="E377" s="1" t="n">
        <v>46293</v>
      </c>
      <c r="F377" t="inlineStr">
        <is>
          <t>JÖNKÖPINGS LÄN</t>
        </is>
      </c>
      <c r="G377" t="inlineStr">
        <is>
          <t>EKSJÖ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58607-2023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45251</v>
      </c>
      <c r="E378" s="1" t="n">
        <v>46293</v>
      </c>
      <c r="F378" t="inlineStr">
        <is>
          <t>JÖNKÖPINGS LÄN</t>
        </is>
      </c>
      <c r="G378" t="inlineStr">
        <is>
          <t>EKSJÖ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26650-2026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46184</v>
      </c>
      <c r="E379" s="1" t="n">
        <v>46293</v>
      </c>
      <c r="F379" t="inlineStr">
        <is>
          <t>JÖNKÖPINGS LÄN</t>
        </is>
      </c>
      <c r="G379" t="inlineStr">
        <is>
          <t>EKSJÖ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38340-2023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46293</v>
      </c>
      <c r="F380" t="inlineStr">
        <is>
          <t>JÖNKÖPINGS LÄN</t>
        </is>
      </c>
      <c r="G380" t="inlineStr">
        <is>
          <t>EKSJÖ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26648-2026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46293</v>
      </c>
      <c r="F381" t="inlineStr">
        <is>
          <t>JÖNKÖPINGS LÄN</t>
        </is>
      </c>
      <c r="G381" t="inlineStr">
        <is>
          <t>EKSJÖ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45344</v>
      </c>
      <c r="E382" s="1" t="n">
        <v>46293</v>
      </c>
      <c r="F382" t="inlineStr">
        <is>
          <t>JÖNKÖPINGS LÄN</t>
        </is>
      </c>
      <c r="G382" t="inlineStr">
        <is>
          <t>EKSJÖ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46293</v>
      </c>
      <c r="F383" t="inlineStr">
        <is>
          <t>JÖNKÖPINGS LÄN</t>
        </is>
      </c>
      <c r="G383" t="inlineStr">
        <is>
          <t>EKSJÖ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46293</v>
      </c>
      <c r="F384" t="inlineStr">
        <is>
          <t>JÖNKÖPINGS LÄN</t>
        </is>
      </c>
      <c r="G384" t="inlineStr">
        <is>
          <t>EKSJÖ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36853-2025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45874</v>
      </c>
      <c r="E385" s="1" t="n">
        <v>46293</v>
      </c>
      <c r="F385" t="inlineStr">
        <is>
          <t>JÖNKÖPINGS LÄN</t>
        </is>
      </c>
      <c r="G385" t="inlineStr">
        <is>
          <t>EKSJÖ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45402</v>
      </c>
      <c r="E386" s="1" t="n">
        <v>46293</v>
      </c>
      <c r="F386" t="inlineStr">
        <is>
          <t>JÖNKÖPINGS LÄN</t>
        </is>
      </c>
      <c r="G386" t="inlineStr">
        <is>
          <t>EKSJÖ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45635</v>
      </c>
      <c r="E387" s="1" t="n">
        <v>46293</v>
      </c>
      <c r="F387" t="inlineStr">
        <is>
          <t>JÖNKÖPINGS LÄN</t>
        </is>
      </c>
      <c r="G387" t="inlineStr">
        <is>
          <t>EKSJÖ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46293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45523</v>
      </c>
      <c r="E389" s="1" t="n">
        <v>46293</v>
      </c>
      <c r="F389" t="inlineStr">
        <is>
          <t>JÖNKÖPINGS LÄN</t>
        </is>
      </c>
      <c r="G389" t="inlineStr">
        <is>
          <t>EKSJÖ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45875</v>
      </c>
      <c r="E390" s="1" t="n">
        <v>46293</v>
      </c>
      <c r="F390" t="inlineStr">
        <is>
          <t>JÖNKÖPINGS LÄN</t>
        </is>
      </c>
      <c r="G390" t="inlineStr">
        <is>
          <t>EKSJÖ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45875</v>
      </c>
      <c r="E391" s="1" t="n">
        <v>46293</v>
      </c>
      <c r="F391" t="inlineStr">
        <is>
          <t>JÖNKÖPINGS LÄN</t>
        </is>
      </c>
      <c r="G391" t="inlineStr">
        <is>
          <t>EKSJÖ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44999</v>
      </c>
      <c r="E392" s="1" t="n">
        <v>46293</v>
      </c>
      <c r="F392" t="inlineStr">
        <is>
          <t>JÖNKÖPINGS LÄN</t>
        </is>
      </c>
      <c r="G392" t="inlineStr">
        <is>
          <t>EKSJÖ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44999</v>
      </c>
      <c r="E393" s="1" t="n">
        <v>46293</v>
      </c>
      <c r="F393" t="inlineStr">
        <is>
          <t>JÖNKÖPINGS LÄN</t>
        </is>
      </c>
      <c r="G393" t="inlineStr">
        <is>
          <t>EKSJÖ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45329</v>
      </c>
      <c r="E394" s="1" t="n">
        <v>46293</v>
      </c>
      <c r="F394" t="inlineStr">
        <is>
          <t>JÖNKÖPINGS LÄN</t>
        </is>
      </c>
      <c r="G394" t="inlineStr">
        <is>
          <t>EKSJÖ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47989-2023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45204</v>
      </c>
      <c r="E395" s="1" t="n">
        <v>46293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45877</v>
      </c>
      <c r="E396" s="1" t="n">
        <v>46293</v>
      </c>
      <c r="F396" t="inlineStr">
        <is>
          <t>JÖNKÖPINGS LÄN</t>
        </is>
      </c>
      <c r="G396" t="inlineStr">
        <is>
          <t>EKSJÖ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45819</v>
      </c>
      <c r="E397" s="1" t="n">
        <v>46293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46197</v>
      </c>
      <c r="E398" s="1" t="n">
        <v>46293</v>
      </c>
      <c r="F398" t="inlineStr">
        <is>
          <t>JÖNKÖPINGS LÄN</t>
        </is>
      </c>
      <c r="G398" t="inlineStr">
        <is>
          <t>EKSJÖ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46197</v>
      </c>
      <c r="E399" s="1" t="n">
        <v>46293</v>
      </c>
      <c r="F399" t="inlineStr">
        <is>
          <t>JÖNKÖPINGS LÄN</t>
        </is>
      </c>
      <c r="G399" t="inlineStr">
        <is>
          <t>EKSJÖ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45842</v>
      </c>
      <c r="E400" s="1" t="n">
        <v>46293</v>
      </c>
      <c r="F400" t="inlineStr">
        <is>
          <t>JÖNKÖPINGS LÄN</t>
        </is>
      </c>
      <c r="G400" t="inlineStr">
        <is>
          <t>EKSJÖ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45706</v>
      </c>
      <c r="E401" s="1" t="n">
        <v>46293</v>
      </c>
      <c r="F401" t="inlineStr">
        <is>
          <t>JÖNKÖPINGS LÄN</t>
        </is>
      </c>
      <c r="G401" t="inlineStr">
        <is>
          <t>EKSJÖ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9283-2025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46293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46293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46293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46293</v>
      </c>
      <c r="F405" t="inlineStr">
        <is>
          <t>JÖNKÖPINGS LÄN</t>
        </is>
      </c>
      <c r="G405" t="inlineStr">
        <is>
          <t>EKSJÖ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46293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45345</v>
      </c>
      <c r="E407" s="1" t="n">
        <v>46293</v>
      </c>
      <c r="F407" t="inlineStr">
        <is>
          <t>JÖNKÖPINGS LÄN</t>
        </is>
      </c>
      <c r="G407" t="inlineStr">
        <is>
          <t>EKSJÖ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46293</v>
      </c>
      <c r="F408" t="inlineStr">
        <is>
          <t>JÖNKÖPINGS LÄN</t>
        </is>
      </c>
      <c r="G408" t="inlineStr">
        <is>
          <t>EKSJÖ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46293</v>
      </c>
      <c r="F409" t="inlineStr">
        <is>
          <t>JÖNKÖPINGS LÄN</t>
        </is>
      </c>
      <c r="G409" t="inlineStr">
        <is>
          <t>EKSJÖ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44581</v>
      </c>
      <c r="E410" s="1" t="n">
        <v>46293</v>
      </c>
      <c r="F410" t="inlineStr">
        <is>
          <t>JÖNKÖPINGS LÄN</t>
        </is>
      </c>
      <c r="G410" t="inlineStr">
        <is>
          <t>EKSJÖ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29193-2026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46293</v>
      </c>
      <c r="F411" t="inlineStr">
        <is>
          <t>JÖNKÖPINGS LÄN</t>
        </is>
      </c>
      <c r="G411" t="inlineStr">
        <is>
          <t>EKSJÖ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9058-2022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44615</v>
      </c>
      <c r="E412" s="1" t="n">
        <v>46293</v>
      </c>
      <c r="F412" t="inlineStr">
        <is>
          <t>JÖNKÖPINGS LÄN</t>
        </is>
      </c>
      <c r="G412" t="inlineStr">
        <is>
          <t>EKSJÖ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45762</v>
      </c>
      <c r="E413" s="1" t="n">
        <v>46293</v>
      </c>
      <c r="F413" t="inlineStr">
        <is>
          <t>JÖNKÖPINGS LÄN</t>
        </is>
      </c>
      <c r="G413" t="inlineStr">
        <is>
          <t>EKSJÖ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54292-2023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45232</v>
      </c>
      <c r="E414" s="1" t="n">
        <v>46293</v>
      </c>
      <c r="F414" t="inlineStr">
        <is>
          <t>JÖNKÖPINGS LÄN</t>
        </is>
      </c>
      <c r="G414" t="inlineStr">
        <is>
          <t>EKSJÖ</t>
        </is>
      </c>
      <c r="I414" t="n">
        <v>18.3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41030-2023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45173</v>
      </c>
      <c r="E415" s="1" t="n">
        <v>46293</v>
      </c>
      <c r="F415" t="inlineStr">
        <is>
          <t>JÖNKÖPINGS LÄN</t>
        </is>
      </c>
      <c r="G415" t="inlineStr">
        <is>
          <t>EKSJÖ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45078</v>
      </c>
      <c r="E416" s="1" t="n">
        <v>46293</v>
      </c>
      <c r="F416" t="inlineStr">
        <is>
          <t>JÖNKÖPINGS LÄN</t>
        </is>
      </c>
      <c r="G416" t="inlineStr">
        <is>
          <t>EKSJÖ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47987-2023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46293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46293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45686</v>
      </c>
      <c r="E419" s="1" t="n">
        <v>46293</v>
      </c>
      <c r="F419" t="inlineStr">
        <is>
          <t>JÖNKÖPINGS LÄN</t>
        </is>
      </c>
      <c r="G419" t="inlineStr">
        <is>
          <t>EKSJÖ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45677</v>
      </c>
      <c r="E420" s="1" t="n">
        <v>46293</v>
      </c>
      <c r="F420" t="inlineStr">
        <is>
          <t>JÖNKÖPINGS LÄN</t>
        </is>
      </c>
      <c r="G420" t="inlineStr">
        <is>
          <t>EKSJÖ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34105-2026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46252</v>
      </c>
      <c r="E421" s="1" t="n">
        <v>46293</v>
      </c>
      <c r="F421" t="inlineStr">
        <is>
          <t>JÖNKÖPINGS LÄN</t>
        </is>
      </c>
      <c r="G421" t="inlineStr">
        <is>
          <t>EKSJÖ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41739-2023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45176</v>
      </c>
      <c r="E422" s="1" t="n">
        <v>46293</v>
      </c>
      <c r="F422" t="inlineStr">
        <is>
          <t>JÖNKÖPINGS LÄN</t>
        </is>
      </c>
      <c r="G422" t="inlineStr">
        <is>
          <t>EKSJÖ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55817-2023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46293</v>
      </c>
      <c r="F423" t="inlineStr">
        <is>
          <t>JÖNKÖPINGS LÄN</t>
        </is>
      </c>
      <c r="G423" t="inlineStr">
        <is>
          <t>EKSJÖ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46212</v>
      </c>
      <c r="E424" s="1" t="n">
        <v>46293</v>
      </c>
      <c r="F424" t="inlineStr">
        <is>
          <t>JÖNKÖPINGS LÄN</t>
        </is>
      </c>
      <c r="G424" t="inlineStr">
        <is>
          <t>EKSJÖ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53987-2023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45231</v>
      </c>
      <c r="E425" s="1" t="n">
        <v>46293</v>
      </c>
      <c r="F425" t="inlineStr">
        <is>
          <t>JÖNKÖPINGS LÄN</t>
        </is>
      </c>
      <c r="G425" t="inlineStr">
        <is>
          <t>EKSJÖ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46293</v>
      </c>
      <c r="F426" t="inlineStr">
        <is>
          <t>JÖNKÖPINGS LÄN</t>
        </is>
      </c>
      <c r="G426" t="inlineStr">
        <is>
          <t>EKSJÖ</t>
        </is>
      </c>
      <c r="H426" t="inlineStr">
        <is>
          <t>Sveaskog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46209</v>
      </c>
      <c r="E427" s="1" t="n">
        <v>46293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31332-2026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46293</v>
      </c>
      <c r="F428" t="inlineStr">
        <is>
          <t>JÖNKÖPINGS LÄN</t>
        </is>
      </c>
      <c r="G428" t="inlineStr">
        <is>
          <t>EKSJÖ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46293</v>
      </c>
      <c r="F429" t="inlineStr">
        <is>
          <t>JÖNKÖPINGS LÄN</t>
        </is>
      </c>
      <c r="G429" t="inlineStr">
        <is>
          <t>EKSJÖ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38659-2023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45162</v>
      </c>
      <c r="E430" s="1" t="n">
        <v>46293</v>
      </c>
      <c r="F430" t="inlineStr">
        <is>
          <t>JÖNKÖPINGS LÄN</t>
        </is>
      </c>
      <c r="G430" t="inlineStr">
        <is>
          <t>EKSJÖ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46293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46293</v>
      </c>
      <c r="F432" t="inlineStr">
        <is>
          <t>JÖNKÖPINGS LÄN</t>
        </is>
      </c>
      <c r="G432" t="inlineStr">
        <is>
          <t>EKSJÖ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46255</v>
      </c>
      <c r="E433" s="1" t="n">
        <v>46293</v>
      </c>
      <c r="F433" t="inlineStr">
        <is>
          <t>JÖNKÖPINGS LÄN</t>
        </is>
      </c>
      <c r="G433" t="inlineStr">
        <is>
          <t>EKSJÖ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54292-2023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45232</v>
      </c>
      <c r="E434" s="1" t="n">
        <v>46293</v>
      </c>
      <c r="F434" t="inlineStr">
        <is>
          <t>JÖNKÖPINGS LÄN</t>
        </is>
      </c>
      <c r="G434" t="inlineStr">
        <is>
          <t>EKSJÖ</t>
        </is>
      </c>
      <c r="I434" t="n">
        <v>18.3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46293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45420</v>
      </c>
      <c r="E436" s="1" t="n">
        <v>46293</v>
      </c>
      <c r="F436" t="inlineStr">
        <is>
          <t>JÖNKÖPINGS LÄN</t>
        </is>
      </c>
      <c r="G436" t="inlineStr">
        <is>
          <t>EKSJÖ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46293</v>
      </c>
      <c r="F437" t="inlineStr">
        <is>
          <t>JÖNKÖPINGS LÄN</t>
        </is>
      </c>
      <c r="G437" t="inlineStr">
        <is>
          <t>EKSJÖ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46293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46255</v>
      </c>
      <c r="E439" s="1" t="n">
        <v>46293</v>
      </c>
      <c r="F439" t="inlineStr">
        <is>
          <t>JÖNKÖPINGS LÄN</t>
        </is>
      </c>
      <c r="G439" t="inlineStr">
        <is>
          <t>EKSJÖ</t>
        </is>
      </c>
      <c r="H439" t="inlineStr">
        <is>
          <t>Sveaskog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46293</v>
      </c>
      <c r="F440" t="inlineStr">
        <is>
          <t>JÖNKÖPINGS LÄN</t>
        </is>
      </c>
      <c r="G440" t="inlineStr">
        <is>
          <t>EKSJÖ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46293</v>
      </c>
      <c r="F441" t="inlineStr">
        <is>
          <t>JÖNKÖPINGS LÄN</t>
        </is>
      </c>
      <c r="G441" t="inlineStr">
        <is>
          <t>EKSJÖ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53479-2023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46293</v>
      </c>
      <c r="F442" t="inlineStr">
        <is>
          <t>JÖNKÖPINGS LÄN</t>
        </is>
      </c>
      <c r="G442" t="inlineStr">
        <is>
          <t>EKSJÖ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45666</v>
      </c>
      <c r="E443" s="1" t="n">
        <v>46293</v>
      </c>
      <c r="F443" t="inlineStr">
        <is>
          <t>JÖNKÖPINGS LÄN</t>
        </is>
      </c>
      <c r="G443" t="inlineStr">
        <is>
          <t>EKSJÖ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34021-2024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46293</v>
      </c>
      <c r="F444" t="inlineStr">
        <is>
          <t>JÖNKÖPINGS LÄN</t>
        </is>
      </c>
      <c r="G444" t="inlineStr">
        <is>
          <t>EKSJÖ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34045-2024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45523</v>
      </c>
      <c r="E445" s="1" t="n">
        <v>46293</v>
      </c>
      <c r="F445" t="inlineStr">
        <is>
          <t>JÖNKÖPINGS LÄN</t>
        </is>
      </c>
      <c r="G445" t="inlineStr">
        <is>
          <t>EKSJÖ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19497-2025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45770</v>
      </c>
      <c r="E446" s="1" t="n">
        <v>46293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45195</v>
      </c>
      <c r="E447" s="1" t="n">
        <v>46293</v>
      </c>
      <c r="F447" t="inlineStr">
        <is>
          <t>JÖNKÖPINGS LÄN</t>
        </is>
      </c>
      <c r="G447" t="inlineStr">
        <is>
          <t>EKSJÖ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45195</v>
      </c>
      <c r="E448" s="1" t="n">
        <v>46293</v>
      </c>
      <c r="F448" t="inlineStr">
        <is>
          <t>JÖNKÖPINGS LÄN</t>
        </is>
      </c>
      <c r="G448" t="inlineStr">
        <is>
          <t>EKSJÖ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35021-2026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46259</v>
      </c>
      <c r="E449" s="1" t="n">
        <v>46293</v>
      </c>
      <c r="F449" t="inlineStr">
        <is>
          <t>JÖNKÖPINGS LÄN</t>
        </is>
      </c>
      <c r="G449" t="inlineStr">
        <is>
          <t>EKSJÖ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45175</v>
      </c>
      <c r="E450" s="1" t="n">
        <v>46293</v>
      </c>
      <c r="F450" t="inlineStr">
        <is>
          <t>JÖNKÖPINGS LÄN</t>
        </is>
      </c>
      <c r="G450" t="inlineStr">
        <is>
          <t>EKSJÖ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45680</v>
      </c>
      <c r="E451" s="1" t="n">
        <v>46293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44685</v>
      </c>
      <c r="E452" s="1" t="n">
        <v>46293</v>
      </c>
      <c r="F452" t="inlineStr">
        <is>
          <t>JÖNKÖPINGS LÄN</t>
        </is>
      </c>
      <c r="G452" t="inlineStr">
        <is>
          <t>EKSJÖ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54916-2023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45236</v>
      </c>
      <c r="E453" s="1" t="n">
        <v>46293</v>
      </c>
      <c r="F453" t="inlineStr">
        <is>
          <t>JÖNKÖPINGS LÄN</t>
        </is>
      </c>
      <c r="G453" t="inlineStr">
        <is>
          <t>EKSJÖ</t>
        </is>
      </c>
      <c r="H453" t="inlineStr">
        <is>
          <t>Övriga Aktiebolag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46293</v>
      </c>
      <c r="F454" t="inlineStr">
        <is>
          <t>JÖNKÖPINGS LÄN</t>
        </is>
      </c>
      <c r="G454" t="inlineStr">
        <is>
          <t>EKSJÖ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59905-2022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44908</v>
      </c>
      <c r="E455" s="1" t="n">
        <v>46293</v>
      </c>
      <c r="F455" t="inlineStr">
        <is>
          <t>JÖNKÖPINGS LÄN</t>
        </is>
      </c>
      <c r="G455" t="inlineStr">
        <is>
          <t>EKSJÖ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55808-2023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45239</v>
      </c>
      <c r="E456" s="1" t="n">
        <v>46293</v>
      </c>
      <c r="F456" t="inlineStr">
        <is>
          <t>JÖNKÖPINGS LÄN</t>
        </is>
      </c>
      <c r="G456" t="inlineStr">
        <is>
          <t>EKSJÖ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45315</v>
      </c>
      <c r="E457" s="1" t="n">
        <v>46293</v>
      </c>
      <c r="F457" t="inlineStr">
        <is>
          <t>JÖNKÖPINGS LÄN</t>
        </is>
      </c>
      <c r="G457" t="inlineStr">
        <is>
          <t>EKSJÖ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2670-2024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45314</v>
      </c>
      <c r="E458" s="1" t="n">
        <v>46293</v>
      </c>
      <c r="F458" t="inlineStr">
        <is>
          <t>JÖNKÖPINGS LÄN</t>
        </is>
      </c>
      <c r="G458" t="inlineStr">
        <is>
          <t>EKSJÖ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45314</v>
      </c>
      <c r="E459" s="1" t="n">
        <v>46293</v>
      </c>
      <c r="F459" t="inlineStr">
        <is>
          <t>JÖNKÖPINGS LÄN</t>
        </is>
      </c>
      <c r="G459" t="inlineStr">
        <is>
          <t>EKSJÖ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45463</v>
      </c>
      <c r="E460" s="1" t="n">
        <v>46293</v>
      </c>
      <c r="F460" t="inlineStr">
        <is>
          <t>JÖNKÖPINGS LÄN</t>
        </is>
      </c>
      <c r="G460" t="inlineStr">
        <is>
          <t>EKSJÖ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46293</v>
      </c>
      <c r="F461" t="inlineStr">
        <is>
          <t>JÖNKÖPINGS LÄN</t>
        </is>
      </c>
      <c r="G461" t="inlineStr">
        <is>
          <t>EKSJÖ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45328</v>
      </c>
      <c r="E462" s="1" t="n">
        <v>46293</v>
      </c>
      <c r="F462" t="inlineStr">
        <is>
          <t>JÖNKÖPINGS LÄN</t>
        </is>
      </c>
      <c r="G462" t="inlineStr">
        <is>
          <t>EKSJÖ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45758</v>
      </c>
      <c r="E463" s="1" t="n">
        <v>46293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9429-2025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45715</v>
      </c>
      <c r="E464" s="1" t="n">
        <v>46293</v>
      </c>
      <c r="F464" t="inlineStr">
        <is>
          <t>JÖNKÖPINGS LÄN</t>
        </is>
      </c>
      <c r="G464" t="inlineStr">
        <is>
          <t>EKSJÖ</t>
        </is>
      </c>
      <c r="H464" t="inlineStr">
        <is>
          <t>Sveaskog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44746</v>
      </c>
      <c r="E465" s="1" t="n">
        <v>46293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36700-2026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46272</v>
      </c>
      <c r="E466" s="1" t="n">
        <v>46293</v>
      </c>
      <c r="F466" t="inlineStr">
        <is>
          <t>JÖNKÖPINGS LÄN</t>
        </is>
      </c>
      <c r="G466" t="inlineStr">
        <is>
          <t>EKSJÖ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46293</v>
      </c>
      <c r="F467" t="inlineStr">
        <is>
          <t>JÖNKÖPINGS LÄN</t>
        </is>
      </c>
      <c r="G467" t="inlineStr">
        <is>
          <t>EKSJÖ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55656-2022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44888</v>
      </c>
      <c r="E468" s="1" t="n">
        <v>46293</v>
      </c>
      <c r="F468" t="inlineStr">
        <is>
          <t>JÖNKÖPINGS LÄN</t>
        </is>
      </c>
      <c r="G468" t="inlineStr">
        <is>
          <t>EKSJÖ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61384-2023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45264</v>
      </c>
      <c r="E469" s="1" t="n">
        <v>46293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59734-2022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46293</v>
      </c>
      <c r="F470" t="inlineStr">
        <is>
          <t>JÖNKÖPINGS LÄN</t>
        </is>
      </c>
      <c r="G470" t="inlineStr">
        <is>
          <t>EKSJÖ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37074-2026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46273</v>
      </c>
      <c r="E471" s="1" t="n">
        <v>46293</v>
      </c>
      <c r="F471" t="inlineStr">
        <is>
          <t>JÖNKÖPINGS LÄN</t>
        </is>
      </c>
      <c r="G471" t="inlineStr">
        <is>
          <t>EKSJÖ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46013-2022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44846</v>
      </c>
      <c r="E472" s="1" t="n">
        <v>46293</v>
      </c>
      <c r="F472" t="inlineStr">
        <is>
          <t>JÖNKÖPINGS LÄN</t>
        </is>
      </c>
      <c r="G472" t="inlineStr">
        <is>
          <t>EKSJÖ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46014-2022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44846</v>
      </c>
      <c r="E473" s="1" t="n">
        <v>46293</v>
      </c>
      <c r="F473" t="inlineStr">
        <is>
          <t>JÖNKÖPINGS LÄN</t>
        </is>
      </c>
      <c r="G473" t="inlineStr">
        <is>
          <t>EKSJÖ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45358</v>
      </c>
      <c r="E474" s="1" t="n">
        <v>46293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37270-2026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46293</v>
      </c>
      <c r="F475" t="inlineStr">
        <is>
          <t>JÖNKÖPINGS LÄN</t>
        </is>
      </c>
      <c r="G475" t="inlineStr">
        <is>
          <t>EKSJÖ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45243</v>
      </c>
      <c r="E476" s="1" t="n">
        <v>46293</v>
      </c>
      <c r="F476" t="inlineStr">
        <is>
          <t>JÖNKÖPINGS LÄN</t>
        </is>
      </c>
      <c r="G476" t="inlineStr">
        <is>
          <t>EKSJÖ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11381-2022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44630</v>
      </c>
      <c r="E477" s="1" t="n">
        <v>46293</v>
      </c>
      <c r="F477" t="inlineStr">
        <is>
          <t>JÖNKÖPINGS LÄN</t>
        </is>
      </c>
      <c r="G477" t="inlineStr">
        <is>
          <t>EKSJÖ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50275-2023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46293</v>
      </c>
      <c r="F478" t="inlineStr">
        <is>
          <t>JÖNKÖPINGS LÄN</t>
        </is>
      </c>
      <c r="G478" t="inlineStr">
        <is>
          <t>EKSJÖ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47204-2022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44851</v>
      </c>
      <c r="E479" s="1" t="n">
        <v>46293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37918-2023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45160</v>
      </c>
      <c r="E480" s="1" t="n">
        <v>46293</v>
      </c>
      <c r="F480" t="inlineStr">
        <is>
          <t>JÖNKÖPINGS LÄN</t>
        </is>
      </c>
      <c r="G480" t="inlineStr">
        <is>
          <t>EKSJÖ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38207-2026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46281</v>
      </c>
      <c r="E481" s="1" t="n">
        <v>46293</v>
      </c>
      <c r="F481" t="inlineStr">
        <is>
          <t>JÖNKÖPINGS LÄN</t>
        </is>
      </c>
      <c r="G481" t="inlineStr">
        <is>
          <t>EKSJÖ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46293</v>
      </c>
      <c r="F482" t="inlineStr">
        <is>
          <t>JÖNKÖPINGS LÄN</t>
        </is>
      </c>
      <c r="G482" t="inlineStr">
        <is>
          <t>EKSJÖ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46577-2022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44848</v>
      </c>
      <c r="E483" s="1" t="n">
        <v>46293</v>
      </c>
      <c r="F483" t="inlineStr">
        <is>
          <t>JÖNKÖPINGS LÄN</t>
        </is>
      </c>
      <c r="G483" t="inlineStr">
        <is>
          <t>EKSJÖ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35738-2024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45532</v>
      </c>
      <c r="E484" s="1" t="n">
        <v>46293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46293</v>
      </c>
      <c r="F485" t="inlineStr">
        <is>
          <t>JÖNKÖPINGS LÄN</t>
        </is>
      </c>
      <c r="G485" t="inlineStr">
        <is>
          <t>EKSJÖ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46293</v>
      </c>
      <c r="F486" t="inlineStr">
        <is>
          <t>JÖNKÖPINGS LÄN</t>
        </is>
      </c>
      <c r="G486" t="inlineStr">
        <is>
          <t>EKSJÖ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38707-2026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46281</v>
      </c>
      <c r="E487" s="1" t="n">
        <v>46293</v>
      </c>
      <c r="F487" t="inlineStr">
        <is>
          <t>JÖNKÖPINGS LÄN</t>
        </is>
      </c>
      <c r="G487" t="inlineStr">
        <is>
          <t>EKSJÖ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13892-2024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45391</v>
      </c>
      <c r="E488" s="1" t="n">
        <v>46293</v>
      </c>
      <c r="F488" t="inlineStr">
        <is>
          <t>JÖNKÖPINGS LÄN</t>
        </is>
      </c>
      <c r="G488" t="inlineStr">
        <is>
          <t>EKSJÖ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38585-2026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46283</v>
      </c>
      <c r="E489" s="1" t="n">
        <v>46293</v>
      </c>
      <c r="F489" t="inlineStr">
        <is>
          <t>JÖNKÖPINGS LÄN</t>
        </is>
      </c>
      <c r="G489" t="inlineStr">
        <is>
          <t>EKSJÖ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28371-2026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46293</v>
      </c>
      <c r="F490" t="inlineStr">
        <is>
          <t>JÖNKÖPINGS LÄN</t>
        </is>
      </c>
      <c r="G490" t="inlineStr">
        <is>
          <t>EKSJÖ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45367-2024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45576</v>
      </c>
      <c r="E491" s="1" t="n">
        <v>46293</v>
      </c>
      <c r="F491" t="inlineStr">
        <is>
          <t>JÖNKÖPINGS LÄN</t>
        </is>
      </c>
      <c r="G491" t="inlineStr">
        <is>
          <t>EKSJÖ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26706-2022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44739</v>
      </c>
      <c r="E492" s="1" t="n">
        <v>46293</v>
      </c>
      <c r="F492" t="inlineStr">
        <is>
          <t>JÖNKÖPINGS LÄN</t>
        </is>
      </c>
      <c r="G492" t="inlineStr">
        <is>
          <t>EKSJÖ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71313-2021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44539</v>
      </c>
      <c r="E493" s="1" t="n">
        <v>46293</v>
      </c>
      <c r="F493" t="inlineStr">
        <is>
          <t>JÖNKÖPINGS LÄN</t>
        </is>
      </c>
      <c r="G493" t="inlineStr">
        <is>
          <t>EKSJÖ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46293</v>
      </c>
      <c r="F494" t="inlineStr">
        <is>
          <t>JÖNKÖPINGS LÄN</t>
        </is>
      </c>
      <c r="G494" t="inlineStr">
        <is>
          <t>EKSJÖ</t>
        </is>
      </c>
      <c r="H494" t="inlineStr">
        <is>
          <t>Sveaskog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46293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44939</v>
      </c>
      <c r="E496" s="1" t="n">
        <v>46293</v>
      </c>
      <c r="F496" t="inlineStr">
        <is>
          <t>JÖNKÖPINGS LÄN</t>
        </is>
      </c>
      <c r="G496" t="inlineStr">
        <is>
          <t>EKSJÖ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33436-2026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46247</v>
      </c>
      <c r="E497" s="1" t="n">
        <v>46293</v>
      </c>
      <c r="F497" t="inlineStr">
        <is>
          <t>JÖNKÖPINGS LÄN</t>
        </is>
      </c>
      <c r="G497" t="inlineStr">
        <is>
          <t>EKSJÖ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25140-2023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45086</v>
      </c>
      <c r="E498" s="1" t="n">
        <v>46293</v>
      </c>
      <c r="F498" t="inlineStr">
        <is>
          <t>JÖNKÖPINGS LÄN</t>
        </is>
      </c>
      <c r="G498" t="inlineStr">
        <is>
          <t>EKSJÖ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46293</v>
      </c>
      <c r="F499" t="inlineStr">
        <is>
          <t>JÖNKÖPINGS LÄN</t>
        </is>
      </c>
      <c r="G499" t="inlineStr">
        <is>
          <t>EKSJÖ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33490-2026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46247</v>
      </c>
      <c r="E500" s="1" t="n">
        <v>46293</v>
      </c>
      <c r="F500" t="inlineStr">
        <is>
          <t>JÖNKÖPINGS LÄN</t>
        </is>
      </c>
      <c r="G500" t="inlineStr">
        <is>
          <t>EKSJÖ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19682-2023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46293</v>
      </c>
      <c r="F501" t="inlineStr">
        <is>
          <t>JÖNKÖPINGS LÄN</t>
        </is>
      </c>
      <c r="G501" t="inlineStr">
        <is>
          <t>EKSJÖ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39606-2026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46289</v>
      </c>
      <c r="E502" s="1" t="n">
        <v>46293</v>
      </c>
      <c r="F502" t="inlineStr">
        <is>
          <t>JÖNKÖPINGS LÄN</t>
        </is>
      </c>
      <c r="G502" t="inlineStr">
        <is>
          <t>EKSJÖ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44789</v>
      </c>
      <c r="E503" s="1" t="n">
        <v>46293</v>
      </c>
      <c r="F503" t="inlineStr">
        <is>
          <t>JÖNKÖPINGS LÄN</t>
        </is>
      </c>
      <c r="G503" t="inlineStr">
        <is>
          <t>EKSJÖ</t>
        </is>
      </c>
      <c r="I503" t="n">
        <v>6.9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46293</v>
      </c>
      <c r="F504" t="inlineStr">
        <is>
          <t>JÖNKÖPINGS LÄN</t>
        </is>
      </c>
      <c r="G504" t="inlineStr">
        <is>
          <t>EKSJÖ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39476-2026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46289</v>
      </c>
      <c r="E505" s="1" t="n">
        <v>46293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17030-2024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45411</v>
      </c>
      <c r="E506" s="1" t="n">
        <v>46293</v>
      </c>
      <c r="F506" t="inlineStr">
        <is>
          <t>JÖNKÖPINGS LÄN</t>
        </is>
      </c>
      <c r="G506" t="inlineStr">
        <is>
          <t>EKSJÖ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46293</v>
      </c>
      <c r="F507" t="inlineStr">
        <is>
          <t>JÖNKÖPINGS LÄN</t>
        </is>
      </c>
      <c r="G507" t="inlineStr">
        <is>
          <t>EKSJÖ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46289</v>
      </c>
      <c r="E508" s="1" t="n">
        <v>46293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25262-2023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45086</v>
      </c>
      <c r="E509" s="1" t="n">
        <v>46293</v>
      </c>
      <c r="F509" t="inlineStr">
        <is>
          <t>JÖNKÖPINGS LÄN</t>
        </is>
      </c>
      <c r="G509" t="inlineStr">
        <is>
          <t>EKSJÖ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44925</v>
      </c>
      <c r="E510" s="1" t="n">
        <v>46293</v>
      </c>
      <c r="F510" t="inlineStr">
        <is>
          <t>JÖNKÖPINGS LÄN</t>
        </is>
      </c>
      <c r="G510" t="inlineStr">
        <is>
          <t>EKSJÖ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45078</v>
      </c>
      <c r="E511" s="1" t="n">
        <v>46293</v>
      </c>
      <c r="F511" t="inlineStr">
        <is>
          <t>JÖNKÖPINGS LÄN</t>
        </is>
      </c>
      <c r="G511" t="inlineStr">
        <is>
          <t>EKSJÖ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45154</v>
      </c>
      <c r="E512" s="1" t="n">
        <v>46293</v>
      </c>
      <c r="F512" t="inlineStr">
        <is>
          <t>JÖNKÖPINGS LÄN</t>
        </is>
      </c>
      <c r="G512" t="inlineStr">
        <is>
          <t>EKSJÖ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65554-2021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44516</v>
      </c>
      <c r="E513" s="1" t="n">
        <v>46293</v>
      </c>
      <c r="F513" t="inlineStr">
        <is>
          <t>JÖNKÖPINGS LÄN</t>
        </is>
      </c>
      <c r="G513" t="inlineStr">
        <is>
          <t>EKSJÖ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45278</v>
      </c>
      <c r="E514" s="1" t="n">
        <v>46293</v>
      </c>
      <c r="F514" t="inlineStr">
        <is>
          <t>JÖNKÖPINGS LÄN</t>
        </is>
      </c>
      <c r="G514" t="inlineStr">
        <is>
          <t>EKSJÖ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28024-2022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44746</v>
      </c>
      <c r="E515" s="1" t="n">
        <v>46293</v>
      </c>
      <c r="F515" t="inlineStr">
        <is>
          <t>JÖNKÖPINGS LÄN</t>
        </is>
      </c>
      <c r="G515" t="inlineStr">
        <is>
          <t>EKSJÖ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32333-2022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44781</v>
      </c>
      <c r="E516" s="1" t="n">
        <v>46293</v>
      </c>
      <c r="F516" t="inlineStr">
        <is>
          <t>JÖNKÖPINGS LÄN</t>
        </is>
      </c>
      <c r="G516" t="inlineStr">
        <is>
          <t>EKSJÖ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44781</v>
      </c>
      <c r="E517" s="1" t="n">
        <v>46293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45337</v>
      </c>
      <c r="E518" s="1" t="n">
        <v>46293</v>
      </c>
      <c r="F518" t="inlineStr">
        <is>
          <t>JÖNKÖPINGS LÄN</t>
        </is>
      </c>
      <c r="G518" t="inlineStr">
        <is>
          <t>EKSJÖ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45680</v>
      </c>
      <c r="E519" s="1" t="n">
        <v>46293</v>
      </c>
      <c r="F519" t="inlineStr">
        <is>
          <t>JÖNKÖPINGS LÄN</t>
        </is>
      </c>
      <c r="G519" t="inlineStr">
        <is>
          <t>EKSJÖ</t>
        </is>
      </c>
      <c r="H519" t="inlineStr">
        <is>
          <t>Sveaskog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46918-2023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46293</v>
      </c>
      <c r="F520" t="inlineStr">
        <is>
          <t>JÖNKÖPINGS LÄN</t>
        </is>
      </c>
      <c r="G520" t="inlineStr">
        <is>
          <t>EKSJÖ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8183-2023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44974</v>
      </c>
      <c r="E521" s="1" t="n">
        <v>46293</v>
      </c>
      <c r="F521" t="inlineStr">
        <is>
          <t>JÖNKÖPINGS LÄN</t>
        </is>
      </c>
      <c r="G521" t="inlineStr">
        <is>
          <t>EKSJÖ</t>
        </is>
      </c>
      <c r="H521" t="inlineStr">
        <is>
          <t>Sveaskog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64541-2023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46293</v>
      </c>
      <c r="F522" t="inlineStr">
        <is>
          <t>JÖNKÖPINGS LÄN</t>
        </is>
      </c>
      <c r="G522" t="inlineStr">
        <is>
          <t>EKSJÖ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44949</v>
      </c>
      <c r="E523" s="1" t="n">
        <v>46293</v>
      </c>
      <c r="F523" t="inlineStr">
        <is>
          <t>JÖNKÖPINGS LÄN</t>
        </is>
      </c>
      <c r="G523" t="inlineStr">
        <is>
          <t>EKSJÖ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46293</v>
      </c>
      <c r="F524" t="inlineStr">
        <is>
          <t>JÖNKÖPINGS LÄN</t>
        </is>
      </c>
      <c r="G524" t="inlineStr">
        <is>
          <t>EKSJÖ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45057</v>
      </c>
      <c r="E525" s="1" t="n">
        <v>46293</v>
      </c>
      <c r="F525" t="inlineStr">
        <is>
          <t>JÖNKÖPINGS LÄN</t>
        </is>
      </c>
      <c r="G525" t="inlineStr">
        <is>
          <t>EKSJÖ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59254-2023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45253</v>
      </c>
      <c r="E526" s="1" t="n">
        <v>46293</v>
      </c>
      <c r="F526" t="inlineStr">
        <is>
          <t>JÖNKÖPINGS LÄN</t>
        </is>
      </c>
      <c r="G526" t="inlineStr">
        <is>
          <t>EKSJÖ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64993-2023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45286</v>
      </c>
      <c r="E527" s="1" t="n">
        <v>46293</v>
      </c>
      <c r="F527" t="inlineStr">
        <is>
          <t>JÖNKÖPINGS LÄN</t>
        </is>
      </c>
      <c r="G527" t="inlineStr">
        <is>
          <t>EKSJÖ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45659</v>
      </c>
      <c r="E528" s="1" t="n">
        <v>46293</v>
      </c>
      <c r="F528" t="inlineStr">
        <is>
          <t>JÖNKÖPINGS LÄN</t>
        </is>
      </c>
      <c r="G528" t="inlineStr">
        <is>
          <t>EKSJÖ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45762</v>
      </c>
      <c r="E529" s="1" t="n">
        <v>46293</v>
      </c>
      <c r="F529" t="inlineStr">
        <is>
          <t>JÖNKÖPINGS LÄN</t>
        </is>
      </c>
      <c r="G529" t="inlineStr">
        <is>
          <t>EKSJÖ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45370</v>
      </c>
      <c r="E530" s="1" t="n">
        <v>46293</v>
      </c>
      <c r="F530" t="inlineStr">
        <is>
          <t>JÖNKÖPINGS LÄN</t>
        </is>
      </c>
      <c r="G530" t="inlineStr">
        <is>
          <t>EKSJÖ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45075</v>
      </c>
      <c r="E531" s="1" t="n">
        <v>46293</v>
      </c>
      <c r="F531" t="inlineStr">
        <is>
          <t>JÖNKÖPINGS LÄN</t>
        </is>
      </c>
      <c r="G531" t="inlineStr">
        <is>
          <t>EKSJÖ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27395-2023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45096</v>
      </c>
      <c r="E532" s="1" t="n">
        <v>46293</v>
      </c>
      <c r="F532" t="inlineStr">
        <is>
          <t>JÖNKÖPINGS LÄN</t>
        </is>
      </c>
      <c r="G532" t="inlineStr">
        <is>
          <t>EKSJÖ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45152</v>
      </c>
      <c r="E533" s="1" t="n">
        <v>46293</v>
      </c>
      <c r="F533" t="inlineStr">
        <is>
          <t>JÖNKÖPINGS LÄN</t>
        </is>
      </c>
      <c r="G533" t="inlineStr">
        <is>
          <t>EKSJÖ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53053-2021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44467</v>
      </c>
      <c r="E534" s="1" t="n">
        <v>46293</v>
      </c>
      <c r="F534" t="inlineStr">
        <is>
          <t>JÖNKÖPINGS LÄN</t>
        </is>
      </c>
      <c r="G534" t="inlineStr">
        <is>
          <t>EKSJÖ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44925</v>
      </c>
      <c r="E535" s="1" t="n">
        <v>46293</v>
      </c>
      <c r="F535" t="inlineStr">
        <is>
          <t>JÖNKÖPINGS LÄN</t>
        </is>
      </c>
      <c r="G535" t="inlineStr">
        <is>
          <t>EKSJÖ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44940</v>
      </c>
      <c r="E536" s="1" t="n">
        <v>46293</v>
      </c>
      <c r="F536" t="inlineStr">
        <is>
          <t>JÖNKÖPINGS LÄN</t>
        </is>
      </c>
      <c r="G536" t="inlineStr">
        <is>
          <t>EKSJÖ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44941</v>
      </c>
      <c r="E537" s="1" t="n">
        <v>46293</v>
      </c>
      <c r="F537" t="inlineStr">
        <is>
          <t>JÖNKÖPINGS LÄN</t>
        </is>
      </c>
      <c r="G537" t="inlineStr">
        <is>
          <t>EKSJÖ</t>
        </is>
      </c>
      <c r="H537" t="inlineStr">
        <is>
          <t>Övriga Aktiebolag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49919-2023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45214</v>
      </c>
      <c r="E538" s="1" t="n">
        <v>46293</v>
      </c>
      <c r="F538" t="inlineStr">
        <is>
          <t>JÖNKÖPINGS LÄN</t>
        </is>
      </c>
      <c r="G538" t="inlineStr">
        <is>
          <t>EKSJÖ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47806-2023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45204</v>
      </c>
      <c r="E539" s="1" t="n">
        <v>46293</v>
      </c>
      <c r="F539" t="inlineStr">
        <is>
          <t>JÖNKÖPINGS LÄN</t>
        </is>
      </c>
      <c r="G539" t="inlineStr">
        <is>
          <t>EKSJÖ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49681-2023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45212</v>
      </c>
      <c r="E540" s="1" t="n">
        <v>46293</v>
      </c>
      <c r="F540" t="inlineStr">
        <is>
          <t>JÖNKÖPINGS LÄN</t>
        </is>
      </c>
      <c r="G540" t="inlineStr">
        <is>
          <t>EKSJÖ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61850-2024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46293</v>
      </c>
      <c r="F541" t="inlineStr">
        <is>
          <t>JÖNKÖPINGS LÄN</t>
        </is>
      </c>
      <c r="G541" t="inlineStr">
        <is>
          <t>EKSJÖ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34772-2023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45141</v>
      </c>
      <c r="E542" s="1" t="n">
        <v>46293</v>
      </c>
      <c r="F542" t="inlineStr">
        <is>
          <t>JÖNKÖPINGS LÄN</t>
        </is>
      </c>
      <c r="G542" t="inlineStr">
        <is>
          <t>EKSJÖ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45054</v>
      </c>
      <c r="E543" s="1" t="n">
        <v>46293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44846</v>
      </c>
      <c r="E544" s="1" t="n">
        <v>46293</v>
      </c>
      <c r="F544" t="inlineStr">
        <is>
          <t>JÖNKÖPINGS LÄN</t>
        </is>
      </c>
      <c r="G544" t="inlineStr">
        <is>
          <t>EKSJÖ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45493-2022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44845</v>
      </c>
      <c r="E545" s="1" t="n">
        <v>46293</v>
      </c>
      <c r="F545" t="inlineStr">
        <is>
          <t>JÖNKÖPINGS LÄN</t>
        </is>
      </c>
      <c r="G545" t="inlineStr">
        <is>
          <t>EKSJÖ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45300</v>
      </c>
      <c r="E546" s="1" t="n">
        <v>46293</v>
      </c>
      <c r="F546" t="inlineStr">
        <is>
          <t>JÖNKÖPINGS LÄN</t>
        </is>
      </c>
      <c r="G546" t="inlineStr">
        <is>
          <t>EKSJÖ</t>
        </is>
      </c>
      <c r="I546" t="n">
        <v>7.2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36354-2022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44803</v>
      </c>
      <c r="E547" s="1" t="n">
        <v>46293</v>
      </c>
      <c r="F547" t="inlineStr">
        <is>
          <t>JÖNKÖPINGS LÄN</t>
        </is>
      </c>
      <c r="G547" t="inlineStr">
        <is>
          <t>EKSJÖ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45208</v>
      </c>
      <c r="E548" s="1" t="n">
        <v>46293</v>
      </c>
      <c r="F548" t="inlineStr">
        <is>
          <t>JÖNKÖPINGS LÄN</t>
        </is>
      </c>
      <c r="G548" t="inlineStr">
        <is>
          <t>EKSJÖ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29878-2023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46293</v>
      </c>
      <c r="F549" t="inlineStr">
        <is>
          <t>JÖNKÖPINGS LÄN</t>
        </is>
      </c>
      <c r="G549" t="inlineStr">
        <is>
          <t>EKSJÖ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44925</v>
      </c>
      <c r="E550" s="1" t="n">
        <v>46293</v>
      </c>
      <c r="F550" t="inlineStr">
        <is>
          <t>JÖNKÖPINGS LÄN</t>
        </is>
      </c>
      <c r="G550" t="inlineStr">
        <is>
          <t>EKSJÖ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11723-2024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45373</v>
      </c>
      <c r="E551" s="1" t="n">
        <v>46293</v>
      </c>
      <c r="F551" t="inlineStr">
        <is>
          <t>JÖNKÖPINGS LÄN</t>
        </is>
      </c>
      <c r="G551" t="inlineStr">
        <is>
          <t>EKSJÖ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50410-2024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45601</v>
      </c>
      <c r="E552" s="1" t="n">
        <v>46293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46293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45334</v>
      </c>
      <c r="E554" s="1" t="n">
        <v>46293</v>
      </c>
      <c r="F554" t="inlineStr">
        <is>
          <t>JÖNKÖPINGS LÄN</t>
        </is>
      </c>
      <c r="G554" t="inlineStr">
        <is>
          <t>EKSJÖ</t>
        </is>
      </c>
      <c r="H554" t="inlineStr">
        <is>
          <t>Sveaskog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45463</v>
      </c>
      <c r="E555" s="1" t="n">
        <v>46293</v>
      </c>
      <c r="F555" t="inlineStr">
        <is>
          <t>JÖNKÖPINGS LÄN</t>
        </is>
      </c>
      <c r="G555" t="inlineStr">
        <is>
          <t>EKSJÖ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38201-2023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45161</v>
      </c>
      <c r="E556" s="1" t="n">
        <v>46293</v>
      </c>
      <c r="F556" t="inlineStr">
        <is>
          <t>JÖNKÖPINGS LÄN</t>
        </is>
      </c>
      <c r="G556" t="inlineStr">
        <is>
          <t>EKSJÖ</t>
        </is>
      </c>
      <c r="I556" t="n">
        <v>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54470-2024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45617</v>
      </c>
      <c r="E557" s="1" t="n">
        <v>46293</v>
      </c>
      <c r="F557" t="inlineStr">
        <is>
          <t>JÖNKÖPINGS LÄN</t>
        </is>
      </c>
      <c r="G557" t="inlineStr">
        <is>
          <t>EKSJÖ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2591-2022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44580</v>
      </c>
      <c r="E558" s="1" t="n">
        <v>46293</v>
      </c>
      <c r="F558" t="inlineStr">
        <is>
          <t>JÖNKÖPINGS LÄN</t>
        </is>
      </c>
      <c r="G558" t="inlineStr">
        <is>
          <t>EKSJÖ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45475</v>
      </c>
      <c r="E559" s="1" t="n">
        <v>46293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45715</v>
      </c>
      <c r="E560" s="1" t="n">
        <v>46293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45677</v>
      </c>
      <c r="E561" s="1" t="n">
        <v>46293</v>
      </c>
      <c r="F561" t="inlineStr">
        <is>
          <t>JÖNKÖPINGS LÄN</t>
        </is>
      </c>
      <c r="G561" t="inlineStr">
        <is>
          <t>EKSJÖ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45723</v>
      </c>
      <c r="E562" s="1" t="n">
        <v>46293</v>
      </c>
      <c r="F562" t="inlineStr">
        <is>
          <t>JÖNKÖPINGS LÄN</t>
        </is>
      </c>
      <c r="G562" t="inlineStr">
        <is>
          <t>EKSJÖ</t>
        </is>
      </c>
      <c r="I562" t="n">
        <v>8.6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51541-2023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46293</v>
      </c>
      <c r="F563" t="inlineStr">
        <is>
          <t>JÖNKÖPINGS LÄN</t>
        </is>
      </c>
      <c r="G563" t="inlineStr">
        <is>
          <t>EKSJÖ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45338</v>
      </c>
      <c r="E564" s="1" t="n">
        <v>46293</v>
      </c>
      <c r="F564" t="inlineStr">
        <is>
          <t>JÖNKÖPINGS LÄN</t>
        </is>
      </c>
      <c r="G564" t="inlineStr">
        <is>
          <t>EKSJÖ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45016-2024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45575</v>
      </c>
      <c r="E565" s="1" t="n">
        <v>46293</v>
      </c>
      <c r="F565" t="inlineStr">
        <is>
          <t>JÖNKÖPINGS LÄN</t>
        </is>
      </c>
      <c r="G565" t="inlineStr">
        <is>
          <t>EKSJÖ</t>
        </is>
      </c>
      <c r="H565" t="inlineStr">
        <is>
          <t>Övriga Aktiebolag</t>
        </is>
      </c>
      <c r="I565" t="n">
        <v>6.7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50287-2024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45600</v>
      </c>
      <c r="E566" s="1" t="n">
        <v>46293</v>
      </c>
      <c r="F566" t="inlineStr">
        <is>
          <t>JÖNKÖPINGS LÄN</t>
        </is>
      </c>
      <c r="G566" t="inlineStr">
        <is>
          <t>EKSJÖ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19469-2025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45770</v>
      </c>
      <c r="E567" s="1" t="n">
        <v>46293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18695-2024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46293</v>
      </c>
      <c r="F568" t="inlineStr">
        <is>
          <t>JÖNKÖPINGS LÄN</t>
        </is>
      </c>
      <c r="G568" t="inlineStr">
        <is>
          <t>EKSJÖ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45777</v>
      </c>
      <c r="E569" s="1" t="n">
        <v>46293</v>
      </c>
      <c r="F569" t="inlineStr">
        <is>
          <t>JÖNKÖPINGS LÄN</t>
        </is>
      </c>
      <c r="G569" t="inlineStr">
        <is>
          <t>EKSJÖ</t>
        </is>
      </c>
      <c r="H569" t="inlineStr">
        <is>
          <t>Kommuner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46293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21224-2025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45779</v>
      </c>
      <c r="E571" s="1" t="n">
        <v>46293</v>
      </c>
      <c r="F571" t="inlineStr">
        <is>
          <t>JÖNKÖPINGS LÄN</t>
        </is>
      </c>
      <c r="G571" t="inlineStr">
        <is>
          <t>EKSJÖ</t>
        </is>
      </c>
      <c r="H571" t="inlineStr">
        <is>
          <t>Kommuner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59234-2024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45637</v>
      </c>
      <c r="E572" s="1" t="n">
        <v>46293</v>
      </c>
      <c r="F572" t="inlineStr">
        <is>
          <t>JÖNKÖPINGS LÄN</t>
        </is>
      </c>
      <c r="G572" t="inlineStr">
        <is>
          <t>EKSJÖ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42469-2023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46293</v>
      </c>
      <c r="F573" t="inlineStr">
        <is>
          <t>JÖNKÖPINGS LÄN</t>
        </is>
      </c>
      <c r="G573" t="inlineStr">
        <is>
          <t>EKSJÖ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7723-2025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45706</v>
      </c>
      <c r="E574" s="1" t="n">
        <v>46293</v>
      </c>
      <c r="F574" t="inlineStr">
        <is>
          <t>JÖNKÖPINGS LÄN</t>
        </is>
      </c>
      <c r="G574" t="inlineStr">
        <is>
          <t>EKSJÖ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22574-2025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45786</v>
      </c>
      <c r="E575" s="1" t="n">
        <v>46293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22987-2025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45790</v>
      </c>
      <c r="E576" s="1" t="n">
        <v>46293</v>
      </c>
      <c r="F576" t="inlineStr">
        <is>
          <t>JÖNKÖPINGS LÄN</t>
        </is>
      </c>
      <c r="G576" t="inlineStr">
        <is>
          <t>EKSJÖ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45705</v>
      </c>
      <c r="E577" s="1" t="n">
        <v>46293</v>
      </c>
      <c r="F577" t="inlineStr">
        <is>
          <t>JÖNKÖPINGS LÄN</t>
        </is>
      </c>
      <c r="G577" t="inlineStr">
        <is>
          <t>EKSJÖ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35253-2024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45530</v>
      </c>
      <c r="E578" s="1" t="n">
        <v>46293</v>
      </c>
      <c r="F578" t="inlineStr">
        <is>
          <t>JÖNKÖPINGS LÄN</t>
        </is>
      </c>
      <c r="G578" t="inlineStr">
        <is>
          <t>EKSJÖ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46293</v>
      </c>
      <c r="F579" t="inlineStr">
        <is>
          <t>JÖNKÖPINGS LÄN</t>
        </is>
      </c>
      <c r="G579" t="inlineStr">
        <is>
          <t>EKSJÖ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23387-2025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46293</v>
      </c>
      <c r="F580" t="inlineStr">
        <is>
          <t>JÖNKÖPINGS LÄN</t>
        </is>
      </c>
      <c r="G580" t="inlineStr">
        <is>
          <t>EKSJÖ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45743-2024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45579</v>
      </c>
      <c r="E581" s="1" t="n">
        <v>46293</v>
      </c>
      <c r="F581" t="inlineStr">
        <is>
          <t>JÖNKÖPINGS LÄN</t>
        </is>
      </c>
      <c r="G581" t="inlineStr">
        <is>
          <t>EKSJÖ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545-2024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46293</v>
      </c>
      <c r="F582" t="inlineStr">
        <is>
          <t>JÖNKÖPINGS LÄN</t>
        </is>
      </c>
      <c r="G582" t="inlineStr">
        <is>
          <t>EKSJÖ</t>
        </is>
      </c>
      <c r="I582" t="n">
        <v>40.5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538-2024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46293</v>
      </c>
      <c r="F583" t="inlineStr">
        <is>
          <t>JÖNKÖPINGS LÄN</t>
        </is>
      </c>
      <c r="G583" t="inlineStr">
        <is>
          <t>EKSJÖ</t>
        </is>
      </c>
      <c r="I583" t="n">
        <v>25.6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544-2024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45349</v>
      </c>
      <c r="E584" s="1" t="n">
        <v>46293</v>
      </c>
      <c r="F584" t="inlineStr">
        <is>
          <t>JÖNKÖPINGS LÄN</t>
        </is>
      </c>
      <c r="G584" t="inlineStr">
        <is>
          <t>EKSJÖ</t>
        </is>
      </c>
      <c r="I584" t="n">
        <v>37.3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549-2024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46293</v>
      </c>
      <c r="F585" t="inlineStr">
        <is>
          <t>JÖNKÖPINGS LÄN</t>
        </is>
      </c>
      <c r="G585" t="inlineStr">
        <is>
          <t>EKSJÖ</t>
        </is>
      </c>
      <c r="I585" t="n">
        <v>30.9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2245-2023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46293</v>
      </c>
      <c r="F586" t="inlineStr">
        <is>
          <t>JÖNKÖPINGS LÄN</t>
        </is>
      </c>
      <c r="G586" t="inlineStr">
        <is>
          <t>EKSJÖ</t>
        </is>
      </c>
      <c r="I586" t="n">
        <v>33.4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2246-2023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45100</v>
      </c>
      <c r="E587" s="1" t="n">
        <v>46293</v>
      </c>
      <c r="F587" t="inlineStr">
        <is>
          <t>JÖNKÖPINGS LÄN</t>
        </is>
      </c>
      <c r="G587" t="inlineStr">
        <is>
          <t>EKSJÖ</t>
        </is>
      </c>
      <c r="I587" t="n">
        <v>22.7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46293</v>
      </c>
      <c r="F588" t="inlineStr">
        <is>
          <t>JÖNKÖPINGS LÄN</t>
        </is>
      </c>
      <c r="G588" t="inlineStr">
        <is>
          <t>EKSJÖ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2270-2023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46293</v>
      </c>
      <c r="F589" t="inlineStr">
        <is>
          <t>JÖNKÖPINGS LÄN</t>
        </is>
      </c>
      <c r="G589" t="inlineStr">
        <is>
          <t>EKSJÖ</t>
        </is>
      </c>
      <c r="I589" t="n">
        <v>9.9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4938-2024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45628</v>
      </c>
      <c r="E590" s="1" t="n">
        <v>46293</v>
      </c>
      <c r="F590" t="inlineStr">
        <is>
          <t>JÖNKÖPINGS LÄN</t>
        </is>
      </c>
      <c r="G590" t="inlineStr">
        <is>
          <t>EKSJÖ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546-2024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46293</v>
      </c>
      <c r="F591" t="inlineStr">
        <is>
          <t>JÖNKÖPINGS LÄN</t>
        </is>
      </c>
      <c r="G591" t="inlineStr">
        <is>
          <t>EKSJÖ</t>
        </is>
      </c>
      <c r="I591" t="n">
        <v>11.2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540-2024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46293</v>
      </c>
      <c r="F592" t="inlineStr">
        <is>
          <t>JÖNKÖPINGS LÄN</t>
        </is>
      </c>
      <c r="G592" t="inlineStr">
        <is>
          <t>EKSJÖ</t>
        </is>
      </c>
      <c r="I592" t="n">
        <v>25.9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543-2024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46293</v>
      </c>
      <c r="F593" t="inlineStr">
        <is>
          <t>JÖNKÖPINGS LÄN</t>
        </is>
      </c>
      <c r="G593" t="inlineStr">
        <is>
          <t>EKSJÖ</t>
        </is>
      </c>
      <c r="I593" t="n">
        <v>21.4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1407-2023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46293</v>
      </c>
      <c r="F594" t="inlineStr">
        <is>
          <t>JÖNKÖPINGS LÄN</t>
        </is>
      </c>
      <c r="G594" t="inlineStr">
        <is>
          <t>EKSJÖ</t>
        </is>
      </c>
      <c r="I594" t="n">
        <v>60.7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539-2024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46293</v>
      </c>
      <c r="F595" t="inlineStr">
        <is>
          <t>JÖNKÖPINGS LÄN</t>
        </is>
      </c>
      <c r="G595" t="inlineStr">
        <is>
          <t>EKSJÖ</t>
        </is>
      </c>
      <c r="I595" t="n">
        <v>41.7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2244-2023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45100</v>
      </c>
      <c r="E596" s="1" t="n">
        <v>46293</v>
      </c>
      <c r="F596" t="inlineStr">
        <is>
          <t>JÖNKÖPINGS LÄN</t>
        </is>
      </c>
      <c r="G596" t="inlineStr">
        <is>
          <t>EKSJÖ</t>
        </is>
      </c>
      <c r="I596" t="n">
        <v>26.1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2704-2023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45155</v>
      </c>
      <c r="E597" s="1" t="n">
        <v>46293</v>
      </c>
      <c r="F597" t="inlineStr">
        <is>
          <t>JÖNKÖPINGS LÄN</t>
        </is>
      </c>
      <c r="G597" t="inlineStr">
        <is>
          <t>EKSJÖ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1298-2025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45770</v>
      </c>
      <c r="E598" s="1" t="n">
        <v>46293</v>
      </c>
      <c r="F598" t="inlineStr">
        <is>
          <t>JÖNKÖPINGS LÄN</t>
        </is>
      </c>
      <c r="G598" t="inlineStr">
        <is>
          <t>EKSJÖ</t>
        </is>
      </c>
      <c r="H598" t="inlineStr">
        <is>
          <t>Sveaskog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949-2025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45741</v>
      </c>
      <c r="E599" s="1" t="n">
        <v>46293</v>
      </c>
      <c r="F599" t="inlineStr">
        <is>
          <t>JÖNKÖPINGS LÄN</t>
        </is>
      </c>
      <c r="G599" t="inlineStr">
        <is>
          <t>EKSJÖ</t>
        </is>
      </c>
      <c r="H599" t="inlineStr">
        <is>
          <t>Sveaskog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583-2025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45712</v>
      </c>
      <c r="E600" s="1" t="n">
        <v>46293</v>
      </c>
      <c r="F600" t="inlineStr">
        <is>
          <t>JÖNKÖPINGS LÄN</t>
        </is>
      </c>
      <c r="G600" t="inlineStr">
        <is>
          <t>EKSJÖ</t>
        </is>
      </c>
      <c r="I600" t="n">
        <v>18.6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524-2025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45707</v>
      </c>
      <c r="E601" s="1" t="n">
        <v>46293</v>
      </c>
      <c r="F601" t="inlineStr">
        <is>
          <t>JÖNKÖPINGS LÄN</t>
        </is>
      </c>
      <c r="G601" t="inlineStr">
        <is>
          <t>EKSJÖ</t>
        </is>
      </c>
      <c r="I601" t="n">
        <v>114.6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1670-2025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45804</v>
      </c>
      <c r="E602" s="1" t="n">
        <v>46293</v>
      </c>
      <c r="F602" t="inlineStr">
        <is>
          <t>JÖNKÖPINGS LÄN</t>
        </is>
      </c>
      <c r="G602" t="inlineStr">
        <is>
          <t>EKSJÖ</t>
        </is>
      </c>
      <c r="I602" t="n">
        <v>21.5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2606-2025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45916</v>
      </c>
      <c r="E603" s="1" t="n">
        <v>46293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2834-2025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45940</v>
      </c>
      <c r="E604" s="1" t="n">
        <v>46293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1004-2026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46121</v>
      </c>
      <c r="E605" s="1" t="n">
        <v>46293</v>
      </c>
      <c r="F605" t="inlineStr">
        <is>
          <t>JÖNKÖPINGS LÄN</t>
        </is>
      </c>
      <c r="G605" t="inlineStr">
        <is>
          <t>EKSJÖ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1412-2026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46154</v>
      </c>
      <c r="E606" s="1" t="n">
        <v>46293</v>
      </c>
      <c r="F606" t="inlineStr">
        <is>
          <t>JÖNKÖPINGS LÄN</t>
        </is>
      </c>
      <c r="G606" t="inlineStr">
        <is>
          <t>EKSJÖ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1521-2026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46166</v>
      </c>
      <c r="E607" s="1" t="n">
        <v>46293</v>
      </c>
      <c r="F607" t="inlineStr">
        <is>
          <t>JÖNKÖPINGS LÄN</t>
        </is>
      </c>
      <c r="G607" t="inlineStr">
        <is>
          <t>EKSJÖ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1826-2026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46190</v>
      </c>
      <c r="E608" s="1" t="n">
        <v>46293</v>
      </c>
      <c r="F608" t="inlineStr">
        <is>
          <t>JÖNKÖPINGS LÄN</t>
        </is>
      </c>
      <c r="G608" t="inlineStr">
        <is>
          <t>EKSJÖ</t>
        </is>
      </c>
      <c r="I608" t="n">
        <v>117.5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46293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1842-2026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46153</v>
      </c>
      <c r="E610" s="1" t="n">
        <v>46293</v>
      </c>
      <c r="F610" t="inlineStr">
        <is>
          <t>JÖNKÖPINGS LÄN</t>
        </is>
      </c>
      <c r="G610" t="inlineStr">
        <is>
          <t>EKSJÖ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1973-2026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46210</v>
      </c>
      <c r="E611" s="1" t="n">
        <v>46293</v>
      </c>
      <c r="F611" t="inlineStr">
        <is>
          <t>JÖNKÖPINGS LÄN</t>
        </is>
      </c>
      <c r="G611" t="inlineStr">
        <is>
          <t>EKSJÖ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2026-09-28T01:59:13Z</dcterms:created>
  <dcterms:modified xmlns:dcterms="http://purl.org/dc/terms/" xmlns:xsi="http://www.w3.org/2001/XMLSchema-instance" xsi:type="dcterms:W3CDTF">2026-09-28T01:59:14Z</dcterms:modified>
</cp:coreProperties>
</file>