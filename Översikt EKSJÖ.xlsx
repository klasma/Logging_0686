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45705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45705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45705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27874-2024</t>
        </is>
      </c>
      <c r="B5" s="1" t="n">
        <v>45475</v>
      </c>
      <c r="C5" s="1" t="n">
        <v>45705</v>
      </c>
      <c r="D5" t="inlineStr">
        <is>
          <t>JÖNKÖPINGS LÄN</t>
        </is>
      </c>
      <c r="E5" t="inlineStr">
        <is>
          <t>EKSJÖ</t>
        </is>
      </c>
      <c r="G5" t="n">
        <v>17.2</v>
      </c>
      <c r="H5" t="n">
        <v>0</v>
      </c>
      <c r="I5" t="n">
        <v>0</v>
      </c>
      <c r="J5" t="n">
        <v>1</v>
      </c>
      <c r="K5" t="n">
        <v>2</v>
      </c>
      <c r="L5" t="n">
        <v>1</v>
      </c>
      <c r="M5" t="n">
        <v>0</v>
      </c>
      <c r="N5" t="n">
        <v>0</v>
      </c>
      <c r="O5" t="n">
        <v>4</v>
      </c>
      <c r="P5" t="n">
        <v>3</v>
      </c>
      <c r="Q5" t="n">
        <v>4</v>
      </c>
      <c r="R5" s="2" t="inlineStr">
        <is>
          <t>Ask
Almlav
Blek kraterlav
Brödmärgsticka</t>
        </is>
      </c>
      <c r="S5">
        <f>HYPERLINK("https://klasma.github.io/Logging_0686/artfynd/A 27874-2024 artfynd.xlsx", "A 27874-2024")</f>
        <v/>
      </c>
      <c r="T5">
        <f>HYPERLINK("https://klasma.github.io/Logging_0686/kartor/A 27874-2024 karta.png", "A 27874-2024")</f>
        <v/>
      </c>
      <c r="V5">
        <f>HYPERLINK("https://klasma.github.io/Logging_0686/klagomål/A 27874-2024 FSC-klagomål.docx", "A 27874-2024")</f>
        <v/>
      </c>
      <c r="W5">
        <f>HYPERLINK("https://klasma.github.io/Logging_0686/klagomålsmail/A 27874-2024 FSC-klagomål mail.docx", "A 27874-2024")</f>
        <v/>
      </c>
      <c r="X5">
        <f>HYPERLINK("https://klasma.github.io/Logging_0686/tillsyn/A 27874-2024 tillsynsbegäran.docx", "A 27874-2024")</f>
        <v/>
      </c>
      <c r="Y5">
        <f>HYPERLINK("https://klasma.github.io/Logging_0686/tillsynsmail/A 27874-2024 tillsynsbegäran mail.docx", "A 27874-2024")</f>
        <v/>
      </c>
    </row>
    <row r="6" ht="15" customHeight="1">
      <c r="A6" t="inlineStr">
        <is>
          <t>A 24622-2024</t>
        </is>
      </c>
      <c r="B6" s="1" t="n">
        <v>45460</v>
      </c>
      <c r="C6" s="1" t="n">
        <v>45705</v>
      </c>
      <c r="D6" t="inlineStr">
        <is>
          <t>JÖNKÖPINGS LÄN</t>
        </is>
      </c>
      <c r="E6" t="inlineStr">
        <is>
          <t>EKSJÖ</t>
        </is>
      </c>
      <c r="G6" t="n">
        <v>1.8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Grönpyrola
Svart trolldruva</t>
        </is>
      </c>
      <c r="S6">
        <f>HYPERLINK("https://klasma.github.io/Logging_0686/artfynd/A 24622-2024 artfynd.xlsx", "A 24622-2024")</f>
        <v/>
      </c>
      <c r="T6">
        <f>HYPERLINK("https://klasma.github.io/Logging_0686/kartor/A 24622-2024 karta.png", "A 24622-2024")</f>
        <v/>
      </c>
      <c r="U6">
        <f>HYPERLINK("https://klasma.github.io/Logging_0686/knärot/A 24622-2024 karta knärot.png", "A 24622-2024")</f>
        <v/>
      </c>
      <c r="V6">
        <f>HYPERLINK("https://klasma.github.io/Logging_0686/klagomål/A 24622-2024 FSC-klagomål.docx", "A 24622-2024")</f>
        <v/>
      </c>
      <c r="W6">
        <f>HYPERLINK("https://klasma.github.io/Logging_0686/klagomålsmail/A 24622-2024 FSC-klagomål mail.docx", "A 24622-2024")</f>
        <v/>
      </c>
      <c r="X6">
        <f>HYPERLINK("https://klasma.github.io/Logging_0686/tillsyn/A 24622-2024 tillsynsbegäran.docx", "A 24622-2024")</f>
        <v/>
      </c>
      <c r="Y6">
        <f>HYPERLINK("https://klasma.github.io/Logging_0686/tillsynsmail/A 24622-2024 tillsynsbegäran mail.docx", "A 24622-2024")</f>
        <v/>
      </c>
    </row>
    <row r="7" ht="15" customHeight="1">
      <c r="A7" t="inlineStr">
        <is>
          <t>A 34468-2024</t>
        </is>
      </c>
      <c r="B7" s="1" t="n">
        <v>45525</v>
      </c>
      <c r="C7" s="1" t="n">
        <v>45705</v>
      </c>
      <c r="D7" t="inlineStr">
        <is>
          <t>JÖNKÖPINGS LÄN</t>
        </is>
      </c>
      <c r="E7" t="inlineStr">
        <is>
          <t>EKSJÖ</t>
        </is>
      </c>
      <c r="F7" t="inlineStr">
        <is>
          <t>Övriga Aktiebolag</t>
        </is>
      </c>
      <c r="G7" t="n">
        <v>13.6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Gul taggsvamp
Sparvuggla</t>
        </is>
      </c>
      <c r="S7">
        <f>HYPERLINK("https://klasma.github.io/Logging_0686/artfynd/A 34468-2024 artfynd.xlsx", "A 34468-2024")</f>
        <v/>
      </c>
      <c r="T7">
        <f>HYPERLINK("https://klasma.github.io/Logging_0686/kartor/A 34468-2024 karta.png", "A 34468-2024")</f>
        <v/>
      </c>
      <c r="U7">
        <f>HYPERLINK("https://klasma.github.io/Logging_0686/knärot/A 34468-2024 karta knärot.png", "A 34468-2024")</f>
        <v/>
      </c>
      <c r="V7">
        <f>HYPERLINK("https://klasma.github.io/Logging_0686/klagomål/A 34468-2024 FSC-klagomål.docx", "A 34468-2024")</f>
        <v/>
      </c>
      <c r="W7">
        <f>HYPERLINK("https://klasma.github.io/Logging_0686/klagomålsmail/A 34468-2024 FSC-klagomål mail.docx", "A 34468-2024")</f>
        <v/>
      </c>
      <c r="X7">
        <f>HYPERLINK("https://klasma.github.io/Logging_0686/tillsyn/A 34468-2024 tillsynsbegäran.docx", "A 34468-2024")</f>
        <v/>
      </c>
      <c r="Y7">
        <f>HYPERLINK("https://klasma.github.io/Logging_0686/tillsynsmail/A 34468-2024 tillsynsbegäran mail.docx", "A 34468-2024")</f>
        <v/>
      </c>
      <c r="Z7">
        <f>HYPERLINK("https://klasma.github.io/Logging_0686/fåglar/A 34468-2024 prioriterade fågelarter.docx", "A 34468-2024")</f>
        <v/>
      </c>
    </row>
    <row r="8" ht="15" customHeight="1">
      <c r="A8" t="inlineStr">
        <is>
          <t>A 62662-2019</t>
        </is>
      </c>
      <c r="B8" s="1" t="n">
        <v>43789</v>
      </c>
      <c r="C8" s="1" t="n">
        <v>45705</v>
      </c>
      <c r="D8" t="inlineStr">
        <is>
          <t>JÖNKÖPINGS LÄN</t>
        </is>
      </c>
      <c r="E8" t="inlineStr">
        <is>
          <t>EKSJÖ</t>
        </is>
      </c>
      <c r="F8" t="inlineStr">
        <is>
          <t>Kyrkan</t>
        </is>
      </c>
      <c r="G8" t="n">
        <v>0.9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Brunlångöra
Nordfladdermus</t>
        </is>
      </c>
      <c r="S8">
        <f>HYPERLINK("https://klasma.github.io/Logging_0686/artfynd/A 62662-2019 artfynd.xlsx", "A 62662-2019")</f>
        <v/>
      </c>
      <c r="T8">
        <f>HYPERLINK("https://klasma.github.io/Logging_0686/kartor/A 62662-2019 karta.png", "A 62662-2019")</f>
        <v/>
      </c>
      <c r="V8">
        <f>HYPERLINK("https://klasma.github.io/Logging_0686/klagomål/A 62662-2019 FSC-klagomål.docx", "A 62662-2019")</f>
        <v/>
      </c>
      <c r="W8">
        <f>HYPERLINK("https://klasma.github.io/Logging_0686/klagomålsmail/A 62662-2019 FSC-klagomål mail.docx", "A 62662-2019")</f>
        <v/>
      </c>
      <c r="X8">
        <f>HYPERLINK("https://klasma.github.io/Logging_0686/tillsyn/A 62662-2019 tillsynsbegäran.docx", "A 62662-2019")</f>
        <v/>
      </c>
      <c r="Y8">
        <f>HYPERLINK("https://klasma.github.io/Logging_0686/tillsynsmail/A 62662-2019 tillsynsbegäran mail.docx", "A 62662-2019")</f>
        <v/>
      </c>
    </row>
    <row r="9" ht="15" customHeight="1">
      <c r="A9" t="inlineStr">
        <is>
          <t>A 30125-2023</t>
        </is>
      </c>
      <c r="B9" s="1" t="n">
        <v>45110</v>
      </c>
      <c r="C9" s="1" t="n">
        <v>45705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14.3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Revlummer</t>
        </is>
      </c>
      <c r="S9">
        <f>HYPERLINK("https://klasma.github.io/Logging_0686/artfynd/A 30125-2023 artfynd.xlsx", "A 30125-2023")</f>
        <v/>
      </c>
      <c r="T9">
        <f>HYPERLINK("https://klasma.github.io/Logging_0686/kartor/A 30125-2023 karta.png", "A 30125-2023")</f>
        <v/>
      </c>
      <c r="V9">
        <f>HYPERLINK("https://klasma.github.io/Logging_0686/klagomål/A 30125-2023 FSC-klagomål.docx", "A 30125-2023")</f>
        <v/>
      </c>
      <c r="W9">
        <f>HYPERLINK("https://klasma.github.io/Logging_0686/klagomålsmail/A 30125-2023 FSC-klagomål mail.docx", "A 30125-2023")</f>
        <v/>
      </c>
      <c r="X9">
        <f>HYPERLINK("https://klasma.github.io/Logging_0686/tillsyn/A 30125-2023 tillsynsbegäran.docx", "A 30125-2023")</f>
        <v/>
      </c>
      <c r="Y9">
        <f>HYPERLINK("https://klasma.github.io/Logging_0686/tillsynsmail/A 30125-2023 tillsynsbegäran mail.docx", "A 30125-2023")</f>
        <v/>
      </c>
    </row>
    <row r="10" ht="15" customHeight="1">
      <c r="A10" t="inlineStr">
        <is>
          <t>A 30131-2023</t>
        </is>
      </c>
      <c r="B10" s="1" t="n">
        <v>45110</v>
      </c>
      <c r="C10" s="1" t="n">
        <v>45705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7.2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Blomkålssvamp</t>
        </is>
      </c>
      <c r="S10">
        <f>HYPERLINK("https://klasma.github.io/Logging_0686/artfynd/A 30131-2023 artfynd.xlsx", "A 30131-2023")</f>
        <v/>
      </c>
      <c r="T10">
        <f>HYPERLINK("https://klasma.github.io/Logging_0686/kartor/A 30131-2023 karta.png", "A 30131-2023")</f>
        <v/>
      </c>
      <c r="U10">
        <f>HYPERLINK("https://klasma.github.io/Logging_0686/knärot/A 30131-2023 karta knärot.png", "A 30131-2023")</f>
        <v/>
      </c>
      <c r="V10">
        <f>HYPERLINK("https://klasma.github.io/Logging_0686/klagomål/A 30131-2023 FSC-klagomål.docx", "A 30131-2023")</f>
        <v/>
      </c>
      <c r="W10">
        <f>HYPERLINK("https://klasma.github.io/Logging_0686/klagomålsmail/A 30131-2023 FSC-klagomål mail.docx", "A 30131-2023")</f>
        <v/>
      </c>
      <c r="X10">
        <f>HYPERLINK("https://klasma.github.io/Logging_0686/tillsyn/A 30131-2023 tillsynsbegäran.docx", "A 30131-2023")</f>
        <v/>
      </c>
      <c r="Y10">
        <f>HYPERLINK("https://klasma.github.io/Logging_0686/tillsynsmail/A 30131-2023 tillsynsbegäran mail.docx", "A 30131-2023")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45705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45705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45705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45705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45705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45705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45705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45705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45705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45705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45705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45705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45705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45705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45705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45705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45705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45705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45705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45705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45705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45705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45705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45705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45705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45705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45705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45705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45705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45705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45705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45705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45705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45705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45705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45705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45705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45705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45705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45705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45705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45705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45705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45705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45705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45705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45705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45705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45705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45705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45705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45705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45705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45705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45705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45705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45705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45705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45705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45705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45705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45705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45705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45705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45705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45705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45705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45705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45705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45705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45705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45705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45705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45705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45705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45705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45705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45705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45705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45705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45705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45705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45705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45705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45705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45705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45705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45705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45705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45705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45705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45705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45705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45705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45705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45705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45705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45705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45705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45705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45705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45705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45705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45705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45705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45705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45705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45705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45705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45705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45705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45705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45705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45705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45705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45705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45705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45705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45705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45705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45705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45705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45705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45705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45705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45705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45705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45705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45705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45705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45705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45705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45705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45705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45705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45705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45705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45705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45705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45705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45705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45705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45705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45705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45705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45705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45705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45705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45705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45705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45705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45705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45705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45705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45705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45705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45705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45705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45705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45705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45705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45705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45705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45705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45705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45705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45705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45705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45705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45705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45705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45705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45705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45705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45705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45705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45705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45705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45705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45705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45705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45705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45705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45705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45705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45705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45705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45705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45705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45705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45705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45705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45705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45705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45705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45705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45705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45705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45705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45705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45705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45705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45705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45705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45705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45705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45705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45705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45705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45705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45705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45705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45705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45705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45705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45705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45705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45705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45705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45705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45705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45705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45705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45705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45705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45705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45705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45705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45705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45705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45705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45705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45705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45705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45705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45705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45705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45705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45705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45705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45705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45705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45705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45705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45705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45705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45705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45705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45705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45705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45705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45705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45705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45705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45705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45705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45705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45705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45705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45705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45705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45705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45705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45705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45705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45705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45705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45705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45705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45705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45705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45705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45705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45705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45705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45705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45705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45705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45705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45705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45705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45705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45705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45705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45705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45705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45705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45705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45705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45705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45705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45705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45705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45705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45705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45705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45705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45705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45705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45705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45705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45705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45705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45705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45705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45705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45705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45705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45705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45705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45705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45705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45705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45705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45705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45705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45705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45705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45705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45705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45705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45705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45705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45705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45705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45705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45705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45705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45705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45705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45705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45705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45705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45705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45705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45705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45705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45705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45705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45705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45705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45705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45705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45705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45705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45705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45705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45705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45705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45705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45705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45705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45705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45705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45705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45705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45705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45705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45705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45705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45705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45705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45705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45705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45705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45705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45705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45705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45705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45705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45705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45705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45705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45705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45705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45705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45705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45705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45705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45705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45705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45705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45705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45705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45705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45705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45705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45705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45705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45705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45705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45705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45705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45705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45705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45705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45705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45705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45705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45705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45705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45705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45705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45705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45705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45705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45705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45705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45705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45705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45705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45705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45705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45705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45705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45705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45705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45705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45705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45705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45705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45705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45705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45705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45705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45705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45705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45705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45705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45705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45705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45705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45705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45705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45705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45705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45705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45705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45705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45705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45705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45705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45705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45705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45705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45705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45705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45705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45705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45705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45705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45705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45705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45705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45705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45705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45705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45705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45705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45705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45705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45705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45705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45705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45705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45705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45705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45705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45705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45705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45705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45705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45705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45705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45705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45705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45705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45705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45705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45705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45705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45705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45705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45705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45705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45705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45705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45705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45705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45705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45705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45705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45705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45705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45705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45705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45705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45705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45705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45705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45705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45705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45705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45705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45705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45705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45705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45705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45705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45705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45705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45705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45705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45705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45705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45705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45705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45705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45705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45705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45705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45705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45705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45705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45705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45705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45705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45705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45705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45705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45705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45705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45705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45705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45705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45705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45705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45705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45705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45705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45705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45705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45705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45705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45705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45705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45705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45705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45705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45705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45705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45705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45705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45705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45705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45705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45705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45705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45705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45705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45705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45705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45705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45705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45705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45705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45705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45705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45705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45705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45705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45705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45705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45705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45705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45705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45705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45705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45705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45705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45705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45705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45705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45705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45705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45705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45705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45705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45705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45705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45705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45705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45705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45705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45705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45705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45705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45705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45705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45705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45705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45705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45705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45705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45705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45705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45705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45705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45705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45705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45705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45705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45705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45705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45705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45705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45705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45705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45705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45705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45705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45705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45705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45705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45705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45705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45705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45705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45705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45705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45705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45705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45705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45705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45705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45705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45705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45705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45705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45705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45705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45705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45705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45705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45705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45705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45705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45705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45705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45705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45705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45705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45705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45705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45705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45705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45705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45705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45705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45705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45705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45705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45705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45705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45705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45705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45705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45705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45705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45705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45705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45705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45705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45705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45705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45705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45705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45705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45705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45705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45705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45705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45705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45705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45705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45705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45705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45705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45705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45705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45705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45705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45705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45705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45705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45705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45705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45705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45705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45705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45705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45705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45705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45705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45705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45705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45705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45705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45705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45705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45705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45705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45705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45705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45705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45705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45705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45705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45705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45705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45705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45705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45705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45705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45705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45705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45705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45705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45705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45705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45705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45705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45705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45705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45705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45705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45705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45705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45705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45705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45705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45705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45705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45705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45705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45705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45705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45705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45705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45705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45705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45705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45705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45705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45705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45705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45705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45705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45705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45705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45705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45705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45705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45705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45705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45705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45705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45705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45705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45705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45705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45705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45705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45705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45705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45705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45705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45705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45705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45705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45705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45705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45705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45705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45705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45705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45705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45705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45705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45705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45705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45705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45705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45705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45705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45705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45705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45705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45705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45705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45705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45705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45705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45705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45705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45705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45705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45705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45705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45705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45705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45705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45705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45705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45705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45705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45705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45705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45705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45705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45705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45705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45705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45705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45705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45705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45705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45705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45705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45705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45705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45705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45705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45705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45705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45705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45705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45705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45705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45705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45705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45705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45705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45705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45705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45705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45705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45705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45705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45705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45705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45705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45705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45705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45705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45705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45705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45705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45705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45705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45705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45705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45705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45705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45705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45705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45705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45705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45705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45705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45705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45705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45705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45705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45705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45705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45705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45705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45705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45705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45705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45705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45705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45705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45705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45705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45705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45705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45705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45705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45705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45705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45705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45705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45705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45705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45705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45705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45705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45705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45705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45705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45705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45705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45705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45705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45705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45705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45705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45705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45705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45705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45705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45705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45705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45705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45705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45705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45705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45705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45705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45705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45705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45705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45705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45705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45705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45705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45705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45705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45705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45705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45705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45705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45705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45705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45705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45705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45705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45705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45705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45705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45705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45705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45705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45705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45705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45705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45705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45705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45705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45705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45705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45705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45705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45705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45705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45705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45705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45705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45705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45705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45705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45705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45705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45705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45705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45705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45705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45705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45705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45705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45705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45705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45705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45705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45705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45705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45705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45705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45705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45705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45705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45705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45705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45705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45705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45705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45705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45705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45705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45705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45705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45705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45705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45705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45705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45705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45705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45705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45705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45705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45705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45705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45705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45705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45705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45705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45705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45705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45705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45705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45705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45705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45705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45705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45705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45705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45705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45705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45705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45705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45705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45705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2835-2025</t>
        </is>
      </c>
      <c r="B1035" s="1" t="n">
        <v>45677</v>
      </c>
      <c r="C1035" s="1" t="n">
        <v>45705</v>
      </c>
      <c r="D1035" t="inlineStr">
        <is>
          <t>JÖNKÖPINGS LÄN</t>
        </is>
      </c>
      <c r="E1035" t="inlineStr">
        <is>
          <t>EKSJÖ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2851-2025</t>
        </is>
      </c>
      <c r="B1036" s="1" t="n">
        <v>45677</v>
      </c>
      <c r="C1036" s="1" t="n">
        <v>45705</v>
      </c>
      <c r="D1036" t="inlineStr">
        <is>
          <t>JÖNKÖPINGS LÄN</t>
        </is>
      </c>
      <c r="E1036" t="inlineStr">
        <is>
          <t>EKSJÖ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2828-2025</t>
        </is>
      </c>
      <c r="B1037" s="1" t="n">
        <v>45677</v>
      </c>
      <c r="C1037" s="1" t="n">
        <v>45705</v>
      </c>
      <c r="D1037" t="inlineStr">
        <is>
          <t>JÖNKÖPINGS LÄN</t>
        </is>
      </c>
      <c r="E1037" t="inlineStr">
        <is>
          <t>EKSJÖ</t>
        </is>
      </c>
      <c r="G1037" t="n">
        <v>5.4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45705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3484-2025</t>
        </is>
      </c>
      <c r="B1039" s="1" t="n">
        <v>45680</v>
      </c>
      <c r="C1039" s="1" t="n">
        <v>45705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4.7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3496-2025</t>
        </is>
      </c>
      <c r="B1040" s="1" t="n">
        <v>45680</v>
      </c>
      <c r="C1040" s="1" t="n">
        <v>45705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3549-2025</t>
        </is>
      </c>
      <c r="B1041" s="1" t="n">
        <v>45680</v>
      </c>
      <c r="C1041" s="1" t="n">
        <v>45705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3.2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3526-2025</t>
        </is>
      </c>
      <c r="B1042" s="1" t="n">
        <v>45680</v>
      </c>
      <c r="C1042" s="1" t="n">
        <v>45705</v>
      </c>
      <c r="D1042" t="inlineStr">
        <is>
          <t>JÖNKÖPINGS LÄN</t>
        </is>
      </c>
      <c r="E1042" t="inlineStr">
        <is>
          <t>EKSJÖ</t>
        </is>
      </c>
      <c r="F1042" t="inlineStr">
        <is>
          <t>Övriga Aktiebolag</t>
        </is>
      </c>
      <c r="G1042" t="n">
        <v>1.3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4426-2025</t>
        </is>
      </c>
      <c r="B1043" s="1" t="n">
        <v>45686</v>
      </c>
      <c r="C1043" s="1" t="n">
        <v>45705</v>
      </c>
      <c r="D1043" t="inlineStr">
        <is>
          <t>JÖNKÖPINGS LÄN</t>
        </is>
      </c>
      <c r="E1043" t="inlineStr">
        <is>
          <t>EKSJÖ</t>
        </is>
      </c>
      <c r="F1043" t="inlineStr">
        <is>
          <t>Övriga Aktiebolag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45705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5297-2025</t>
        </is>
      </c>
      <c r="B1045" s="1" t="n">
        <v>45692</v>
      </c>
      <c r="C1045" s="1" t="n">
        <v>45705</v>
      </c>
      <c r="D1045" t="inlineStr">
        <is>
          <t>JÖNKÖPINGS LÄN</t>
        </is>
      </c>
      <c r="E1045" t="inlineStr">
        <is>
          <t>EKSJÖ</t>
        </is>
      </c>
      <c r="G1045" t="n">
        <v>1.4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45705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>
      <c r="A1047" t="inlineStr">
        <is>
          <t>A 6033-2025</t>
        </is>
      </c>
      <c r="B1047" s="1" t="n">
        <v>45695</v>
      </c>
      <c r="C1047" s="1" t="n">
        <v>45705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2025-02-17T16:43:26Z</dcterms:created>
  <dcterms:modified xmlns:dcterms="http://purl.org/dc/terms/" xmlns:xsi="http://www.w3.org/2001/XMLSchema-instance" xsi:type="dcterms:W3CDTF">2025-02-17T16:43:27Z</dcterms:modified>
</cp:coreProperties>
</file>