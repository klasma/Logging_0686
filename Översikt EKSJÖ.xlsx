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46273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46273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46273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46273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46273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46273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46273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46273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46273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46273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46273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23536-2026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46273</v>
      </c>
      <c r="F32" t="inlineStr">
        <is>
          <t>JÖNKÖPINGS LÄN</t>
        </is>
      </c>
      <c r="G32" t="inlineStr">
        <is>
          <t>EKSJÖ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Spindelört</t>
        </is>
      </c>
      <c r="W32">
        <f>HYPERLINK("https://klasma.github.io/Logging_0686/artfynd/A 23536-2026 artfynd.xlsx", "A 23536-2026")</f>
        <v/>
      </c>
      <c r="X32">
        <f>HYPERLINK("https://klasma.github.io/Logging_0686/kartor/A 23536-2026 karta.png", "A 23536-2026")</f>
        <v/>
      </c>
      <c r="Y32">
        <f>HYPERLINK("https://klasma.github.io/Logging_0686/kartor_geotiff/A 23536-2026 georefererad karta.tif", "A 23536-2026")</f>
        <v/>
      </c>
      <c r="AA32">
        <f>HYPERLINK("https://klasma.github.io/Logging_0686/klagomål/A 23536-2026 FSC-klagomål.docx", "A 23536-2026")</f>
        <v/>
      </c>
      <c r="AB32">
        <f>HYPERLINK("https://klasma.github.io/Logging_0686/klagomålsmail/A 23536-2026 FSC-klagomål mail.docx", "A 23536-2026")</f>
        <v/>
      </c>
      <c r="AC32">
        <f>HYPERLINK("https://klasma.github.io/Logging_0686/tillsyn/A 23536-2026 tillsynsbegäran.docx", "A 23536-2026")</f>
        <v/>
      </c>
      <c r="AD32">
        <f>HYPERLINK("https://klasma.github.io/Logging_0686/tillsynsmail/A 23536-2026 tillsynsbegäran mail.docx", "A 23536-2026")</f>
        <v/>
      </c>
    </row>
    <row r="33" ht="15" customHeight="1">
      <c r="A33" t="inlineStr">
        <is>
          <t>A 23519-2026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46163</v>
      </c>
      <c r="E33" s="1" t="n">
        <v>46273</v>
      </c>
      <c r="F33" t="inlineStr">
        <is>
          <t>JÖNKÖPINGS LÄN</t>
        </is>
      </c>
      <c r="G33" t="inlineStr">
        <is>
          <t>EKSJÖ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Svartvit flugsnappare</t>
        </is>
      </c>
      <c r="W33">
        <f>HYPERLINK("https://klasma.github.io/Logging_0686/artfynd/A 23519-2026 artfynd.xlsx", "A 23519-2026")</f>
        <v/>
      </c>
      <c r="X33">
        <f>HYPERLINK("https://klasma.github.io/Logging_0686/kartor/A 23519-2026 karta.png", "A 23519-2026")</f>
        <v/>
      </c>
      <c r="Y33">
        <f>HYPERLINK("https://klasma.github.io/Logging_0686/kartor_geotiff/A 23519-2026 georefererad karta.tif", "A 23519-2026")</f>
        <v/>
      </c>
      <c r="AA33">
        <f>HYPERLINK("https://klasma.github.io/Logging_0686/klagomål/A 23519-2026 FSC-klagomål.docx", "A 23519-2026")</f>
        <v/>
      </c>
      <c r="AB33">
        <f>HYPERLINK("https://klasma.github.io/Logging_0686/klagomålsmail/A 23519-2026 FSC-klagomål mail.docx", "A 23519-2026")</f>
        <v/>
      </c>
      <c r="AC33">
        <f>HYPERLINK("https://klasma.github.io/Logging_0686/tillsyn/A 23519-2026 tillsynsbegäran.docx", "A 23519-2026")</f>
        <v/>
      </c>
      <c r="AD33">
        <f>HYPERLINK("https://klasma.github.io/Logging_0686/tillsynsmail/A 23519-2026 tillsynsbegäran mail.docx", "A 23519-2026")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46273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46273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Dvärgbägarlav</t>
        </is>
      </c>
      <c r="W35">
        <f>HYPERLINK("https://klasma.github.io/Logging_0686/artfynd/A 18327-2024 artfynd.xlsx", "A 18327-2024")</f>
        <v/>
      </c>
      <c r="X35">
        <f>HYPERLINK("https://klasma.github.io/Logging_0686/kartor/A 18327-2024 karta.png", "A 18327-2024")</f>
        <v/>
      </c>
      <c r="Y35">
        <f>HYPERLINK("https://klasma.github.io/Logging_0686/kartor_geotiff/A 18327-2024 georefererad karta.tif", "A 18327-2024")</f>
        <v/>
      </c>
      <c r="AA35">
        <f>HYPERLINK("https://klasma.github.io/Logging_0686/klagomål/A 18327-2024 FSC-klagomål.docx", "A 18327-2024")</f>
        <v/>
      </c>
      <c r="AB35">
        <f>HYPERLINK("https://klasma.github.io/Logging_0686/klagomålsmail/A 18327-2024 FSC-klagomål mail.docx", "A 18327-2024")</f>
        <v/>
      </c>
      <c r="AC35">
        <f>HYPERLINK("https://klasma.github.io/Logging_0686/tillsyn/A 18327-2024 tillsynsbegäran.docx", "A 18327-2024")</f>
        <v/>
      </c>
      <c r="AD35">
        <f>HYPERLINK("https://klasma.github.io/Logging_0686/tillsynsmail/A 18327-2024 tillsynsbegäran mail.docx", "A 18327-2024")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46273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41746-2023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46273</v>
      </c>
      <c r="F37" t="inlineStr">
        <is>
          <t>JÖNKÖPINGS LÄN</t>
        </is>
      </c>
      <c r="G37" t="inlineStr">
        <is>
          <t>EKSJÖ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HYPERLINK("https://klasma.github.io/Logging_0686/artfynd/A 41746-2023 artfynd.xlsx", "A 41746-2023")</f>
        <v/>
      </c>
      <c r="X37">
        <f>HYPERLINK("https://klasma.github.io/Logging_0686/kartor/A 41746-2023 karta.png", "A 41746-2023")</f>
        <v/>
      </c>
      <c r="Y37">
        <f>HYPERLINK("https://klasma.github.io/Logging_0686/kartor_geotiff/A 41746-2023 georefererad karta.tif", "A 41746-2023")</f>
        <v/>
      </c>
      <c r="AA37">
        <f>HYPERLINK("https://klasma.github.io/Logging_0686/klagomål/A 41746-2023 FSC-klagomål.docx", "A 41746-2023")</f>
        <v/>
      </c>
      <c r="AB37">
        <f>HYPERLINK("https://klasma.github.io/Logging_0686/klagomålsmail/A 41746-2023 FSC-klagomål mail.docx", "A 41746-2023")</f>
        <v/>
      </c>
      <c r="AC37">
        <f>HYPERLINK("https://klasma.github.io/Logging_0686/tillsyn/A 41746-2023 tillsynsbegäran.docx", "A 41746-2023")</f>
        <v/>
      </c>
      <c r="AD37">
        <f>HYPERLINK("https://klasma.github.io/Logging_0686/tillsynsmail/A 41746-2023 tillsynsbegäran mail.docx", "A 41746-2023")</f>
        <v/>
      </c>
    </row>
    <row r="38" ht="15" customHeight="1">
      <c r="A38" t="inlineStr">
        <is>
          <t>A 15419-2026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46273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HYPERLINK("https://klasma.github.io/Logging_0686/artfynd/A 15419-2026 artfynd.xlsx", "A 15419-2026")</f>
        <v/>
      </c>
      <c r="X38">
        <f>HYPERLINK("https://klasma.github.io/Logging_0686/kartor/A 15419-2026 karta.png", "A 15419-2026")</f>
        <v/>
      </c>
      <c r="Y38">
        <f>HYPERLINK("https://klasma.github.io/Logging_0686/kartor_geotiff/A 15419-2026 georefererad karta.tif", "A 15419-2026")</f>
        <v/>
      </c>
      <c r="AA38">
        <f>HYPERLINK("https://klasma.github.io/Logging_0686/klagomål/A 15419-2026 FSC-klagomål.docx", "A 15419-2026")</f>
        <v/>
      </c>
      <c r="AB38">
        <f>HYPERLINK("https://klasma.github.io/Logging_0686/klagomålsmail/A 15419-2026 FSC-klagomål mail.docx", "A 15419-2026")</f>
        <v/>
      </c>
      <c r="AC38">
        <f>HYPERLINK("https://klasma.github.io/Logging_0686/tillsyn/A 15419-2026 tillsynsbegäran.docx", "A 15419-2026")</f>
        <v/>
      </c>
      <c r="AD38">
        <f>HYPERLINK("https://klasma.github.io/Logging_0686/tillsynsmail/A 15419-2026 tillsynsbegäran mail.docx", "A 15419-2026")</f>
        <v/>
      </c>
    </row>
    <row r="39" ht="15" customHeight="1">
      <c r="A39" t="inlineStr">
        <is>
          <t>A 29121-2026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46202</v>
      </c>
      <c r="E39" s="1" t="n">
        <v>46273</v>
      </c>
      <c r="F39" t="inlineStr">
        <is>
          <t>JÖNKÖPINGS LÄN</t>
        </is>
      </c>
      <c r="G39" t="inlineStr">
        <is>
          <t>EKSJÖ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HYPERLINK("https://klasma.github.io/Logging_0686/artfynd/A 29121-2026 artfynd.xlsx", "A 29121-2026")</f>
        <v/>
      </c>
      <c r="X39">
        <f>HYPERLINK("https://klasma.github.io/Logging_0686/kartor/A 29121-2026 karta.png", "A 29121-2026")</f>
        <v/>
      </c>
      <c r="Y39">
        <f>HYPERLINK("https://klasma.github.io/Logging_0686/kartor_geotiff/A 29121-2026 georefererad karta.tif", "A 29121-2026")</f>
        <v/>
      </c>
      <c r="AA39">
        <f>HYPERLINK("https://klasma.github.io/Logging_0686/klagomål/A 29121-2026 FSC-klagomål.docx", "A 29121-2026")</f>
        <v/>
      </c>
      <c r="AB39">
        <f>HYPERLINK("https://klasma.github.io/Logging_0686/klagomålsmail/A 29121-2026 FSC-klagomål mail.docx", "A 29121-2026")</f>
        <v/>
      </c>
      <c r="AC39">
        <f>HYPERLINK("https://klasma.github.io/Logging_0686/tillsyn/A 29121-2026 tillsynsbegäran.docx", "A 29121-2026")</f>
        <v/>
      </c>
      <c r="AD39">
        <f>HYPERLINK("https://klasma.github.io/Logging_0686/tillsynsmail/A 29121-2026 tillsynsbegäran mail.docx", "A 29121-2026")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46273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46273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46273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46273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46273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46273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46273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46273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46273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46273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46273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46273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46273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46273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46273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46273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46273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46273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46273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46273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46273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46273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46273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46273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46273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46273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46273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46273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46273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46273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46273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46273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46273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46273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46273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46273</v>
      </c>
      <c r="F86" t="inlineStr">
        <is>
          <t>JÖNKÖPINGS LÄN</t>
        </is>
      </c>
      <c r="G86" t="inlineStr">
        <is>
          <t>EKSJÖ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46273</v>
      </c>
      <c r="F87" t="inlineStr">
        <is>
          <t>JÖNKÖPINGS LÄN</t>
        </is>
      </c>
      <c r="G87" t="inlineStr">
        <is>
          <t>EKSJÖ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46273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46273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46273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46273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46273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46273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46273</v>
      </c>
      <c r="F94" t="inlineStr">
        <is>
          <t>JÖNKÖPINGS LÄN</t>
        </is>
      </c>
      <c r="G94" t="inlineStr">
        <is>
          <t>EKSJÖ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46273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46273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46273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46273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46273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46273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46273</v>
      </c>
      <c r="F101" t="inlineStr">
        <is>
          <t>JÖNKÖPINGS LÄN</t>
        </is>
      </c>
      <c r="G101" t="inlineStr">
        <is>
          <t>EKSJÖ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46273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46273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46273</v>
      </c>
      <c r="F104" t="inlineStr">
        <is>
          <t>JÖNKÖPINGS LÄN</t>
        </is>
      </c>
      <c r="G104" t="inlineStr">
        <is>
          <t>EKSJÖ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46273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46273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46273</v>
      </c>
      <c r="F107" t="inlineStr">
        <is>
          <t>JÖNKÖPINGS LÄN</t>
        </is>
      </c>
      <c r="G107" t="inlineStr">
        <is>
          <t>EKSJÖ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46273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46273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46273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46273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46273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46273</v>
      </c>
      <c r="F113" t="inlineStr">
        <is>
          <t>JÖNKÖPINGS LÄN</t>
        </is>
      </c>
      <c r="G113" t="inlineStr">
        <is>
          <t>EKSJÖ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46273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46273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46273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43411-2022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44834</v>
      </c>
      <c r="E117" s="1" t="n">
        <v>46273</v>
      </c>
      <c r="F117" t="inlineStr">
        <is>
          <t>JÖNKÖPINGS LÄN</t>
        </is>
      </c>
      <c r="G117" t="inlineStr">
        <is>
          <t>EKSJÖ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46273</v>
      </c>
      <c r="F118" t="inlineStr">
        <is>
          <t>JÖNKÖPINGS LÄN</t>
        </is>
      </c>
      <c r="G118" t="inlineStr">
        <is>
          <t>EKSJÖ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46273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45512</v>
      </c>
      <c r="E120" s="1" t="n">
        <v>46273</v>
      </c>
      <c r="F120" t="inlineStr">
        <is>
          <t>JÖNKÖPINGS LÄN</t>
        </is>
      </c>
      <c r="G120" t="inlineStr">
        <is>
          <t>EKSJÖ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46273</v>
      </c>
      <c r="F121" t="inlineStr">
        <is>
          <t>JÖNKÖPINGS LÄN</t>
        </is>
      </c>
      <c r="G121" t="inlineStr">
        <is>
          <t>EKSJÖ</t>
        </is>
      </c>
      <c r="H121" t="inlineStr">
        <is>
          <t>Kommuner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46273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46273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46273</v>
      </c>
      <c r="F124" t="inlineStr">
        <is>
          <t>JÖNKÖPINGS LÄN</t>
        </is>
      </c>
      <c r="G124" t="inlineStr">
        <is>
          <t>EKSJÖ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46273</v>
      </c>
      <c r="F125" t="inlineStr">
        <is>
          <t>JÖNKÖPINGS LÄN</t>
        </is>
      </c>
      <c r="G125" t="inlineStr">
        <is>
          <t>EKSJÖ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46273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46273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46273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46273</v>
      </c>
      <c r="F129" t="inlineStr">
        <is>
          <t>JÖNKÖPINGS LÄN</t>
        </is>
      </c>
      <c r="G129" t="inlineStr">
        <is>
          <t>EKSJÖ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46273</v>
      </c>
      <c r="F130" t="inlineStr">
        <is>
          <t>JÖNKÖPINGS LÄN</t>
        </is>
      </c>
      <c r="G130" t="inlineStr">
        <is>
          <t>EKSJÖ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46273</v>
      </c>
      <c r="F131" t="inlineStr">
        <is>
          <t>JÖNKÖPINGS LÄN</t>
        </is>
      </c>
      <c r="G131" t="inlineStr">
        <is>
          <t>EKSJÖ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46273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46273</v>
      </c>
      <c r="F133" t="inlineStr">
        <is>
          <t>JÖNKÖPINGS LÄN</t>
        </is>
      </c>
      <c r="G133" t="inlineStr">
        <is>
          <t>EKSJÖ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46273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46273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46273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46273</v>
      </c>
      <c r="F137" t="inlineStr">
        <is>
          <t>JÖNKÖPINGS LÄN</t>
        </is>
      </c>
      <c r="G137" t="inlineStr">
        <is>
          <t>EKSJÖ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46273</v>
      </c>
      <c r="F138" t="inlineStr">
        <is>
          <t>JÖNKÖPINGS LÄN</t>
        </is>
      </c>
      <c r="G138" t="inlineStr">
        <is>
          <t>EKSJÖ</t>
        </is>
      </c>
      <c r="H138" t="inlineStr">
        <is>
          <t>Övriga Aktiebolag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46273</v>
      </c>
      <c r="F139" t="inlineStr">
        <is>
          <t>JÖNKÖPINGS LÄN</t>
        </is>
      </c>
      <c r="G139" t="inlineStr">
        <is>
          <t>EKSJÖ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46273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46273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30931-2023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45113</v>
      </c>
      <c r="E142" s="1" t="n">
        <v>46273</v>
      </c>
      <c r="F142" t="inlineStr">
        <is>
          <t>JÖNKÖPINGS LÄN</t>
        </is>
      </c>
      <c r="G142" t="inlineStr">
        <is>
          <t>EKSJÖ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46273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46273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46273</v>
      </c>
      <c r="F145" t="inlineStr">
        <is>
          <t>JÖNKÖPINGS LÄN</t>
        </is>
      </c>
      <c r="G145" t="inlineStr">
        <is>
          <t>EKSJÖ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44861</v>
      </c>
      <c r="E146" s="1" t="n">
        <v>46273</v>
      </c>
      <c r="F146" t="inlineStr">
        <is>
          <t>JÖNKÖPINGS LÄN</t>
        </is>
      </c>
      <c r="G146" t="inlineStr">
        <is>
          <t>EKSJÖ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46273</v>
      </c>
      <c r="F147" t="inlineStr">
        <is>
          <t>JÖNKÖPINGS LÄN</t>
        </is>
      </c>
      <c r="G147" t="inlineStr">
        <is>
          <t>EKSJÖ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45533</v>
      </c>
      <c r="E148" s="1" t="n">
        <v>46273</v>
      </c>
      <c r="F148" t="inlineStr">
        <is>
          <t>JÖNKÖPINGS LÄN</t>
        </is>
      </c>
      <c r="G148" t="inlineStr">
        <is>
          <t>EKSJÖ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46273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45537</v>
      </c>
      <c r="E150" s="1" t="n">
        <v>46273</v>
      </c>
      <c r="F150" t="inlineStr">
        <is>
          <t>JÖNKÖPINGS LÄN</t>
        </is>
      </c>
      <c r="G150" t="inlineStr">
        <is>
          <t>EKSJÖ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46273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46273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46273</v>
      </c>
      <c r="F153" t="inlineStr">
        <is>
          <t>JÖNKÖPINGS LÄN</t>
        </is>
      </c>
      <c r="G153" t="inlineStr">
        <is>
          <t>EKSJÖ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46273</v>
      </c>
      <c r="F154" t="inlineStr">
        <is>
          <t>JÖNKÖPINGS LÄN</t>
        </is>
      </c>
      <c r="G154" t="inlineStr">
        <is>
          <t>EKSJÖ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45513</v>
      </c>
      <c r="E155" s="1" t="n">
        <v>46273</v>
      </c>
      <c r="F155" t="inlineStr">
        <is>
          <t>JÖNKÖPINGS LÄN</t>
        </is>
      </c>
      <c r="G155" t="inlineStr">
        <is>
          <t>EKSJÖ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46273</v>
      </c>
      <c r="F156" t="inlineStr">
        <is>
          <t>JÖNKÖPINGS LÄN</t>
        </is>
      </c>
      <c r="G156" t="inlineStr">
        <is>
          <t>EKSJÖ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44574</v>
      </c>
      <c r="E157" s="1" t="n">
        <v>46273</v>
      </c>
      <c r="F157" t="inlineStr">
        <is>
          <t>JÖNKÖPINGS LÄN</t>
        </is>
      </c>
      <c r="G157" t="inlineStr">
        <is>
          <t>EKSJÖ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46273</v>
      </c>
      <c r="F158" t="inlineStr">
        <is>
          <t>JÖNKÖPINGS LÄN</t>
        </is>
      </c>
      <c r="G158" t="inlineStr">
        <is>
          <t>EKSJÖ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46273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46273</v>
      </c>
      <c r="F160" t="inlineStr">
        <is>
          <t>JÖNKÖPINGS LÄN</t>
        </is>
      </c>
      <c r="G160" t="inlineStr">
        <is>
          <t>EKSJÖ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46273</v>
      </c>
      <c r="F161" t="inlineStr">
        <is>
          <t>JÖNKÖPINGS LÄN</t>
        </is>
      </c>
      <c r="G161" t="inlineStr">
        <is>
          <t>EKSJÖ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44974</v>
      </c>
      <c r="E162" s="1" t="n">
        <v>46273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46273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12821-2024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45384</v>
      </c>
      <c r="E164" s="1" t="n">
        <v>46273</v>
      </c>
      <c r="F164" t="inlineStr">
        <is>
          <t>JÖNKÖPINGS LÄN</t>
        </is>
      </c>
      <c r="G164" t="inlineStr">
        <is>
          <t>EKSJÖ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44928</v>
      </c>
      <c r="E165" s="1" t="n">
        <v>46273</v>
      </c>
      <c r="F165" t="inlineStr">
        <is>
          <t>JÖNKÖPINGS LÄN</t>
        </is>
      </c>
      <c r="G165" t="inlineStr">
        <is>
          <t>EKSJÖ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46273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46273</v>
      </c>
      <c r="F167" t="inlineStr">
        <is>
          <t>JÖNKÖPINGS LÄN</t>
        </is>
      </c>
      <c r="G167" t="inlineStr">
        <is>
          <t>EKSJÖ</t>
        </is>
      </c>
      <c r="H167" t="inlineStr">
        <is>
          <t>Övriga Aktiebolag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46273</v>
      </c>
      <c r="F168" t="inlineStr">
        <is>
          <t>JÖNKÖPINGS LÄN</t>
        </is>
      </c>
      <c r="G168" t="inlineStr">
        <is>
          <t>EKSJÖ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46273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46273</v>
      </c>
      <c r="F170" t="inlineStr">
        <is>
          <t>JÖNKÖPINGS LÄN</t>
        </is>
      </c>
      <c r="G170" t="inlineStr">
        <is>
          <t>EKSJÖ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46273</v>
      </c>
      <c r="F171" t="inlineStr">
        <is>
          <t>JÖNKÖPINGS LÄN</t>
        </is>
      </c>
      <c r="G171" t="inlineStr">
        <is>
          <t>EKSJÖ</t>
        </is>
      </c>
      <c r="H171" t="inlineStr">
        <is>
          <t>Övriga Aktiebolag</t>
        </is>
      </c>
      <c r="I171" t="n">
        <v>17.5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46273</v>
      </c>
      <c r="F172" t="inlineStr">
        <is>
          <t>JÖNKÖPINGS LÄN</t>
        </is>
      </c>
      <c r="G172" t="inlineStr">
        <is>
          <t>EKSJÖ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46273</v>
      </c>
      <c r="F173" t="inlineStr">
        <is>
          <t>JÖNKÖPINGS LÄN</t>
        </is>
      </c>
      <c r="G173" t="inlineStr">
        <is>
          <t>EKSJÖ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46273</v>
      </c>
      <c r="F174" t="inlineStr">
        <is>
          <t>JÖNKÖPINGS LÄN</t>
        </is>
      </c>
      <c r="G174" t="inlineStr">
        <is>
          <t>EKSJÖ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46273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46273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46273</v>
      </c>
      <c r="F177" t="inlineStr">
        <is>
          <t>JÖNKÖPINGS LÄN</t>
        </is>
      </c>
      <c r="G177" t="inlineStr">
        <is>
          <t>EKSJÖ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45086</v>
      </c>
      <c r="E178" s="1" t="n">
        <v>46273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54292-2023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45232</v>
      </c>
      <c r="E179" s="1" t="n">
        <v>46273</v>
      </c>
      <c r="F179" t="inlineStr">
        <is>
          <t>JÖNKÖPINGS LÄN</t>
        </is>
      </c>
      <c r="G179" t="inlineStr">
        <is>
          <t>EKSJÖ</t>
        </is>
      </c>
      <c r="I179" t="n">
        <v>18.3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13273-2023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45003</v>
      </c>
      <c r="E180" s="1" t="n">
        <v>46273</v>
      </c>
      <c r="F180" t="inlineStr">
        <is>
          <t>JÖNKÖPINGS LÄN</t>
        </is>
      </c>
      <c r="G180" t="inlineStr">
        <is>
          <t>EKSJÖ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46273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45837</v>
      </c>
      <c r="E182" s="1" t="n">
        <v>46273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46273</v>
      </c>
      <c r="F183" t="inlineStr">
        <is>
          <t>JÖNKÖPINGS LÄN</t>
        </is>
      </c>
      <c r="G183" t="inlineStr">
        <is>
          <t>EKSJÖ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56322-2021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44477</v>
      </c>
      <c r="E184" s="1" t="n">
        <v>46273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46273</v>
      </c>
      <c r="F185" t="inlineStr">
        <is>
          <t>JÖNKÖPINGS LÄN</t>
        </is>
      </c>
      <c r="G185" t="inlineStr">
        <is>
          <t>EKSJÖ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45036</v>
      </c>
      <c r="E186" s="1" t="n">
        <v>46273</v>
      </c>
      <c r="F186" t="inlineStr">
        <is>
          <t>JÖNKÖPINGS LÄN</t>
        </is>
      </c>
      <c r="G186" t="inlineStr">
        <is>
          <t>EKSJÖ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46273</v>
      </c>
      <c r="F187" t="inlineStr">
        <is>
          <t>JÖNKÖPINGS LÄN</t>
        </is>
      </c>
      <c r="G187" t="inlineStr">
        <is>
          <t>EKSJÖ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45840</v>
      </c>
      <c r="E188" s="1" t="n">
        <v>46273</v>
      </c>
      <c r="F188" t="inlineStr">
        <is>
          <t>JÖNKÖPINGS LÄN</t>
        </is>
      </c>
      <c r="G188" t="inlineStr">
        <is>
          <t>EKSJÖ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46273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46273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46273</v>
      </c>
      <c r="F191" t="inlineStr">
        <is>
          <t>JÖNKÖPINGS LÄN</t>
        </is>
      </c>
      <c r="G191" t="inlineStr">
        <is>
          <t>EKSJÖ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46273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46273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45114</v>
      </c>
      <c r="E194" s="1" t="n">
        <v>46273</v>
      </c>
      <c r="F194" t="inlineStr">
        <is>
          <t>JÖNKÖPINGS LÄN</t>
        </is>
      </c>
      <c r="G194" t="inlineStr">
        <is>
          <t>EKSJÖ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46273</v>
      </c>
      <c r="F195" t="inlineStr">
        <is>
          <t>JÖNKÖPINGS LÄN</t>
        </is>
      </c>
      <c r="G195" t="inlineStr">
        <is>
          <t>EKSJÖ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46273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46273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46273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46273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45195</v>
      </c>
      <c r="E200" s="1" t="n">
        <v>46273</v>
      </c>
      <c r="F200" t="inlineStr">
        <is>
          <t>JÖNKÖPINGS LÄN</t>
        </is>
      </c>
      <c r="G200" t="inlineStr">
        <is>
          <t>EKSJÖ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45837</v>
      </c>
      <c r="E201" s="1" t="n">
        <v>46273</v>
      </c>
      <c r="F201" t="inlineStr">
        <is>
          <t>JÖNKÖPINGS LÄN</t>
        </is>
      </c>
      <c r="G201" t="inlineStr">
        <is>
          <t>EKSJÖ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46273</v>
      </c>
      <c r="F202" t="inlineStr">
        <is>
          <t>JÖNKÖPINGS LÄN</t>
        </is>
      </c>
      <c r="G202" t="inlineStr">
        <is>
          <t>EKSJÖ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46273</v>
      </c>
      <c r="F203" t="inlineStr">
        <is>
          <t>JÖNKÖPINGS LÄN</t>
        </is>
      </c>
      <c r="G203" t="inlineStr">
        <is>
          <t>EKSJÖ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44853</v>
      </c>
      <c r="E204" s="1" t="n">
        <v>46273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46273</v>
      </c>
      <c r="F205" t="inlineStr">
        <is>
          <t>JÖNKÖPINGS LÄN</t>
        </is>
      </c>
      <c r="G205" t="inlineStr">
        <is>
          <t>EKSJÖ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46273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46273</v>
      </c>
      <c r="F207" t="inlineStr">
        <is>
          <t>JÖNKÖPINGS LÄN</t>
        </is>
      </c>
      <c r="G207" t="inlineStr">
        <is>
          <t>EKSJÖ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46273</v>
      </c>
      <c r="F208" t="inlineStr">
        <is>
          <t>JÖNKÖPINGS LÄN</t>
        </is>
      </c>
      <c r="G208" t="inlineStr">
        <is>
          <t>EKSJÖ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46273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46273</v>
      </c>
      <c r="F210" t="inlineStr">
        <is>
          <t>JÖNKÖPINGS LÄN</t>
        </is>
      </c>
      <c r="G210" t="inlineStr">
        <is>
          <t>EKSJÖ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46273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46273</v>
      </c>
      <c r="F212" t="inlineStr">
        <is>
          <t>JÖNKÖPINGS LÄN</t>
        </is>
      </c>
      <c r="G212" t="inlineStr">
        <is>
          <t>EKSJÖ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46273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46273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46273</v>
      </c>
      <c r="F215" t="inlineStr">
        <is>
          <t>JÖNKÖPINGS LÄN</t>
        </is>
      </c>
      <c r="G215" t="inlineStr">
        <is>
          <t>EKSJÖ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45485</v>
      </c>
      <c r="E216" s="1" t="n">
        <v>46273</v>
      </c>
      <c r="F216" t="inlineStr">
        <is>
          <t>JÖNKÖPINGS LÄN</t>
        </is>
      </c>
      <c r="G216" t="inlineStr">
        <is>
          <t>EKSJÖ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46273</v>
      </c>
      <c r="F217" t="inlineStr">
        <is>
          <t>JÖNKÖPINGS LÄN</t>
        </is>
      </c>
      <c r="G217" t="inlineStr">
        <is>
          <t>EKSJÖ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46273</v>
      </c>
      <c r="F218" t="inlineStr">
        <is>
          <t>JÖNKÖPINGS LÄN</t>
        </is>
      </c>
      <c r="G218" t="inlineStr">
        <is>
          <t>EKSJÖ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46273</v>
      </c>
      <c r="F219" t="inlineStr">
        <is>
          <t>JÖNKÖPINGS LÄN</t>
        </is>
      </c>
      <c r="G219" t="inlineStr">
        <is>
          <t>EKSJÖ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46273</v>
      </c>
      <c r="F220" t="inlineStr">
        <is>
          <t>JÖNKÖPINGS LÄN</t>
        </is>
      </c>
      <c r="G220" t="inlineStr">
        <is>
          <t>EKSJÖ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38592-2022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44813</v>
      </c>
      <c r="E221" s="1" t="n">
        <v>46273</v>
      </c>
      <c r="F221" t="inlineStr">
        <is>
          <t>JÖNKÖPINGS LÄN</t>
        </is>
      </c>
      <c r="G221" t="inlineStr">
        <is>
          <t>EKSJÖ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46273</v>
      </c>
      <c r="F222" t="inlineStr">
        <is>
          <t>JÖNKÖPINGS LÄN</t>
        </is>
      </c>
      <c r="G222" t="inlineStr">
        <is>
          <t>EKSJÖ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46273</v>
      </c>
      <c r="F223" t="inlineStr">
        <is>
          <t>JÖNKÖPINGS LÄN</t>
        </is>
      </c>
      <c r="G223" t="inlineStr">
        <is>
          <t>EKSJÖ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46273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46273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46273</v>
      </c>
      <c r="F226" t="inlineStr">
        <is>
          <t>JÖNKÖPINGS LÄN</t>
        </is>
      </c>
      <c r="G226" t="inlineStr">
        <is>
          <t>EKSJÖ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10045-2025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46273</v>
      </c>
      <c r="F227" t="inlineStr">
        <is>
          <t>JÖNKÖPINGS LÄN</t>
        </is>
      </c>
      <c r="G227" t="inlineStr">
        <is>
          <t>EKSJÖ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45714</v>
      </c>
      <c r="E228" s="1" t="n">
        <v>46273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45714</v>
      </c>
      <c r="E229" s="1" t="n">
        <v>46273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46273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44945</v>
      </c>
      <c r="E231" s="1" t="n">
        <v>46273</v>
      </c>
      <c r="F231" t="inlineStr">
        <is>
          <t>JÖNKÖPINGS LÄN</t>
        </is>
      </c>
      <c r="G231" t="inlineStr">
        <is>
          <t>EKSJÖ</t>
        </is>
      </c>
      <c r="H231" t="inlineStr">
        <is>
          <t>Övriga Aktiebolag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45008</v>
      </c>
      <c r="E232" s="1" t="n">
        <v>46273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46273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46273</v>
      </c>
      <c r="F234" t="inlineStr">
        <is>
          <t>JÖNKÖPINGS LÄN</t>
        </is>
      </c>
      <c r="G234" t="inlineStr">
        <is>
          <t>EKSJÖ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46273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46273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45173</v>
      </c>
      <c r="E237" s="1" t="n">
        <v>46273</v>
      </c>
      <c r="F237" t="inlineStr">
        <is>
          <t>JÖNKÖPINGS LÄN</t>
        </is>
      </c>
      <c r="G237" t="inlineStr">
        <is>
          <t>EKSJÖ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46273</v>
      </c>
      <c r="F238" t="inlineStr">
        <is>
          <t>JÖNKÖPINGS LÄN</t>
        </is>
      </c>
      <c r="G238" t="inlineStr">
        <is>
          <t>EKSJÖ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22860-2023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45072</v>
      </c>
      <c r="E239" s="1" t="n">
        <v>46273</v>
      </c>
      <c r="F239" t="inlineStr">
        <is>
          <t>JÖNKÖPINGS LÄN</t>
        </is>
      </c>
      <c r="G239" t="inlineStr">
        <is>
          <t>EKSJÖ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45418</v>
      </c>
      <c r="E240" s="1" t="n">
        <v>46273</v>
      </c>
      <c r="F240" t="inlineStr">
        <is>
          <t>JÖNKÖPINGS LÄN</t>
        </is>
      </c>
      <c r="G240" t="inlineStr">
        <is>
          <t>EKSJÖ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46273</v>
      </c>
      <c r="F241" t="inlineStr">
        <is>
          <t>JÖNKÖPINGS LÄN</t>
        </is>
      </c>
      <c r="G241" t="inlineStr">
        <is>
          <t>EKSJÖ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46273</v>
      </c>
      <c r="F242" t="inlineStr">
        <is>
          <t>JÖNKÖPINGS LÄN</t>
        </is>
      </c>
      <c r="G242" t="inlineStr">
        <is>
          <t>EKSJÖ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46273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46273</v>
      </c>
      <c r="F244" t="inlineStr">
        <is>
          <t>JÖNKÖPINGS LÄN</t>
        </is>
      </c>
      <c r="G244" t="inlineStr">
        <is>
          <t>EKSJÖ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46273</v>
      </c>
      <c r="F245" t="inlineStr">
        <is>
          <t>JÖNKÖPINGS LÄN</t>
        </is>
      </c>
      <c r="G245" t="inlineStr">
        <is>
          <t>EKSJÖ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46273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46273</v>
      </c>
      <c r="F247" t="inlineStr">
        <is>
          <t>JÖNKÖPINGS LÄN</t>
        </is>
      </c>
      <c r="G247" t="inlineStr">
        <is>
          <t>EKSJÖ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46273</v>
      </c>
      <c r="F248" t="inlineStr">
        <is>
          <t>JÖNKÖPINGS LÄN</t>
        </is>
      </c>
      <c r="G248" t="inlineStr">
        <is>
          <t>EKSJÖ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46273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46037</v>
      </c>
      <c r="E250" s="1" t="n">
        <v>46273</v>
      </c>
      <c r="F250" t="inlineStr">
        <is>
          <t>JÖNKÖPINGS LÄN</t>
        </is>
      </c>
      <c r="G250" t="inlineStr">
        <is>
          <t>EKSJÖ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46273</v>
      </c>
      <c r="F251" t="inlineStr">
        <is>
          <t>JÖNKÖPINGS LÄN</t>
        </is>
      </c>
      <c r="G251" t="inlineStr">
        <is>
          <t>EKSJÖ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46273</v>
      </c>
      <c r="F252" t="inlineStr">
        <is>
          <t>JÖNKÖPINGS LÄN</t>
        </is>
      </c>
      <c r="G252" t="inlineStr">
        <is>
          <t>EKSJÖ</t>
        </is>
      </c>
      <c r="H252" t="inlineStr">
        <is>
          <t>Övriga Aktiebolag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44480</v>
      </c>
      <c r="E253" s="1" t="n">
        <v>46273</v>
      </c>
      <c r="F253" t="inlineStr">
        <is>
          <t>JÖNKÖPINGS LÄN</t>
        </is>
      </c>
      <c r="G253" t="inlineStr">
        <is>
          <t>EKSJÖ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46273</v>
      </c>
      <c r="F254" t="inlineStr">
        <is>
          <t>JÖNKÖPINGS LÄN</t>
        </is>
      </c>
      <c r="G254" t="inlineStr">
        <is>
          <t>EKSJÖ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60920-2025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45996</v>
      </c>
      <c r="E255" s="1" t="n">
        <v>46273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45757</v>
      </c>
      <c r="E256" s="1" t="n">
        <v>46273</v>
      </c>
      <c r="F256" t="inlineStr">
        <is>
          <t>JÖNKÖPINGS LÄN</t>
        </is>
      </c>
      <c r="G256" t="inlineStr">
        <is>
          <t>EKSJÖ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46273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46273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46273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46273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46273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46273</v>
      </c>
      <c r="F262" t="inlineStr">
        <is>
          <t>JÖNKÖPINGS LÄN</t>
        </is>
      </c>
      <c r="G262" t="inlineStr">
        <is>
          <t>EKSJÖ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46273</v>
      </c>
      <c r="F263" t="inlineStr">
        <is>
          <t>JÖNKÖPINGS LÄN</t>
        </is>
      </c>
      <c r="G263" t="inlineStr">
        <is>
          <t>EKSJÖ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46273</v>
      </c>
      <c r="F264" t="inlineStr">
        <is>
          <t>JÖNKÖPINGS LÄN</t>
        </is>
      </c>
      <c r="G264" t="inlineStr">
        <is>
          <t>EKSJÖ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46273</v>
      </c>
      <c r="F265" t="inlineStr">
        <is>
          <t>JÖNKÖPINGS LÄN</t>
        </is>
      </c>
      <c r="G265" t="inlineStr">
        <is>
          <t>EKSJÖ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46273</v>
      </c>
      <c r="F266" t="inlineStr">
        <is>
          <t>JÖNKÖPINGS LÄN</t>
        </is>
      </c>
      <c r="G266" t="inlineStr">
        <is>
          <t>EKSJÖ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46273</v>
      </c>
      <c r="F267" t="inlineStr">
        <is>
          <t>JÖNKÖPINGS LÄN</t>
        </is>
      </c>
      <c r="G267" t="inlineStr">
        <is>
          <t>EKSJÖ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46273</v>
      </c>
      <c r="F268" t="inlineStr">
        <is>
          <t>JÖNKÖPINGS LÄN</t>
        </is>
      </c>
      <c r="G268" t="inlineStr">
        <is>
          <t>EKSJÖ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46273</v>
      </c>
      <c r="F269" t="inlineStr">
        <is>
          <t>JÖNKÖPINGS LÄN</t>
        </is>
      </c>
      <c r="G269" t="inlineStr">
        <is>
          <t>EKSJÖ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46273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46273</v>
      </c>
      <c r="F271" t="inlineStr">
        <is>
          <t>JÖNKÖPINGS LÄN</t>
        </is>
      </c>
      <c r="G271" t="inlineStr">
        <is>
          <t>EKSJÖ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46273</v>
      </c>
      <c r="F272" t="inlineStr">
        <is>
          <t>JÖNKÖPINGS LÄN</t>
        </is>
      </c>
      <c r="G272" t="inlineStr">
        <is>
          <t>EKSJÖ</t>
        </is>
      </c>
      <c r="H272" t="inlineStr">
        <is>
          <t>Kyrkan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46273</v>
      </c>
      <c r="F273" t="inlineStr">
        <is>
          <t>JÖNKÖPINGS LÄN</t>
        </is>
      </c>
      <c r="G273" t="inlineStr">
        <is>
          <t>EKSJÖ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44953</v>
      </c>
      <c r="E274" s="1" t="n">
        <v>46273</v>
      </c>
      <c r="F274" t="inlineStr">
        <is>
          <t>JÖNKÖPINGS LÄN</t>
        </is>
      </c>
      <c r="G274" t="inlineStr">
        <is>
          <t>EKSJÖ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45391</v>
      </c>
      <c r="E275" s="1" t="n">
        <v>46273</v>
      </c>
      <c r="F275" t="inlineStr">
        <is>
          <t>JÖNKÖPINGS LÄN</t>
        </is>
      </c>
      <c r="G275" t="inlineStr">
        <is>
          <t>EKSJÖ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46273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46273</v>
      </c>
      <c r="F277" t="inlineStr">
        <is>
          <t>JÖNKÖPINGS LÄN</t>
        </is>
      </c>
      <c r="G277" t="inlineStr">
        <is>
          <t>EKSJÖ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46273</v>
      </c>
      <c r="F278" t="inlineStr">
        <is>
          <t>JÖNKÖPINGS LÄN</t>
        </is>
      </c>
      <c r="G278" t="inlineStr">
        <is>
          <t>EKSJÖ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46273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45561</v>
      </c>
      <c r="E280" s="1" t="n">
        <v>46273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46273</v>
      </c>
      <c r="F281" t="inlineStr">
        <is>
          <t>JÖNKÖPINGS LÄN</t>
        </is>
      </c>
      <c r="G281" t="inlineStr">
        <is>
          <t>EKSJÖ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46273</v>
      </c>
      <c r="F282" t="inlineStr">
        <is>
          <t>JÖNKÖPINGS LÄN</t>
        </is>
      </c>
      <c r="G282" t="inlineStr">
        <is>
          <t>EKSJÖ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46273</v>
      </c>
      <c r="F283" t="inlineStr">
        <is>
          <t>JÖNKÖPINGS LÄN</t>
        </is>
      </c>
      <c r="G283" t="inlineStr">
        <is>
          <t>EKSJÖ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46273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46273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46175</v>
      </c>
      <c r="E286" s="1" t="n">
        <v>46273</v>
      </c>
      <c r="F286" t="inlineStr">
        <is>
          <t>JÖNKÖPINGS LÄN</t>
        </is>
      </c>
      <c r="G286" t="inlineStr">
        <is>
          <t>EKSJÖ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46273</v>
      </c>
      <c r="F287" t="inlineStr">
        <is>
          <t>JÖNKÖPINGS LÄN</t>
        </is>
      </c>
      <c r="G287" t="inlineStr">
        <is>
          <t>EKSJÖ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57802-2025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46273</v>
      </c>
      <c r="F288" t="inlineStr">
        <is>
          <t>JÖNKÖPINGS LÄN</t>
        </is>
      </c>
      <c r="G288" t="inlineStr">
        <is>
          <t>EKSJÖ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45334</v>
      </c>
      <c r="E289" s="1" t="n">
        <v>46273</v>
      </c>
      <c r="F289" t="inlineStr">
        <is>
          <t>JÖNKÖPINGS LÄN</t>
        </is>
      </c>
      <c r="G289" t="inlineStr">
        <is>
          <t>EKSJÖ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46178</v>
      </c>
      <c r="E290" s="1" t="n">
        <v>46273</v>
      </c>
      <c r="F290" t="inlineStr">
        <is>
          <t>JÖNKÖPINGS LÄN</t>
        </is>
      </c>
      <c r="G290" t="inlineStr">
        <is>
          <t>EKSJÖ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46273</v>
      </c>
      <c r="F291" t="inlineStr">
        <is>
          <t>JÖNKÖPINGS LÄN</t>
        </is>
      </c>
      <c r="G291" t="inlineStr">
        <is>
          <t>EKSJÖ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46273</v>
      </c>
      <c r="F292" t="inlineStr">
        <is>
          <t>JÖNKÖPINGS LÄN</t>
        </is>
      </c>
      <c r="G292" t="inlineStr">
        <is>
          <t>EKSJÖ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46273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45560</v>
      </c>
      <c r="E294" s="1" t="n">
        <v>46273</v>
      </c>
      <c r="F294" t="inlineStr">
        <is>
          <t>JÖNKÖPINGS LÄN</t>
        </is>
      </c>
      <c r="G294" t="inlineStr">
        <is>
          <t>EKSJÖ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64419-2021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44511</v>
      </c>
      <c r="E295" s="1" t="n">
        <v>46273</v>
      </c>
      <c r="F295" t="inlineStr">
        <is>
          <t>JÖNKÖPINGS LÄN</t>
        </is>
      </c>
      <c r="G295" t="inlineStr">
        <is>
          <t>EKSJÖ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46273</v>
      </c>
      <c r="F296" t="inlineStr">
        <is>
          <t>JÖNKÖPINGS LÄN</t>
        </is>
      </c>
      <c r="G296" t="inlineStr">
        <is>
          <t>EKSJÖ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46273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46273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46273</v>
      </c>
      <c r="F299" t="inlineStr">
        <is>
          <t>JÖNKÖPINGS LÄN</t>
        </is>
      </c>
      <c r="G299" t="inlineStr">
        <is>
          <t>EKSJÖ</t>
        </is>
      </c>
      <c r="H299" t="inlineStr">
        <is>
          <t>Kyrkan</t>
        </is>
      </c>
      <c r="I299" t="n">
        <v>15.2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46273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46273</v>
      </c>
      <c r="F301" t="inlineStr">
        <is>
          <t>JÖNKÖPINGS LÄN</t>
        </is>
      </c>
      <c r="G301" t="inlineStr">
        <is>
          <t>EKSJÖ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45991</v>
      </c>
      <c r="E302" s="1" t="n">
        <v>46273</v>
      </c>
      <c r="F302" t="inlineStr">
        <is>
          <t>JÖNKÖPINGS LÄN</t>
        </is>
      </c>
      <c r="G302" t="inlineStr">
        <is>
          <t>EKSJÖ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45468</v>
      </c>
      <c r="E303" s="1" t="n">
        <v>46273</v>
      </c>
      <c r="F303" t="inlineStr">
        <is>
          <t>JÖNKÖPINGS LÄN</t>
        </is>
      </c>
      <c r="G303" t="inlineStr">
        <is>
          <t>EKSJÖ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45315</v>
      </c>
      <c r="E304" s="1" t="n">
        <v>46273</v>
      </c>
      <c r="F304" t="inlineStr">
        <is>
          <t>JÖNKÖPINGS LÄN</t>
        </is>
      </c>
      <c r="G304" t="inlineStr">
        <is>
          <t>EKSJÖ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46273</v>
      </c>
      <c r="F305" t="inlineStr">
        <is>
          <t>JÖNKÖPINGS LÄN</t>
        </is>
      </c>
      <c r="G305" t="inlineStr">
        <is>
          <t>EKSJÖ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45664</v>
      </c>
      <c r="E306" s="1" t="n">
        <v>46273</v>
      </c>
      <c r="F306" t="inlineStr">
        <is>
          <t>JÖNKÖPINGS LÄN</t>
        </is>
      </c>
      <c r="G306" t="inlineStr">
        <is>
          <t>EKSJÖ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46273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46273</v>
      </c>
      <c r="F308" t="inlineStr">
        <is>
          <t>JÖNKÖPINGS LÄN</t>
        </is>
      </c>
      <c r="G308" t="inlineStr">
        <is>
          <t>EKSJÖ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46273</v>
      </c>
      <c r="F309" t="inlineStr">
        <is>
          <t>JÖNKÖPINGS LÄN</t>
        </is>
      </c>
      <c r="G309" t="inlineStr">
        <is>
          <t>EKSJÖ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46273</v>
      </c>
      <c r="F310" t="inlineStr">
        <is>
          <t>JÖNKÖPINGS LÄN</t>
        </is>
      </c>
      <c r="G310" t="inlineStr">
        <is>
          <t>EKSJÖ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44609</v>
      </c>
      <c r="E311" s="1" t="n">
        <v>46273</v>
      </c>
      <c r="F311" t="inlineStr">
        <is>
          <t>JÖNKÖPINGS LÄN</t>
        </is>
      </c>
      <c r="G311" t="inlineStr">
        <is>
          <t>EKSJÖ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46273</v>
      </c>
      <c r="F312" t="inlineStr">
        <is>
          <t>JÖNKÖPINGS LÄN</t>
        </is>
      </c>
      <c r="G312" t="inlineStr">
        <is>
          <t>EKSJÖ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45161</v>
      </c>
      <c r="E313" s="1" t="n">
        <v>46273</v>
      </c>
      <c r="F313" t="inlineStr">
        <is>
          <t>JÖNKÖPINGS LÄN</t>
        </is>
      </c>
      <c r="G313" t="inlineStr">
        <is>
          <t>EKSJÖ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45344</v>
      </c>
      <c r="E314" s="1" t="n">
        <v>46273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45402</v>
      </c>
      <c r="E315" s="1" t="n">
        <v>46273</v>
      </c>
      <c r="F315" t="inlineStr">
        <is>
          <t>JÖNKÖPINGS LÄN</t>
        </is>
      </c>
      <c r="G315" t="inlineStr">
        <is>
          <t>EKSJÖ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45635</v>
      </c>
      <c r="E316" s="1" t="n">
        <v>46273</v>
      </c>
      <c r="F316" t="inlineStr">
        <is>
          <t>JÖNKÖPINGS LÄN</t>
        </is>
      </c>
      <c r="G316" t="inlineStr">
        <is>
          <t>EKSJÖ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46273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45523</v>
      </c>
      <c r="E318" s="1" t="n">
        <v>46273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45334</v>
      </c>
      <c r="E319" s="1" t="n">
        <v>46273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62892-2025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46273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46273</v>
      </c>
      <c r="F321" t="inlineStr">
        <is>
          <t>JÖNKÖPINGS LÄN</t>
        </is>
      </c>
      <c r="G321" t="inlineStr">
        <is>
          <t>EKSJÖ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46273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46014</v>
      </c>
      <c r="E323" s="1" t="n">
        <v>46273</v>
      </c>
      <c r="F323" t="inlineStr">
        <is>
          <t>JÖNKÖPINGS LÄN</t>
        </is>
      </c>
      <c r="G323" t="inlineStr">
        <is>
          <t>EKSJÖ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46273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46273</v>
      </c>
      <c r="F325" t="inlineStr">
        <is>
          <t>JÖNKÖPINGS LÄN</t>
        </is>
      </c>
      <c r="G325" t="inlineStr">
        <is>
          <t>EKSJÖ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44999</v>
      </c>
      <c r="E326" s="1" t="n">
        <v>46273</v>
      </c>
      <c r="F326" t="inlineStr">
        <is>
          <t>JÖNKÖPINGS LÄN</t>
        </is>
      </c>
      <c r="G326" t="inlineStr">
        <is>
          <t>EKSJÖ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46273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47989-2023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45204</v>
      </c>
      <c r="E328" s="1" t="n">
        <v>46273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46273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46273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46273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46273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46273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45345</v>
      </c>
      <c r="E334" s="1" t="n">
        <v>46273</v>
      </c>
      <c r="F334" t="inlineStr">
        <is>
          <t>JÖNKÖPINGS LÄN</t>
        </is>
      </c>
      <c r="G334" t="inlineStr">
        <is>
          <t>EKSJÖ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46273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46273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44581</v>
      </c>
      <c r="E337" s="1" t="n">
        <v>46273</v>
      </c>
      <c r="F337" t="inlineStr">
        <is>
          <t>JÖNKÖPINGS LÄN</t>
        </is>
      </c>
      <c r="G337" t="inlineStr">
        <is>
          <t>EKSJÖ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46273</v>
      </c>
      <c r="F338" t="inlineStr">
        <is>
          <t>JÖNKÖPINGS LÄN</t>
        </is>
      </c>
      <c r="G338" t="inlineStr">
        <is>
          <t>EKSJÖ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46273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46273</v>
      </c>
      <c r="F340" t="inlineStr">
        <is>
          <t>JÖNKÖPINGS LÄN</t>
        </is>
      </c>
      <c r="G340" t="inlineStr">
        <is>
          <t>EKSJÖ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46273</v>
      </c>
      <c r="F341" t="inlineStr">
        <is>
          <t>JÖNKÖPINGS LÄN</t>
        </is>
      </c>
      <c r="G341" t="inlineStr">
        <is>
          <t>EKSJÖ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46273</v>
      </c>
      <c r="F342" t="inlineStr">
        <is>
          <t>JÖNKÖPINGS LÄN</t>
        </is>
      </c>
      <c r="G342" t="inlineStr">
        <is>
          <t>EKSJÖ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46273</v>
      </c>
      <c r="F343" t="inlineStr">
        <is>
          <t>JÖNKÖPINGS LÄN</t>
        </is>
      </c>
      <c r="G343" t="inlineStr">
        <is>
          <t>EKSJÖ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46273</v>
      </c>
      <c r="F344" t="inlineStr">
        <is>
          <t>JÖNKÖPINGS LÄN</t>
        </is>
      </c>
      <c r="G344" t="inlineStr">
        <is>
          <t>EKSJÖ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46273</v>
      </c>
      <c r="F345" t="inlineStr">
        <is>
          <t>JÖNKÖPINGS LÄN</t>
        </is>
      </c>
      <c r="G345" t="inlineStr">
        <is>
          <t>EKSJÖ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9058-2022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44615</v>
      </c>
      <c r="E346" s="1" t="n">
        <v>46273</v>
      </c>
      <c r="F346" t="inlineStr">
        <is>
          <t>JÖNKÖPINGS LÄN</t>
        </is>
      </c>
      <c r="G346" t="inlineStr">
        <is>
          <t>EKSJÖ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46273</v>
      </c>
      <c r="F347" t="inlineStr">
        <is>
          <t>JÖNKÖPINGS LÄN</t>
        </is>
      </c>
      <c r="G347" t="inlineStr">
        <is>
          <t>EKSJÖ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46197</v>
      </c>
      <c r="E348" s="1" t="n">
        <v>46273</v>
      </c>
      <c r="F348" t="inlineStr">
        <is>
          <t>JÖNKÖPINGS LÄN</t>
        </is>
      </c>
      <c r="G348" t="inlineStr">
        <is>
          <t>EKSJÖ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46273</v>
      </c>
      <c r="F349" t="inlineStr">
        <is>
          <t>JÖNKÖPINGS LÄN</t>
        </is>
      </c>
      <c r="G349" t="inlineStr">
        <is>
          <t>EKSJÖ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46273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46273</v>
      </c>
      <c r="F351" t="inlineStr">
        <is>
          <t>JÖNKÖPINGS LÄN</t>
        </is>
      </c>
      <c r="G351" t="inlineStr">
        <is>
          <t>EKSJÖ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46197</v>
      </c>
      <c r="E352" s="1" t="n">
        <v>46273</v>
      </c>
      <c r="F352" t="inlineStr">
        <is>
          <t>JÖNKÖPINGS LÄN</t>
        </is>
      </c>
      <c r="G352" t="inlineStr">
        <is>
          <t>EKSJÖ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46273</v>
      </c>
      <c r="F353" t="inlineStr">
        <is>
          <t>JÖNKÖPINGS LÄN</t>
        </is>
      </c>
      <c r="G353" t="inlineStr">
        <is>
          <t>EKSJÖ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45173</v>
      </c>
      <c r="E354" s="1" t="n">
        <v>46273</v>
      </c>
      <c r="F354" t="inlineStr">
        <is>
          <t>JÖNKÖPINGS LÄN</t>
        </is>
      </c>
      <c r="G354" t="inlineStr">
        <is>
          <t>EKSJÖ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46273</v>
      </c>
      <c r="F355" t="inlineStr">
        <is>
          <t>JÖNKÖPINGS LÄN</t>
        </is>
      </c>
      <c r="G355" t="inlineStr">
        <is>
          <t>EKSJÖ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46273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46273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45686</v>
      </c>
      <c r="E358" s="1" t="n">
        <v>46273</v>
      </c>
      <c r="F358" t="inlineStr">
        <is>
          <t>JÖNKÖPINGS LÄN</t>
        </is>
      </c>
      <c r="G358" t="inlineStr">
        <is>
          <t>EKSJÖ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46273</v>
      </c>
      <c r="F359" t="inlineStr">
        <is>
          <t>JÖNKÖPINGS LÄN</t>
        </is>
      </c>
      <c r="G359" t="inlineStr">
        <is>
          <t>EKSJÖ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46273</v>
      </c>
      <c r="F360" t="inlineStr">
        <is>
          <t>JÖNKÖPINGS LÄN</t>
        </is>
      </c>
      <c r="G360" t="inlineStr">
        <is>
          <t>EKSJÖ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46273</v>
      </c>
      <c r="F361" t="inlineStr">
        <is>
          <t>JÖNKÖPINGS LÄN</t>
        </is>
      </c>
      <c r="G361" t="inlineStr">
        <is>
          <t>EKSJÖ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46273</v>
      </c>
      <c r="F362" t="inlineStr">
        <is>
          <t>JÖNKÖPINGS LÄN</t>
        </is>
      </c>
      <c r="G362" t="inlineStr">
        <is>
          <t>EKSJÖ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46273</v>
      </c>
      <c r="F363" t="inlineStr">
        <is>
          <t>JÖNKÖPINGS LÄN</t>
        </is>
      </c>
      <c r="G363" t="inlineStr">
        <is>
          <t>EKSJÖ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46273</v>
      </c>
      <c r="F364" t="inlineStr">
        <is>
          <t>JÖNKÖPINGS LÄN</t>
        </is>
      </c>
      <c r="G364" t="inlineStr">
        <is>
          <t>EKSJÖ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46273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46273</v>
      </c>
      <c r="F366" t="inlineStr">
        <is>
          <t>JÖNKÖPINGS LÄN</t>
        </is>
      </c>
      <c r="G366" t="inlineStr">
        <is>
          <t>EKSJÖ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45176</v>
      </c>
      <c r="E367" s="1" t="n">
        <v>46273</v>
      </c>
      <c r="F367" t="inlineStr">
        <is>
          <t>JÖNKÖPINGS LÄN</t>
        </is>
      </c>
      <c r="G367" t="inlineStr">
        <is>
          <t>EKSJÖ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45239</v>
      </c>
      <c r="E368" s="1" t="n">
        <v>46273</v>
      </c>
      <c r="F368" t="inlineStr">
        <is>
          <t>JÖNKÖPINGS LÄN</t>
        </is>
      </c>
      <c r="G368" t="inlineStr">
        <is>
          <t>EKSJÖ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46273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53987-2023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46273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46273</v>
      </c>
      <c r="F371" t="inlineStr">
        <is>
          <t>JÖNKÖPINGS LÄN</t>
        </is>
      </c>
      <c r="G371" t="inlineStr">
        <is>
          <t>EKSJÖ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46273</v>
      </c>
      <c r="F372" t="inlineStr">
        <is>
          <t>JÖNKÖPINGS LÄN</t>
        </is>
      </c>
      <c r="G372" t="inlineStr">
        <is>
          <t>EKSJÖ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54292-2023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45232</v>
      </c>
      <c r="E373" s="1" t="n">
        <v>46273</v>
      </c>
      <c r="F373" t="inlineStr">
        <is>
          <t>JÖNKÖPINGS LÄN</t>
        </is>
      </c>
      <c r="G373" t="inlineStr">
        <is>
          <t>EKSJÖ</t>
        </is>
      </c>
      <c r="I373" t="n">
        <v>18.3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46273</v>
      </c>
      <c r="F374" t="inlineStr">
        <is>
          <t>JÖNKÖPINGS LÄN</t>
        </is>
      </c>
      <c r="G374" t="inlineStr">
        <is>
          <t>EKSJÖ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46273</v>
      </c>
      <c r="F375" t="inlineStr">
        <is>
          <t>JÖNKÖPINGS LÄN</t>
        </is>
      </c>
      <c r="G375" t="inlineStr">
        <is>
          <t>EKSJÖ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18062-2024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45420</v>
      </c>
      <c r="E376" s="1" t="n">
        <v>46273</v>
      </c>
      <c r="F376" t="inlineStr">
        <is>
          <t>JÖNKÖPINGS LÄN</t>
        </is>
      </c>
      <c r="G376" t="inlineStr">
        <is>
          <t>EKSJÖ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46273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53479-2023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46273</v>
      </c>
      <c r="F378" t="inlineStr">
        <is>
          <t>JÖNKÖPINGS LÄN</t>
        </is>
      </c>
      <c r="G378" t="inlineStr">
        <is>
          <t>EKSJÖ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46273</v>
      </c>
      <c r="F379" t="inlineStr">
        <is>
          <t>JÖNKÖPINGS LÄN</t>
        </is>
      </c>
      <c r="G379" t="inlineStr">
        <is>
          <t>EKSJÖ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45523</v>
      </c>
      <c r="E380" s="1" t="n">
        <v>46273</v>
      </c>
      <c r="F380" t="inlineStr">
        <is>
          <t>JÖNKÖPINGS LÄN</t>
        </is>
      </c>
      <c r="G380" t="inlineStr">
        <is>
          <t>EKSJÖ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45523</v>
      </c>
      <c r="E381" s="1" t="n">
        <v>46273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46273</v>
      </c>
      <c r="F382" t="inlineStr">
        <is>
          <t>JÖNKÖPINGS LÄN</t>
        </is>
      </c>
      <c r="G382" t="inlineStr">
        <is>
          <t>EKSJÖ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46273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45195</v>
      </c>
      <c r="E384" s="1" t="n">
        <v>46273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46273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45680</v>
      </c>
      <c r="E386" s="1" t="n">
        <v>46273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46273</v>
      </c>
      <c r="F387" t="inlineStr">
        <is>
          <t>JÖNKÖPINGS LÄN</t>
        </is>
      </c>
      <c r="G387" t="inlineStr">
        <is>
          <t>EKSJÖ</t>
        </is>
      </c>
      <c r="H387" t="inlineStr">
        <is>
          <t>Kommuner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44685</v>
      </c>
      <c r="E388" s="1" t="n">
        <v>46273</v>
      </c>
      <c r="F388" t="inlineStr">
        <is>
          <t>JÖNKÖPINGS LÄN</t>
        </is>
      </c>
      <c r="G388" t="inlineStr">
        <is>
          <t>EKSJÖ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46273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8056-2025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45707</v>
      </c>
      <c r="E390" s="1" t="n">
        <v>46273</v>
      </c>
      <c r="F390" t="inlineStr">
        <is>
          <t>JÖNKÖPINGS LÄN</t>
        </is>
      </c>
      <c r="G390" t="inlineStr">
        <is>
          <t>EKSJÖ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46273</v>
      </c>
      <c r="F391" t="inlineStr">
        <is>
          <t>JÖNKÖPINGS LÄN</t>
        </is>
      </c>
      <c r="G391" t="inlineStr">
        <is>
          <t>EKSJÖ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46273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46252</v>
      </c>
      <c r="E393" s="1" t="n">
        <v>46273</v>
      </c>
      <c r="F393" t="inlineStr">
        <is>
          <t>JÖNKÖPINGS LÄN</t>
        </is>
      </c>
      <c r="G393" t="inlineStr">
        <is>
          <t>EKSJÖ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46273</v>
      </c>
      <c r="F394" t="inlineStr">
        <is>
          <t>JÖNKÖPINGS LÄN</t>
        </is>
      </c>
      <c r="G394" t="inlineStr">
        <is>
          <t>EKSJÖ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46273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46273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45315</v>
      </c>
      <c r="E397" s="1" t="n">
        <v>46273</v>
      </c>
      <c r="F397" t="inlineStr">
        <is>
          <t>JÖNKÖPINGS LÄN</t>
        </is>
      </c>
      <c r="G397" t="inlineStr">
        <is>
          <t>EKSJÖ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46273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46273</v>
      </c>
      <c r="F399" t="inlineStr">
        <is>
          <t>JÖNKÖPINGS LÄN</t>
        </is>
      </c>
      <c r="G399" t="inlineStr">
        <is>
          <t>EKSJÖ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46273</v>
      </c>
      <c r="F400" t="inlineStr">
        <is>
          <t>JÖNKÖPINGS LÄN</t>
        </is>
      </c>
      <c r="G400" t="inlineStr">
        <is>
          <t>EKSJÖ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46273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46273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46273</v>
      </c>
      <c r="F403" t="inlineStr">
        <is>
          <t>JÖNKÖPINGS LÄN</t>
        </is>
      </c>
      <c r="G403" t="inlineStr">
        <is>
          <t>EKSJÖ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45314</v>
      </c>
      <c r="E404" s="1" t="n">
        <v>46273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45314</v>
      </c>
      <c r="E405" s="1" t="n">
        <v>46273</v>
      </c>
      <c r="F405" t="inlineStr">
        <is>
          <t>JÖNKÖPINGS LÄN</t>
        </is>
      </c>
      <c r="G405" t="inlineStr">
        <is>
          <t>EKSJÖ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46273</v>
      </c>
      <c r="F406" t="inlineStr">
        <is>
          <t>JÖNKÖPINGS LÄN</t>
        </is>
      </c>
      <c r="G406" t="inlineStr">
        <is>
          <t>EKSJÖ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46273</v>
      </c>
      <c r="F407" t="inlineStr">
        <is>
          <t>JÖNKÖPINGS LÄN</t>
        </is>
      </c>
      <c r="G407" t="inlineStr">
        <is>
          <t>EKSJÖ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46273</v>
      </c>
      <c r="F408" t="inlineStr">
        <is>
          <t>JÖNKÖPINGS LÄN</t>
        </is>
      </c>
      <c r="G408" t="inlineStr">
        <is>
          <t>EKSJÖ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46273</v>
      </c>
      <c r="F409" t="inlineStr">
        <is>
          <t>JÖNKÖPINGS LÄN</t>
        </is>
      </c>
      <c r="G409" t="inlineStr">
        <is>
          <t>EKSJÖ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46273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46273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46255</v>
      </c>
      <c r="E412" s="1" t="n">
        <v>46273</v>
      </c>
      <c r="F412" t="inlineStr">
        <is>
          <t>JÖNKÖPINGS LÄN</t>
        </is>
      </c>
      <c r="G412" t="inlineStr">
        <is>
          <t>EKSJÖ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46273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46273</v>
      </c>
      <c r="F414" t="inlineStr">
        <is>
          <t>JÖNKÖPINGS LÄN</t>
        </is>
      </c>
      <c r="G414" t="inlineStr">
        <is>
          <t>EKSJÖ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46273</v>
      </c>
      <c r="F415" t="inlineStr">
        <is>
          <t>JÖNKÖPINGS LÄN</t>
        </is>
      </c>
      <c r="G415" t="inlineStr">
        <is>
          <t>EKSJÖ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46273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28261-2022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46273</v>
      </c>
      <c r="F417" t="inlineStr">
        <is>
          <t>JÖNKÖPINGS LÄN</t>
        </is>
      </c>
      <c r="G417" t="inlineStr">
        <is>
          <t>EKSJÖ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46100</v>
      </c>
      <c r="E418" s="1" t="n">
        <v>46273</v>
      </c>
      <c r="F418" t="inlineStr">
        <is>
          <t>JÖNKÖPINGS LÄN</t>
        </is>
      </c>
      <c r="G418" t="inlineStr">
        <is>
          <t>EKSJÖ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46273</v>
      </c>
      <c r="F419" t="inlineStr">
        <is>
          <t>JÖNKÖPINGS LÄN</t>
        </is>
      </c>
      <c r="G419" t="inlineStr">
        <is>
          <t>EKSJÖ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45176</v>
      </c>
      <c r="E420" s="1" t="n">
        <v>46273</v>
      </c>
      <c r="F420" t="inlineStr">
        <is>
          <t>JÖNKÖPINGS LÄN</t>
        </is>
      </c>
      <c r="G420" t="inlineStr">
        <is>
          <t>EKSJÖ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46273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46273</v>
      </c>
      <c r="F422" t="inlineStr">
        <is>
          <t>JÖNKÖPINGS LÄN</t>
        </is>
      </c>
      <c r="G422" t="inlineStr">
        <is>
          <t>EKSJÖ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44888</v>
      </c>
      <c r="E423" s="1" t="n">
        <v>46273</v>
      </c>
      <c r="F423" t="inlineStr">
        <is>
          <t>JÖNKÖPINGS LÄN</t>
        </is>
      </c>
      <c r="G423" t="inlineStr">
        <is>
          <t>EKSJÖ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45264</v>
      </c>
      <c r="E424" s="1" t="n">
        <v>46273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46273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15750-2026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46107</v>
      </c>
      <c r="E426" s="1" t="n">
        <v>46273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15755-2026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46273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46273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46273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46273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46259</v>
      </c>
      <c r="E431" s="1" t="n">
        <v>46273</v>
      </c>
      <c r="F431" t="inlineStr">
        <is>
          <t>JÖNKÖPINGS LÄN</t>
        </is>
      </c>
      <c r="G431" t="inlineStr">
        <is>
          <t>EKSJÖ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46273</v>
      </c>
      <c r="F432" t="inlineStr">
        <is>
          <t>JÖNKÖPINGS LÄN</t>
        </is>
      </c>
      <c r="G432" t="inlineStr">
        <is>
          <t>EKSJÖ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46273</v>
      </c>
      <c r="F433" t="inlineStr">
        <is>
          <t>JÖNKÖPINGS LÄN</t>
        </is>
      </c>
      <c r="G433" t="inlineStr">
        <is>
          <t>EKSJÖ</t>
        </is>
      </c>
      <c r="H433" t="inlineStr">
        <is>
          <t>Kommuner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46247</v>
      </c>
      <c r="E434" s="1" t="n">
        <v>46273</v>
      </c>
      <c r="F434" t="inlineStr">
        <is>
          <t>JÖNKÖPINGS LÄN</t>
        </is>
      </c>
      <c r="G434" t="inlineStr">
        <is>
          <t>EKSJÖ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46273</v>
      </c>
      <c r="F435" t="inlineStr">
        <is>
          <t>JÖNKÖPINGS LÄN</t>
        </is>
      </c>
      <c r="G435" t="inlineStr">
        <is>
          <t>EKSJÖ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46273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46273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46273</v>
      </c>
      <c r="F438" t="inlineStr">
        <is>
          <t>JÖNKÖPINGS LÄN</t>
        </is>
      </c>
      <c r="G438" t="inlineStr">
        <is>
          <t>EKSJÖ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46247</v>
      </c>
      <c r="E439" s="1" t="n">
        <v>46273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46273</v>
      </c>
      <c r="F440" t="inlineStr">
        <is>
          <t>JÖNKÖPINGS LÄN</t>
        </is>
      </c>
      <c r="G440" t="inlineStr">
        <is>
          <t>EKSJÖ</t>
        </is>
      </c>
      <c r="H440" t="inlineStr">
        <is>
          <t>Övriga Aktiebolag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46273</v>
      </c>
      <c r="F441" t="inlineStr">
        <is>
          <t>JÖNKÖPINGS LÄN</t>
        </is>
      </c>
      <c r="G441" t="inlineStr">
        <is>
          <t>EKSJÖ</t>
        </is>
      </c>
      <c r="H441" t="inlineStr">
        <is>
          <t>Övriga Aktiebolag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46113</v>
      </c>
      <c r="E442" s="1" t="n">
        <v>46273</v>
      </c>
      <c r="F442" t="inlineStr">
        <is>
          <t>JÖNKÖPINGS LÄN</t>
        </is>
      </c>
      <c r="G442" t="inlineStr">
        <is>
          <t>EKSJÖ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46273</v>
      </c>
      <c r="F443" t="inlineStr">
        <is>
          <t>JÖNKÖPINGS LÄN</t>
        </is>
      </c>
      <c r="G443" t="inlineStr">
        <is>
          <t>EKSJÖ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11381-2022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44630</v>
      </c>
      <c r="E444" s="1" t="n">
        <v>46273</v>
      </c>
      <c r="F444" t="inlineStr">
        <is>
          <t>JÖNKÖPINGS LÄN</t>
        </is>
      </c>
      <c r="G444" t="inlineStr">
        <is>
          <t>EKSJÖ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46273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47204-2022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46273</v>
      </c>
      <c r="F446" t="inlineStr">
        <is>
          <t>JÖNKÖPINGS LÄN</t>
        </is>
      </c>
      <c r="G446" t="inlineStr">
        <is>
          <t>EKSJÖ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45160</v>
      </c>
      <c r="E447" s="1" t="n">
        <v>46273</v>
      </c>
      <c r="F447" t="inlineStr">
        <is>
          <t>JÖNKÖPINGS LÄN</t>
        </is>
      </c>
      <c r="G447" t="inlineStr">
        <is>
          <t>EKSJÖ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46127</v>
      </c>
      <c r="E448" s="1" t="n">
        <v>46273</v>
      </c>
      <c r="F448" t="inlineStr">
        <is>
          <t>JÖNKÖPINGS LÄN</t>
        </is>
      </c>
      <c r="G448" t="inlineStr">
        <is>
          <t>EKSJÖ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45097</v>
      </c>
      <c r="E449" s="1" t="n">
        <v>46273</v>
      </c>
      <c r="F449" t="inlineStr">
        <is>
          <t>JÖNKÖPINGS LÄN</t>
        </is>
      </c>
      <c r="G449" t="inlineStr">
        <is>
          <t>EKSJÖ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46273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46577-2022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44848</v>
      </c>
      <c r="E451" s="1" t="n">
        <v>46273</v>
      </c>
      <c r="F451" t="inlineStr">
        <is>
          <t>JÖNKÖPINGS LÄN</t>
        </is>
      </c>
      <c r="G451" t="inlineStr">
        <is>
          <t>EKSJÖ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46273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46273</v>
      </c>
      <c r="F453" t="inlineStr">
        <is>
          <t>JÖNKÖPINGS LÄN</t>
        </is>
      </c>
      <c r="G453" t="inlineStr">
        <is>
          <t>EKSJÖ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46273</v>
      </c>
      <c r="F454" t="inlineStr">
        <is>
          <t>JÖNKÖPINGS LÄN</t>
        </is>
      </c>
      <c r="G454" t="inlineStr">
        <is>
          <t>EKSJÖ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46247</v>
      </c>
      <c r="E455" s="1" t="n">
        <v>46273</v>
      </c>
      <c r="F455" t="inlineStr">
        <is>
          <t>JÖNKÖPINGS LÄN</t>
        </is>
      </c>
      <c r="G455" t="inlineStr">
        <is>
          <t>EKSJÖ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45391</v>
      </c>
      <c r="E456" s="1" t="n">
        <v>46273</v>
      </c>
      <c r="F456" t="inlineStr">
        <is>
          <t>JÖNKÖPINGS LÄN</t>
        </is>
      </c>
      <c r="G456" t="inlineStr">
        <is>
          <t>EKSJÖ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50967-2021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44460</v>
      </c>
      <c r="E457" s="1" t="n">
        <v>46273</v>
      </c>
      <c r="F457" t="inlineStr">
        <is>
          <t>JÖNKÖPINGS LÄN</t>
        </is>
      </c>
      <c r="G457" t="inlineStr">
        <is>
          <t>EKSJÖ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56804-2024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45628</v>
      </c>
      <c r="E458" s="1" t="n">
        <v>46273</v>
      </c>
      <c r="F458" t="inlineStr">
        <is>
          <t>JÖNKÖPINGS LÄN</t>
        </is>
      </c>
      <c r="G458" t="inlineStr">
        <is>
          <t>EKSJÖ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46273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46273</v>
      </c>
      <c r="F460" t="inlineStr">
        <is>
          <t>JÖNKÖPINGS LÄN</t>
        </is>
      </c>
      <c r="G460" t="inlineStr">
        <is>
          <t>EKSJÖ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46273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45758</v>
      </c>
      <c r="E462" s="1" t="n">
        <v>46273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49403-2021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44454</v>
      </c>
      <c r="E463" s="1" t="n">
        <v>46273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45576</v>
      </c>
      <c r="E464" s="1" t="n">
        <v>46273</v>
      </c>
      <c r="F464" t="inlineStr">
        <is>
          <t>JÖNKÖPINGS LÄN</t>
        </is>
      </c>
      <c r="G464" t="inlineStr">
        <is>
          <t>EKSJÖ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44739</v>
      </c>
      <c r="E465" s="1" t="n">
        <v>46273</v>
      </c>
      <c r="F465" t="inlineStr">
        <is>
          <t>JÖNKÖPINGS LÄN</t>
        </is>
      </c>
      <c r="G465" t="inlineStr">
        <is>
          <t>EKSJÖ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45894</v>
      </c>
      <c r="E466" s="1" t="n">
        <v>46273</v>
      </c>
      <c r="F466" t="inlineStr">
        <is>
          <t>JÖNKÖPINGS LÄN</t>
        </is>
      </c>
      <c r="G466" t="inlineStr">
        <is>
          <t>EKSJÖ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71313-2021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46273</v>
      </c>
      <c r="F467" t="inlineStr">
        <is>
          <t>JÖNKÖPINGS LÄN</t>
        </is>
      </c>
      <c r="G467" t="inlineStr">
        <is>
          <t>EKSJÖ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44939</v>
      </c>
      <c r="E468" s="1" t="n">
        <v>46273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45086</v>
      </c>
      <c r="E469" s="1" t="n">
        <v>46273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45091</v>
      </c>
      <c r="E470" s="1" t="n">
        <v>46273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45051</v>
      </c>
      <c r="E471" s="1" t="n">
        <v>46273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33644-2022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44789</v>
      </c>
      <c r="E472" s="1" t="n">
        <v>46273</v>
      </c>
      <c r="F472" t="inlineStr">
        <is>
          <t>JÖNKÖPINGS LÄN</t>
        </is>
      </c>
      <c r="G472" t="inlineStr">
        <is>
          <t>EKSJÖ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17030-2024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45411</v>
      </c>
      <c r="E473" s="1" t="n">
        <v>46273</v>
      </c>
      <c r="F473" t="inlineStr">
        <is>
          <t>JÖNKÖPINGS LÄN</t>
        </is>
      </c>
      <c r="G473" t="inlineStr">
        <is>
          <t>EKSJÖ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46273</v>
      </c>
      <c r="F474" t="inlineStr">
        <is>
          <t>JÖNKÖPINGS LÄN</t>
        </is>
      </c>
      <c r="G474" t="inlineStr">
        <is>
          <t>EKSJÖ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25262-2023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45086</v>
      </c>
      <c r="E475" s="1" t="n">
        <v>46273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44925</v>
      </c>
      <c r="E476" s="1" t="n">
        <v>46273</v>
      </c>
      <c r="F476" t="inlineStr">
        <is>
          <t>JÖNKÖPINGS LÄN</t>
        </is>
      </c>
      <c r="G476" t="inlineStr">
        <is>
          <t>EKSJÖ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23869-2023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45078</v>
      </c>
      <c r="E477" s="1" t="n">
        <v>46273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37144-2023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45154</v>
      </c>
      <c r="E478" s="1" t="n">
        <v>46273</v>
      </c>
      <c r="F478" t="inlineStr">
        <is>
          <t>JÖNKÖPINGS LÄN</t>
        </is>
      </c>
      <c r="G478" t="inlineStr">
        <is>
          <t>EKSJÖ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65554-2021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44516</v>
      </c>
      <c r="E479" s="1" t="n">
        <v>46273</v>
      </c>
      <c r="F479" t="inlineStr">
        <is>
          <t>JÖNKÖPINGS LÄN</t>
        </is>
      </c>
      <c r="G479" t="inlineStr">
        <is>
          <t>EKSJÖ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46273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44746</v>
      </c>
      <c r="E481" s="1" t="n">
        <v>46273</v>
      </c>
      <c r="F481" t="inlineStr">
        <is>
          <t>JÖNKÖPINGS LÄN</t>
        </is>
      </c>
      <c r="G481" t="inlineStr">
        <is>
          <t>EKSJÖ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44781</v>
      </c>
      <c r="E482" s="1" t="n">
        <v>46273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44781</v>
      </c>
      <c r="E483" s="1" t="n">
        <v>46273</v>
      </c>
      <c r="F483" t="inlineStr">
        <is>
          <t>JÖNKÖPINGS LÄN</t>
        </is>
      </c>
      <c r="G483" t="inlineStr">
        <is>
          <t>EKSJÖ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45337</v>
      </c>
      <c r="E484" s="1" t="n">
        <v>46273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46273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46273</v>
      </c>
      <c r="F486" t="inlineStr">
        <is>
          <t>JÖNKÖPINGS LÄN</t>
        </is>
      </c>
      <c r="G486" t="inlineStr">
        <is>
          <t>EKSJÖ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46273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46273</v>
      </c>
      <c r="F488" t="inlineStr">
        <is>
          <t>JÖNKÖPINGS LÄN</t>
        </is>
      </c>
      <c r="G488" t="inlineStr">
        <is>
          <t>EKSJÖ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46273</v>
      </c>
      <c r="F489" t="inlineStr">
        <is>
          <t>JÖNKÖPINGS LÄN</t>
        </is>
      </c>
      <c r="G489" t="inlineStr">
        <is>
          <t>EKSJÖ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46273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46273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45253</v>
      </c>
      <c r="E492" s="1" t="n">
        <v>46273</v>
      </c>
      <c r="F492" t="inlineStr">
        <is>
          <t>JÖNKÖPINGS LÄN</t>
        </is>
      </c>
      <c r="G492" t="inlineStr">
        <is>
          <t>EKSJÖ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64993-2023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45286</v>
      </c>
      <c r="E493" s="1" t="n">
        <v>46273</v>
      </c>
      <c r="F493" t="inlineStr">
        <is>
          <t>JÖNKÖPINGS LÄN</t>
        </is>
      </c>
      <c r="G493" t="inlineStr">
        <is>
          <t>EKSJÖ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45659</v>
      </c>
      <c r="E494" s="1" t="n">
        <v>46273</v>
      </c>
      <c r="F494" t="inlineStr">
        <is>
          <t>JÖNKÖPINGS LÄN</t>
        </is>
      </c>
      <c r="G494" t="inlineStr">
        <is>
          <t>EKSJÖ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18337-2025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45762</v>
      </c>
      <c r="E495" s="1" t="n">
        <v>46273</v>
      </c>
      <c r="F495" t="inlineStr">
        <is>
          <t>JÖNKÖPINGS LÄN</t>
        </is>
      </c>
      <c r="G495" t="inlineStr">
        <is>
          <t>EKSJÖ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45370</v>
      </c>
      <c r="E496" s="1" t="n">
        <v>46273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45075</v>
      </c>
      <c r="E497" s="1" t="n">
        <v>46273</v>
      </c>
      <c r="F497" t="inlineStr">
        <is>
          <t>JÖNKÖPINGS LÄN</t>
        </is>
      </c>
      <c r="G497" t="inlineStr">
        <is>
          <t>EKSJÖ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27395-2023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46273</v>
      </c>
      <c r="F498" t="inlineStr">
        <is>
          <t>JÖNKÖPINGS LÄN</t>
        </is>
      </c>
      <c r="G498" t="inlineStr">
        <is>
          <t>EKSJÖ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45152</v>
      </c>
      <c r="E499" s="1" t="n">
        <v>46273</v>
      </c>
      <c r="F499" t="inlineStr">
        <is>
          <t>JÖNKÖPINGS LÄN</t>
        </is>
      </c>
      <c r="G499" t="inlineStr">
        <is>
          <t>EKSJÖ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53053-2021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44467</v>
      </c>
      <c r="E500" s="1" t="n">
        <v>46273</v>
      </c>
      <c r="F500" t="inlineStr">
        <is>
          <t>JÖNKÖPINGS LÄN</t>
        </is>
      </c>
      <c r="G500" t="inlineStr">
        <is>
          <t>EKSJÖ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44925</v>
      </c>
      <c r="E501" s="1" t="n">
        <v>46273</v>
      </c>
      <c r="F501" t="inlineStr">
        <is>
          <t>JÖNKÖPINGS LÄN</t>
        </is>
      </c>
      <c r="G501" t="inlineStr">
        <is>
          <t>EKSJÖ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44940</v>
      </c>
      <c r="E502" s="1" t="n">
        <v>46273</v>
      </c>
      <c r="F502" t="inlineStr">
        <is>
          <t>JÖNKÖPINGS LÄN</t>
        </is>
      </c>
      <c r="G502" t="inlineStr">
        <is>
          <t>EKSJÖ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44941</v>
      </c>
      <c r="E503" s="1" t="n">
        <v>46273</v>
      </c>
      <c r="F503" t="inlineStr">
        <is>
          <t>JÖNKÖPINGS LÄN</t>
        </is>
      </c>
      <c r="G503" t="inlineStr">
        <is>
          <t>EKSJÖ</t>
        </is>
      </c>
      <c r="H503" t="inlineStr">
        <is>
          <t>Övriga Aktiebolag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45214</v>
      </c>
      <c r="E504" s="1" t="n">
        <v>46273</v>
      </c>
      <c r="F504" t="inlineStr">
        <is>
          <t>JÖNKÖPINGS LÄN</t>
        </is>
      </c>
      <c r="G504" t="inlineStr">
        <is>
          <t>EKSJÖ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46273</v>
      </c>
      <c r="F505" t="inlineStr">
        <is>
          <t>JÖNKÖPINGS LÄN</t>
        </is>
      </c>
      <c r="G505" t="inlineStr">
        <is>
          <t>EKSJÖ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46273</v>
      </c>
      <c r="F506" t="inlineStr">
        <is>
          <t>JÖNKÖPINGS LÄN</t>
        </is>
      </c>
      <c r="G506" t="inlineStr">
        <is>
          <t>EKSJÖ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46273</v>
      </c>
      <c r="F507" t="inlineStr">
        <is>
          <t>JÖNKÖPINGS LÄN</t>
        </is>
      </c>
      <c r="G507" t="inlineStr">
        <is>
          <t>EKSJÖ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34772-2023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45141</v>
      </c>
      <c r="E508" s="1" t="n">
        <v>46273</v>
      </c>
      <c r="F508" t="inlineStr">
        <is>
          <t>JÖNKÖPINGS LÄN</t>
        </is>
      </c>
      <c r="G508" t="inlineStr">
        <is>
          <t>EKSJÖ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46273</v>
      </c>
      <c r="F509" t="inlineStr">
        <is>
          <t>JÖNKÖPINGS LÄN</t>
        </is>
      </c>
      <c r="G509" t="inlineStr">
        <is>
          <t>EKSJÖ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46019-2022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44846</v>
      </c>
      <c r="E510" s="1" t="n">
        <v>46273</v>
      </c>
      <c r="F510" t="inlineStr">
        <is>
          <t>JÖNKÖPINGS LÄN</t>
        </is>
      </c>
      <c r="G510" t="inlineStr">
        <is>
          <t>EKSJÖ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45493-2022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44845</v>
      </c>
      <c r="E511" s="1" t="n">
        <v>46273</v>
      </c>
      <c r="F511" t="inlineStr">
        <is>
          <t>JÖNKÖPINGS LÄN</t>
        </is>
      </c>
      <c r="G511" t="inlineStr">
        <is>
          <t>EKSJÖ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45300</v>
      </c>
      <c r="E512" s="1" t="n">
        <v>46273</v>
      </c>
      <c r="F512" t="inlineStr">
        <is>
          <t>JÖNKÖPINGS LÄN</t>
        </is>
      </c>
      <c r="G512" t="inlineStr">
        <is>
          <t>EKSJÖ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36354-2022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44803</v>
      </c>
      <c r="E513" s="1" t="n">
        <v>46273</v>
      </c>
      <c r="F513" t="inlineStr">
        <is>
          <t>JÖNKÖPINGS LÄN</t>
        </is>
      </c>
      <c r="G513" t="inlineStr">
        <is>
          <t>EKSJÖ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45208</v>
      </c>
      <c r="E514" s="1" t="n">
        <v>46273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46273</v>
      </c>
      <c r="F515" t="inlineStr">
        <is>
          <t>JÖNKÖPINGS LÄN</t>
        </is>
      </c>
      <c r="G515" t="inlineStr">
        <is>
          <t>EKSJÖ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44925</v>
      </c>
      <c r="E516" s="1" t="n">
        <v>46273</v>
      </c>
      <c r="F516" t="inlineStr">
        <is>
          <t>JÖNKÖPINGS LÄN</t>
        </is>
      </c>
      <c r="G516" t="inlineStr">
        <is>
          <t>EKSJÖ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45373</v>
      </c>
      <c r="E517" s="1" t="n">
        <v>46273</v>
      </c>
      <c r="F517" t="inlineStr">
        <is>
          <t>JÖNKÖPINGS LÄN</t>
        </is>
      </c>
      <c r="G517" t="inlineStr">
        <is>
          <t>EKSJÖ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50410-2024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45601</v>
      </c>
      <c r="E518" s="1" t="n">
        <v>46273</v>
      </c>
      <c r="F518" t="inlineStr">
        <is>
          <t>JÖNKÖPINGS LÄN</t>
        </is>
      </c>
      <c r="G518" t="inlineStr">
        <is>
          <t>EKSJÖ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46273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45334</v>
      </c>
      <c r="E520" s="1" t="n">
        <v>46273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46273</v>
      </c>
      <c r="F521" t="inlineStr">
        <is>
          <t>JÖNKÖPINGS LÄN</t>
        </is>
      </c>
      <c r="G521" t="inlineStr">
        <is>
          <t>EKSJÖ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46273</v>
      </c>
      <c r="F522" t="inlineStr">
        <is>
          <t>JÖNKÖPINGS LÄN</t>
        </is>
      </c>
      <c r="G522" t="inlineStr">
        <is>
          <t>EKSJÖ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46273</v>
      </c>
      <c r="F523" t="inlineStr">
        <is>
          <t>JÖNKÖPINGS LÄN</t>
        </is>
      </c>
      <c r="G523" t="inlineStr">
        <is>
          <t>EKSJÖ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44580</v>
      </c>
      <c r="E524" s="1" t="n">
        <v>46273</v>
      </c>
      <c r="F524" t="inlineStr">
        <is>
          <t>JÖNKÖPINGS LÄN</t>
        </is>
      </c>
      <c r="G524" t="inlineStr">
        <is>
          <t>EKSJÖ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46273</v>
      </c>
      <c r="F525" t="inlineStr">
        <is>
          <t>JÖNKÖPINGS LÄN</t>
        </is>
      </c>
      <c r="G525" t="inlineStr">
        <is>
          <t>EKSJÖ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46273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46273</v>
      </c>
      <c r="F527" t="inlineStr">
        <is>
          <t>JÖNKÖPINGS LÄN</t>
        </is>
      </c>
      <c r="G527" t="inlineStr">
        <is>
          <t>EKSJÖ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46273</v>
      </c>
      <c r="F528" t="inlineStr">
        <is>
          <t>JÖNKÖPINGS LÄN</t>
        </is>
      </c>
      <c r="G528" t="inlineStr">
        <is>
          <t>EKSJÖ</t>
        </is>
      </c>
      <c r="I528" t="n">
        <v>8.6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51541-2023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45222</v>
      </c>
      <c r="E529" s="1" t="n">
        <v>46273</v>
      </c>
      <c r="F529" t="inlineStr">
        <is>
          <t>JÖNKÖPINGS LÄN</t>
        </is>
      </c>
      <c r="G529" t="inlineStr">
        <is>
          <t>EKSJÖ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45338</v>
      </c>
      <c r="E530" s="1" t="n">
        <v>46273</v>
      </c>
      <c r="F530" t="inlineStr">
        <is>
          <t>JÖNKÖPINGS LÄN</t>
        </is>
      </c>
      <c r="G530" t="inlineStr">
        <is>
          <t>EKSJÖ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45016-2024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45575</v>
      </c>
      <c r="E531" s="1" t="n">
        <v>46273</v>
      </c>
      <c r="F531" t="inlineStr">
        <is>
          <t>JÖNKÖPINGS LÄN</t>
        </is>
      </c>
      <c r="G531" t="inlineStr">
        <is>
          <t>EKSJÖ</t>
        </is>
      </c>
      <c r="H531" t="inlineStr">
        <is>
          <t>Övriga Aktiebolag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50287-2024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45600</v>
      </c>
      <c r="E532" s="1" t="n">
        <v>46273</v>
      </c>
      <c r="F532" t="inlineStr">
        <is>
          <t>JÖNKÖPINGS LÄN</t>
        </is>
      </c>
      <c r="G532" t="inlineStr">
        <is>
          <t>EKSJÖ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19469-2025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45770</v>
      </c>
      <c r="E533" s="1" t="n">
        <v>46273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45426</v>
      </c>
      <c r="E534" s="1" t="n">
        <v>46273</v>
      </c>
      <c r="F534" t="inlineStr">
        <is>
          <t>JÖNKÖPINGS LÄN</t>
        </is>
      </c>
      <c r="G534" t="inlineStr">
        <is>
          <t>EKSJÖ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45777</v>
      </c>
      <c r="E535" s="1" t="n">
        <v>46273</v>
      </c>
      <c r="F535" t="inlineStr">
        <is>
          <t>JÖNKÖPINGS LÄN</t>
        </is>
      </c>
      <c r="G535" t="inlineStr">
        <is>
          <t>EKSJÖ</t>
        </is>
      </c>
      <c r="H535" t="inlineStr">
        <is>
          <t>Kommuner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46273</v>
      </c>
      <c r="F536" t="inlineStr">
        <is>
          <t>JÖNKÖPINGS LÄN</t>
        </is>
      </c>
      <c r="G536" t="inlineStr">
        <is>
          <t>EKSJÖ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21224-2025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45779</v>
      </c>
      <c r="E537" s="1" t="n">
        <v>46273</v>
      </c>
      <c r="F537" t="inlineStr">
        <is>
          <t>JÖNKÖPINGS LÄN</t>
        </is>
      </c>
      <c r="G537" t="inlineStr">
        <is>
          <t>EKSJÖ</t>
        </is>
      </c>
      <c r="H537" t="inlineStr">
        <is>
          <t>Kommuner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59234-2024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45637</v>
      </c>
      <c r="E538" s="1" t="n">
        <v>46273</v>
      </c>
      <c r="F538" t="inlineStr">
        <is>
          <t>JÖNKÖPINGS LÄN</t>
        </is>
      </c>
      <c r="G538" t="inlineStr">
        <is>
          <t>EKSJÖ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42469-2023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46273</v>
      </c>
      <c r="F539" t="inlineStr">
        <is>
          <t>JÖNKÖPINGS LÄN</t>
        </is>
      </c>
      <c r="G539" t="inlineStr">
        <is>
          <t>EKSJÖ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7723-2025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45706</v>
      </c>
      <c r="E540" s="1" t="n">
        <v>46273</v>
      </c>
      <c r="F540" t="inlineStr">
        <is>
          <t>JÖNKÖPINGS LÄN</t>
        </is>
      </c>
      <c r="G540" t="inlineStr">
        <is>
          <t>EKSJÖ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45786</v>
      </c>
      <c r="E541" s="1" t="n">
        <v>46273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22987-2025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45790</v>
      </c>
      <c r="E542" s="1" t="n">
        <v>46273</v>
      </c>
      <c r="F542" t="inlineStr">
        <is>
          <t>JÖNKÖPINGS LÄN</t>
        </is>
      </c>
      <c r="G542" t="inlineStr">
        <is>
          <t>EKSJÖ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45705</v>
      </c>
      <c r="E543" s="1" t="n">
        <v>46273</v>
      </c>
      <c r="F543" t="inlineStr">
        <is>
          <t>JÖNKÖPINGS LÄN</t>
        </is>
      </c>
      <c r="G543" t="inlineStr">
        <is>
          <t>EKSJÖ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45530</v>
      </c>
      <c r="E544" s="1" t="n">
        <v>46273</v>
      </c>
      <c r="F544" t="inlineStr">
        <is>
          <t>JÖNKÖPINGS LÄN</t>
        </is>
      </c>
      <c r="G544" t="inlineStr">
        <is>
          <t>EKSJÖ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46273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46273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45743-2024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45579</v>
      </c>
      <c r="E547" s="1" t="n">
        <v>46273</v>
      </c>
      <c r="F547" t="inlineStr">
        <is>
          <t>JÖNKÖPINGS LÄN</t>
        </is>
      </c>
      <c r="G547" t="inlineStr">
        <is>
          <t>EKSJÖ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45741</v>
      </c>
      <c r="E548" s="1" t="n">
        <v>46273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46273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45727</v>
      </c>
      <c r="E550" s="1" t="n">
        <v>46273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45743</v>
      </c>
      <c r="E551" s="1" t="n">
        <v>46273</v>
      </c>
      <c r="F551" t="inlineStr">
        <is>
          <t>JÖNKÖPINGS LÄN</t>
        </is>
      </c>
      <c r="G551" t="inlineStr">
        <is>
          <t>EKSJÖ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14382-2025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45741</v>
      </c>
      <c r="E552" s="1" t="n">
        <v>46273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46273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46273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14376-2025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46273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45726</v>
      </c>
      <c r="E556" s="1" t="n">
        <v>46273</v>
      </c>
      <c r="F556" t="inlineStr">
        <is>
          <t>JÖNKÖPINGS LÄN</t>
        </is>
      </c>
      <c r="G556" t="inlineStr">
        <is>
          <t>EKSJÖ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45624</v>
      </c>
      <c r="E557" s="1" t="n">
        <v>46273</v>
      </c>
      <c r="F557" t="inlineStr">
        <is>
          <t>JÖNKÖPINGS LÄN</t>
        </is>
      </c>
      <c r="G557" t="inlineStr">
        <is>
          <t>EKSJÖ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13735-2025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45737</v>
      </c>
      <c r="E558" s="1" t="n">
        <v>46273</v>
      </c>
      <c r="F558" t="inlineStr">
        <is>
          <t>JÖNKÖPINGS LÄN</t>
        </is>
      </c>
      <c r="G558" t="inlineStr">
        <is>
          <t>EKSJÖ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46273</v>
      </c>
      <c r="F559" t="inlineStr">
        <is>
          <t>JÖNKÖPINGS LÄN</t>
        </is>
      </c>
      <c r="G559" t="inlineStr">
        <is>
          <t>EKSJÖ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26306-2023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45091</v>
      </c>
      <c r="E560" s="1" t="n">
        <v>46273</v>
      </c>
      <c r="F560" t="inlineStr">
        <is>
          <t>JÖNKÖPINGS LÄN</t>
        </is>
      </c>
      <c r="G560" t="inlineStr">
        <is>
          <t>EKSJÖ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19856-2025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46273</v>
      </c>
      <c r="F561" t="inlineStr">
        <is>
          <t>JÖNKÖPINGS LÄN</t>
        </is>
      </c>
      <c r="G561" t="inlineStr">
        <is>
          <t>EKSJÖ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46273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45819</v>
      </c>
      <c r="E563" s="1" t="n">
        <v>46273</v>
      </c>
      <c r="F563" t="inlineStr">
        <is>
          <t>JÖNKÖPINGS LÄN</t>
        </is>
      </c>
      <c r="G563" t="inlineStr">
        <is>
          <t>EKSJÖ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46273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45826</v>
      </c>
      <c r="E565" s="1" t="n">
        <v>46273</v>
      </c>
      <c r="F565" t="inlineStr">
        <is>
          <t>JÖNKÖPINGS LÄN</t>
        </is>
      </c>
      <c r="G565" t="inlineStr">
        <is>
          <t>EKSJÖ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41440-2024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45560</v>
      </c>
      <c r="E566" s="1" t="n">
        <v>46273</v>
      </c>
      <c r="F566" t="inlineStr">
        <is>
          <t>JÖNKÖPINGS LÄN</t>
        </is>
      </c>
      <c r="G566" t="inlineStr">
        <is>
          <t>EKSJÖ</t>
        </is>
      </c>
      <c r="H566" t="inlineStr">
        <is>
          <t>Kyrkan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45839</v>
      </c>
      <c r="E567" s="1" t="n">
        <v>46273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33614-2025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45841</v>
      </c>
      <c r="E568" s="1" t="n">
        <v>46273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46273</v>
      </c>
      <c r="F569" t="inlineStr">
        <is>
          <t>JÖNKÖPINGS LÄN</t>
        </is>
      </c>
      <c r="G569" t="inlineStr">
        <is>
          <t>EKSJÖ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45842</v>
      </c>
      <c r="E570" s="1" t="n">
        <v>46273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45845</v>
      </c>
      <c r="E571" s="1" t="n">
        <v>46273</v>
      </c>
      <c r="F571" t="inlineStr">
        <is>
          <t>JÖNKÖPINGS LÄN</t>
        </is>
      </c>
      <c r="G571" t="inlineStr">
        <is>
          <t>EKSJÖ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46273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8057-2023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44974</v>
      </c>
      <c r="E573" s="1" t="n">
        <v>46273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45695</v>
      </c>
      <c r="E574" s="1" t="n">
        <v>46273</v>
      </c>
      <c r="F574" t="inlineStr">
        <is>
          <t>JÖNKÖPINGS LÄN</t>
        </is>
      </c>
      <c r="G574" t="inlineStr">
        <is>
          <t>EKSJÖ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46273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24928-2024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46273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45860</v>
      </c>
      <c r="E577" s="1" t="n">
        <v>46273</v>
      </c>
      <c r="F577" t="inlineStr">
        <is>
          <t>JÖNKÖPINGS LÄN</t>
        </is>
      </c>
      <c r="G577" t="inlineStr">
        <is>
          <t>EKSJÖ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46273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36148-2025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45866</v>
      </c>
      <c r="E579" s="1" t="n">
        <v>46273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36853-2025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46273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46273</v>
      </c>
      <c r="F581" t="inlineStr">
        <is>
          <t>JÖNKÖPINGS LÄN</t>
        </is>
      </c>
      <c r="G581" t="inlineStr">
        <is>
          <t>EKSJÖ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46273</v>
      </c>
      <c r="F582" t="inlineStr">
        <is>
          <t>JÖNKÖPINGS LÄN</t>
        </is>
      </c>
      <c r="G582" t="inlineStr">
        <is>
          <t>EKSJÖ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37519-2025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45877</v>
      </c>
      <c r="E583" s="1" t="n">
        <v>46273</v>
      </c>
      <c r="F583" t="inlineStr">
        <is>
          <t>JÖNKÖPINGS LÄN</t>
        </is>
      </c>
      <c r="G583" t="inlineStr">
        <is>
          <t>EKSJÖ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45819</v>
      </c>
      <c r="E584" s="1" t="n">
        <v>46273</v>
      </c>
      <c r="F584" t="inlineStr">
        <is>
          <t>JÖNKÖPINGS LÄN</t>
        </is>
      </c>
      <c r="G584" t="inlineStr">
        <is>
          <t>EKSJÖ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45842</v>
      </c>
      <c r="E585" s="1" t="n">
        <v>46273</v>
      </c>
      <c r="F585" t="inlineStr">
        <is>
          <t>JÖNKÖPINGS LÄN</t>
        </is>
      </c>
      <c r="G585" t="inlineStr">
        <is>
          <t>EKSJÖ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45762</v>
      </c>
      <c r="E586" s="1" t="n">
        <v>46273</v>
      </c>
      <c r="F586" t="inlineStr">
        <is>
          <t>JÖNKÖPINGS LÄN</t>
        </is>
      </c>
      <c r="G586" t="inlineStr">
        <is>
          <t>EKSJÖ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46273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46273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46273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46273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46273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46273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46273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46273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46273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46273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46273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46273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46273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46273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46273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46273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46273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46273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46273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46273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46273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46273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46273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46273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46273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46273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46273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46273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46273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46273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2026-09-08T02:08:41Z</dcterms:created>
  <dcterms:modified xmlns:dcterms="http://purl.org/dc/terms/" xmlns:xsi="http://www.w3.org/2001/XMLSchema-instance" xsi:type="dcterms:W3CDTF">2026-09-08T02:08:42Z</dcterms:modified>
</cp:coreProperties>
</file>