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46255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46255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46255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46255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46255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46255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46255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46255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46255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46255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46255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46255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46255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46255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46255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46255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HYPERLINK("https://klasma.github.io/Logging_0686/artfynd/A 58-2023 artfynd.xlsx", "A 58-2023")</f>
        <v/>
      </c>
      <c r="X30">
        <f>HYPERLINK("https://klasma.github.io/Logging_0686/kartor/A 58-2023 karta.png", "A 58-2023")</f>
        <v/>
      </c>
      <c r="Y30">
        <f>HYPERLINK("https://klasma.github.io/Logging_0686/kartor_geotiff/A 58-2023 georefererad karta.tif", "A 58-2023")</f>
        <v/>
      </c>
      <c r="AA30">
        <f>HYPERLINK("https://klasma.github.io/Logging_0686/klagomål/A 58-2023 FSC-klagomål.docx", "A 58-2023")</f>
        <v/>
      </c>
      <c r="AB30">
        <f>HYPERLINK("https://klasma.github.io/Logging_0686/klagomålsmail/A 58-2023 FSC-klagomål mail.docx", "A 58-2023")</f>
        <v/>
      </c>
      <c r="AC30">
        <f>HYPERLINK("https://klasma.github.io/Logging_0686/tillsyn/A 58-2023 tillsynsbegäran.docx", "A 58-2023")</f>
        <v/>
      </c>
      <c r="AD30">
        <f>HYPERLINK("https://klasma.github.io/Logging_0686/tillsynsmail/A 58-2023 tillsynsbegäran mail.docx", "A 58-2023")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46255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46255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46255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46255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46255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Dvärgbägarlav</t>
        </is>
      </c>
      <c r="W35">
        <f>HYPERLINK("https://klasma.github.io/Logging_0686/artfynd/A 18327-2024 artfynd.xlsx", "A 18327-2024")</f>
        <v/>
      </c>
      <c r="X35">
        <f>HYPERLINK("https://klasma.github.io/Logging_0686/kartor/A 18327-2024 karta.png", "A 18327-2024")</f>
        <v/>
      </c>
      <c r="Y35">
        <f>HYPERLINK("https://klasma.github.io/Logging_0686/kartor_geotiff/A 18327-2024 georefererad karta.tif", "A 18327-2024")</f>
        <v/>
      </c>
      <c r="AA35">
        <f>HYPERLINK("https://klasma.github.io/Logging_0686/klagomål/A 18327-2024 FSC-klagomål.docx", "A 18327-2024")</f>
        <v/>
      </c>
      <c r="AB35">
        <f>HYPERLINK("https://klasma.github.io/Logging_0686/klagomålsmail/A 18327-2024 FSC-klagomål mail.docx", "A 18327-2024")</f>
        <v/>
      </c>
      <c r="AC35">
        <f>HYPERLINK("https://klasma.github.io/Logging_0686/tillsyn/A 18327-2024 tillsynsbegäran.docx", "A 18327-2024")</f>
        <v/>
      </c>
      <c r="AD35">
        <f>HYPERLINK("https://klasma.github.io/Logging_0686/tillsynsmail/A 18327-2024 tillsynsbegäran mail.docx", "A 18327-2024")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46255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46255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HYPERLINK("https://klasma.github.io/Logging_0686/artfynd/A 4446-2023 artfynd.xlsx", "A 4446-2023")</f>
        <v/>
      </c>
      <c r="X37">
        <f>HYPERLINK("https://klasma.github.io/Logging_0686/kartor/A 4446-2023 karta.png", "A 4446-2023")</f>
        <v/>
      </c>
      <c r="Y37">
        <f>HYPERLINK("https://klasma.github.io/Logging_0686/kartor_geotiff/A 4446-2023 georefererad karta.tif", "A 4446-2023")</f>
        <v/>
      </c>
      <c r="AA37">
        <f>HYPERLINK("https://klasma.github.io/Logging_0686/klagomål/A 4446-2023 FSC-klagomål.docx", "A 4446-2023")</f>
        <v/>
      </c>
      <c r="AB37">
        <f>HYPERLINK("https://klasma.github.io/Logging_0686/klagomålsmail/A 4446-2023 FSC-klagomål mail.docx", "A 4446-2023")</f>
        <v/>
      </c>
      <c r="AC37">
        <f>HYPERLINK("https://klasma.github.io/Logging_0686/tillsyn/A 4446-2023 tillsynsbegäran.docx", "A 4446-2023")</f>
        <v/>
      </c>
      <c r="AD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46255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46255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46255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46255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46255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46255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46255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46255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46255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46255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46255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46255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46255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46255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46255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46255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46255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46255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46255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46255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46255</v>
      </c>
      <c r="F68" t="inlineStr">
        <is>
          <t>JÖNKÖPINGS LÄN</t>
        </is>
      </c>
      <c r="G68" t="inlineStr">
        <is>
          <t>EKSJÖ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46255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46255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46255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46255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46255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46255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46255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46255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46255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46255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46255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46255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46255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46255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46255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46255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46255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46255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46255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46255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46255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46255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46255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46255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46255</v>
      </c>
      <c r="F93" t="inlineStr">
        <is>
          <t>JÖNKÖPINGS LÄN</t>
        </is>
      </c>
      <c r="G93" t="inlineStr">
        <is>
          <t>EKSJÖ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46255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44701</v>
      </c>
      <c r="E95" s="1" t="n">
        <v>46255</v>
      </c>
      <c r="F95" t="inlineStr">
        <is>
          <t>JÖNKÖPINGS LÄN</t>
        </is>
      </c>
      <c r="G95" t="inlineStr">
        <is>
          <t>EKSJÖ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46255</v>
      </c>
      <c r="F96" t="inlineStr">
        <is>
          <t>JÖNKÖPINGS LÄN</t>
        </is>
      </c>
      <c r="G96" t="inlineStr">
        <is>
          <t>EKSJÖ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46255</v>
      </c>
      <c r="F97" t="inlineStr">
        <is>
          <t>JÖNKÖPINGS LÄN</t>
        </is>
      </c>
      <c r="G97" t="inlineStr">
        <is>
          <t>EKSJÖ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46255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46255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67308-2021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46255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46255</v>
      </c>
      <c r="F101" t="inlineStr">
        <is>
          <t>JÖNKÖPINGS LÄN</t>
        </is>
      </c>
      <c r="G101" t="inlineStr">
        <is>
          <t>EKSJÖ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46255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46255</v>
      </c>
      <c r="F103" t="inlineStr">
        <is>
          <t>JÖNKÖPINGS LÄN</t>
        </is>
      </c>
      <c r="G103" t="inlineStr">
        <is>
          <t>EKSJÖ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46255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46255</v>
      </c>
      <c r="F105" t="inlineStr">
        <is>
          <t>JÖNKÖPINGS LÄN</t>
        </is>
      </c>
      <c r="G105" t="inlineStr">
        <is>
          <t>EKSJÖ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56471-2021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46255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46255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44582</v>
      </c>
      <c r="E108" s="1" t="n">
        <v>46255</v>
      </c>
      <c r="F108" t="inlineStr">
        <is>
          <t>JÖNKÖPINGS LÄN</t>
        </is>
      </c>
      <c r="G108" t="inlineStr">
        <is>
          <t>EKSJÖ</t>
        </is>
      </c>
      <c r="H108" t="inlineStr">
        <is>
          <t>Kommuner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46255</v>
      </c>
      <c r="F109" t="inlineStr">
        <is>
          <t>JÖNKÖPINGS LÄN</t>
        </is>
      </c>
      <c r="G109" t="inlineStr">
        <is>
          <t>EKSJÖ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46255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44630</v>
      </c>
      <c r="E111" s="1" t="n">
        <v>46255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46255</v>
      </c>
      <c r="F112" t="inlineStr">
        <is>
          <t>JÖNKÖPINGS LÄN</t>
        </is>
      </c>
      <c r="G112" t="inlineStr">
        <is>
          <t>EKSJÖ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46255</v>
      </c>
      <c r="F113" t="inlineStr">
        <is>
          <t>JÖNKÖPINGS LÄN</t>
        </is>
      </c>
      <c r="G113" t="inlineStr">
        <is>
          <t>EKSJÖ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46255</v>
      </c>
      <c r="F114" t="inlineStr">
        <is>
          <t>JÖNKÖPINGS LÄN</t>
        </is>
      </c>
      <c r="G114" t="inlineStr">
        <is>
          <t>EKSJÖ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46255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46255</v>
      </c>
      <c r="F116" t="inlineStr">
        <is>
          <t>JÖNKÖPINGS LÄN</t>
        </is>
      </c>
      <c r="G116" t="inlineStr">
        <is>
          <t>EKSJÖ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46255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46255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46255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46255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46255</v>
      </c>
      <c r="F121" t="inlineStr">
        <is>
          <t>JÖNKÖPINGS LÄN</t>
        </is>
      </c>
      <c r="G121" t="inlineStr">
        <is>
          <t>EKSJÖ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45512</v>
      </c>
      <c r="E122" s="1" t="n">
        <v>46255</v>
      </c>
      <c r="F122" t="inlineStr">
        <is>
          <t>JÖNKÖPINGS LÄN</t>
        </is>
      </c>
      <c r="G122" t="inlineStr">
        <is>
          <t>EKSJÖ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46255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46255</v>
      </c>
      <c r="F124" t="inlineStr">
        <is>
          <t>JÖNKÖPINGS LÄN</t>
        </is>
      </c>
      <c r="G124" t="inlineStr">
        <is>
          <t>EKSJÖ</t>
        </is>
      </c>
      <c r="H124" t="inlineStr">
        <is>
          <t>Kommuner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46255</v>
      </c>
      <c r="F125" t="inlineStr">
        <is>
          <t>JÖNKÖPINGS LÄN</t>
        </is>
      </c>
      <c r="G125" t="inlineStr">
        <is>
          <t>EKSJÖ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45355</v>
      </c>
      <c r="E126" s="1" t="n">
        <v>46255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46255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46255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46255</v>
      </c>
      <c r="F129" t="inlineStr">
        <is>
          <t>JÖNKÖPINGS LÄN</t>
        </is>
      </c>
      <c r="G129" t="inlineStr">
        <is>
          <t>EKSJÖ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46255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46255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46255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46255</v>
      </c>
      <c r="F133" t="inlineStr">
        <is>
          <t>JÖNKÖPINGS LÄN</t>
        </is>
      </c>
      <c r="G133" t="inlineStr">
        <is>
          <t>EKSJÖ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46255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46255</v>
      </c>
      <c r="F135" t="inlineStr">
        <is>
          <t>JÖNKÖPINGS LÄN</t>
        </is>
      </c>
      <c r="G135" t="inlineStr">
        <is>
          <t>EKSJÖ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46255</v>
      </c>
      <c r="F136" t="inlineStr">
        <is>
          <t>JÖNKÖPINGS LÄN</t>
        </is>
      </c>
      <c r="G136" t="inlineStr">
        <is>
          <t>EKSJÖ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46255</v>
      </c>
      <c r="F137" t="inlineStr">
        <is>
          <t>JÖNKÖPINGS LÄN</t>
        </is>
      </c>
      <c r="G137" t="inlineStr">
        <is>
          <t>EKSJÖ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46255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46255</v>
      </c>
      <c r="F139" t="inlineStr">
        <is>
          <t>JÖNKÖPINGS LÄN</t>
        </is>
      </c>
      <c r="G139" t="inlineStr">
        <is>
          <t>EKSJÖ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46255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46255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46255</v>
      </c>
      <c r="F142" t="inlineStr">
        <is>
          <t>JÖNKÖPINGS LÄN</t>
        </is>
      </c>
      <c r="G142" t="inlineStr">
        <is>
          <t>EKSJÖ</t>
        </is>
      </c>
      <c r="H142" t="inlineStr">
        <is>
          <t>Övriga Aktiebolag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46255</v>
      </c>
      <c r="F143" t="inlineStr">
        <is>
          <t>JÖNKÖPINGS LÄN</t>
        </is>
      </c>
      <c r="G143" t="inlineStr">
        <is>
          <t>EKSJÖ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30931-2023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45113</v>
      </c>
      <c r="E144" s="1" t="n">
        <v>46255</v>
      </c>
      <c r="F144" t="inlineStr">
        <is>
          <t>JÖNKÖPINGS LÄN</t>
        </is>
      </c>
      <c r="G144" t="inlineStr">
        <is>
          <t>EKSJÖ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46255</v>
      </c>
      <c r="F145" t="inlineStr">
        <is>
          <t>JÖNKÖPINGS LÄN</t>
        </is>
      </c>
      <c r="G145" t="inlineStr">
        <is>
          <t>EKSJÖ</t>
        </is>
      </c>
      <c r="H145" t="inlineStr">
        <is>
          <t>Kommuner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46255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46255</v>
      </c>
      <c r="F147" t="inlineStr">
        <is>
          <t>JÖNKÖPINGS LÄN</t>
        </is>
      </c>
      <c r="G147" t="inlineStr">
        <is>
          <t>EKSJÖ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46255</v>
      </c>
      <c r="F148" t="inlineStr">
        <is>
          <t>JÖNKÖPINGS LÄN</t>
        </is>
      </c>
      <c r="G148" t="inlineStr">
        <is>
          <t>EKSJÖ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44861</v>
      </c>
      <c r="E149" s="1" t="n">
        <v>46255</v>
      </c>
      <c r="F149" t="inlineStr">
        <is>
          <t>JÖNKÖPINGS LÄN</t>
        </is>
      </c>
      <c r="G149" t="inlineStr">
        <is>
          <t>EKSJÖ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46255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46255</v>
      </c>
      <c r="F151" t="inlineStr">
        <is>
          <t>JÖNKÖPINGS LÄN</t>
        </is>
      </c>
      <c r="G151" t="inlineStr">
        <is>
          <t>EKSJÖ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44600</v>
      </c>
      <c r="E152" s="1" t="n">
        <v>46255</v>
      </c>
      <c r="F152" t="inlineStr">
        <is>
          <t>JÖNKÖPINGS LÄN</t>
        </is>
      </c>
      <c r="G152" t="inlineStr">
        <is>
          <t>EKSJÖ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38040-2024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46255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46255</v>
      </c>
      <c r="F154" t="inlineStr">
        <is>
          <t>JÖNKÖPINGS LÄN</t>
        </is>
      </c>
      <c r="G154" t="inlineStr">
        <is>
          <t>EKSJÖ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46255</v>
      </c>
      <c r="F155" t="inlineStr">
        <is>
          <t>JÖNKÖPINGS LÄN</t>
        </is>
      </c>
      <c r="G155" t="inlineStr">
        <is>
          <t>EKSJÖ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46255</v>
      </c>
      <c r="F156" t="inlineStr">
        <is>
          <t>JÖNKÖPINGS LÄN</t>
        </is>
      </c>
      <c r="G156" t="inlineStr">
        <is>
          <t>EKSJÖ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46255</v>
      </c>
      <c r="F157" t="inlineStr">
        <is>
          <t>JÖNKÖPINGS LÄN</t>
        </is>
      </c>
      <c r="G157" t="inlineStr">
        <is>
          <t>EKSJÖ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46255</v>
      </c>
      <c r="F158" t="inlineStr">
        <is>
          <t>JÖNKÖPINGS LÄN</t>
        </is>
      </c>
      <c r="G158" t="inlineStr">
        <is>
          <t>EKSJÖ</t>
        </is>
      </c>
      <c r="H158" t="inlineStr">
        <is>
          <t>Kyrkan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46255</v>
      </c>
      <c r="F159" t="inlineStr">
        <is>
          <t>JÖNKÖPINGS LÄN</t>
        </is>
      </c>
      <c r="G159" t="inlineStr">
        <is>
          <t>EKSJÖ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46255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46255</v>
      </c>
      <c r="F161" t="inlineStr">
        <is>
          <t>JÖNKÖPINGS LÄN</t>
        </is>
      </c>
      <c r="G161" t="inlineStr">
        <is>
          <t>EKSJÖ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46255</v>
      </c>
      <c r="F162" t="inlineStr">
        <is>
          <t>JÖNKÖPINGS LÄN</t>
        </is>
      </c>
      <c r="G162" t="inlineStr">
        <is>
          <t>EKSJÖ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46255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46255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46255</v>
      </c>
      <c r="F165" t="inlineStr">
        <is>
          <t>JÖNKÖPINGS LÄN</t>
        </is>
      </c>
      <c r="G165" t="inlineStr">
        <is>
          <t>EKSJÖ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46255</v>
      </c>
      <c r="F166" t="inlineStr">
        <is>
          <t>JÖNKÖPINGS LÄN</t>
        </is>
      </c>
      <c r="G166" t="inlineStr">
        <is>
          <t>EKSJÖ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41440-2024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45560</v>
      </c>
      <c r="E167" s="1" t="n">
        <v>46255</v>
      </c>
      <c r="F167" t="inlineStr">
        <is>
          <t>JÖNKÖPINGS LÄN</t>
        </is>
      </c>
      <c r="G167" t="inlineStr">
        <is>
          <t>EKSJÖ</t>
        </is>
      </c>
      <c r="H167" t="inlineStr">
        <is>
          <t>Kyrkan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46255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46255</v>
      </c>
      <c r="F169" t="inlineStr">
        <is>
          <t>JÖNKÖPINGS LÄN</t>
        </is>
      </c>
      <c r="G169" t="inlineStr">
        <is>
          <t>EKSJÖ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46255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46255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46255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46255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46255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46255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46255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46255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46255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12821-2024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45384</v>
      </c>
      <c r="E179" s="1" t="n">
        <v>46255</v>
      </c>
      <c r="F179" t="inlineStr">
        <is>
          <t>JÖNKÖPINGS LÄN</t>
        </is>
      </c>
      <c r="G179" t="inlineStr">
        <is>
          <t>EKSJÖ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46255</v>
      </c>
      <c r="F180" t="inlineStr">
        <is>
          <t>JÖNKÖPINGS LÄN</t>
        </is>
      </c>
      <c r="G180" t="inlineStr">
        <is>
          <t>EKSJÖ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46255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46255</v>
      </c>
      <c r="F182" t="inlineStr">
        <is>
          <t>JÖNKÖPINGS LÄN</t>
        </is>
      </c>
      <c r="G182" t="inlineStr">
        <is>
          <t>EKSJÖ</t>
        </is>
      </c>
      <c r="H182" t="inlineStr">
        <is>
          <t>Övriga Aktiebolag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46255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46255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46255</v>
      </c>
      <c r="F185" t="inlineStr">
        <is>
          <t>JÖNKÖPINGS LÄN</t>
        </is>
      </c>
      <c r="G185" t="inlineStr">
        <is>
          <t>EKSJÖ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46255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46255</v>
      </c>
      <c r="F187" t="inlineStr">
        <is>
          <t>JÖNKÖPINGS LÄN</t>
        </is>
      </c>
      <c r="G187" t="inlineStr">
        <is>
          <t>EKSJÖ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46255</v>
      </c>
      <c r="F188" t="inlineStr">
        <is>
          <t>JÖNKÖPINGS LÄN</t>
        </is>
      </c>
      <c r="G188" t="inlineStr">
        <is>
          <t>EKSJÖ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22176-2025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45785</v>
      </c>
      <c r="E189" s="1" t="n">
        <v>46255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46255</v>
      </c>
      <c r="F190" t="inlineStr">
        <is>
          <t>JÖNKÖPINGS LÄN</t>
        </is>
      </c>
      <c r="G190" t="inlineStr">
        <is>
          <t>EKSJÖ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44701</v>
      </c>
      <c r="E191" s="1" t="n">
        <v>46255</v>
      </c>
      <c r="F191" t="inlineStr">
        <is>
          <t>JÖNKÖPINGS LÄN</t>
        </is>
      </c>
      <c r="G191" t="inlineStr">
        <is>
          <t>EKSJÖ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46255</v>
      </c>
      <c r="F192" t="inlineStr">
        <is>
          <t>JÖNKÖPINGS LÄN</t>
        </is>
      </c>
      <c r="G192" t="inlineStr">
        <is>
          <t>EKSJÖ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46255</v>
      </c>
      <c r="F193" t="inlineStr">
        <is>
          <t>JÖNKÖPINGS LÄN</t>
        </is>
      </c>
      <c r="G193" t="inlineStr">
        <is>
          <t>EKSJÖ</t>
        </is>
      </c>
      <c r="H193" t="inlineStr">
        <is>
          <t>Kyrkan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46255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17.5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46255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46255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45860</v>
      </c>
      <c r="E197" s="1" t="n">
        <v>46255</v>
      </c>
      <c r="F197" t="inlineStr">
        <is>
          <t>JÖNKÖPINGS LÄN</t>
        </is>
      </c>
      <c r="G197" t="inlineStr">
        <is>
          <t>EKSJÖ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45860</v>
      </c>
      <c r="E198" s="1" t="n">
        <v>46255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46255</v>
      </c>
      <c r="F199" t="inlineStr">
        <is>
          <t>JÖNKÖPINGS LÄN</t>
        </is>
      </c>
      <c r="G199" t="inlineStr">
        <is>
          <t>EKSJÖ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46255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45195</v>
      </c>
      <c r="E201" s="1" t="n">
        <v>46255</v>
      </c>
      <c r="F201" t="inlineStr">
        <is>
          <t>JÖNKÖPINGS LÄN</t>
        </is>
      </c>
      <c r="G201" t="inlineStr">
        <is>
          <t>EKSJÖ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46255</v>
      </c>
      <c r="F202" t="inlineStr">
        <is>
          <t>JÖNKÖPINGS LÄN</t>
        </is>
      </c>
      <c r="G202" t="inlineStr">
        <is>
          <t>EKSJÖ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45866</v>
      </c>
      <c r="E203" s="1" t="n">
        <v>46255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46255</v>
      </c>
      <c r="F204" t="inlineStr">
        <is>
          <t>JÖNKÖPINGS LÄN</t>
        </is>
      </c>
      <c r="G204" t="inlineStr">
        <is>
          <t>EKSJÖ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44803</v>
      </c>
      <c r="E205" s="1" t="n">
        <v>46255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46255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46255</v>
      </c>
      <c r="F207" t="inlineStr">
        <is>
          <t>JÖNKÖPINGS LÄN</t>
        </is>
      </c>
      <c r="G207" t="inlineStr">
        <is>
          <t>EKSJÖ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44909</v>
      </c>
      <c r="E208" s="1" t="n">
        <v>46255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45874</v>
      </c>
      <c r="E209" s="1" t="n">
        <v>46255</v>
      </c>
      <c r="F209" t="inlineStr">
        <is>
          <t>JÖNKÖPINGS LÄN</t>
        </is>
      </c>
      <c r="G209" t="inlineStr">
        <is>
          <t>EKSJÖ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46255</v>
      </c>
      <c r="F210" t="inlineStr">
        <is>
          <t>JÖNKÖPINGS LÄN</t>
        </is>
      </c>
      <c r="G210" t="inlineStr">
        <is>
          <t>EKSJÖ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46255</v>
      </c>
      <c r="F211" t="inlineStr">
        <is>
          <t>JÖNKÖPINGS LÄN</t>
        </is>
      </c>
      <c r="G211" t="inlineStr">
        <is>
          <t>EKSJÖ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45875</v>
      </c>
      <c r="E212" s="1" t="n">
        <v>46255</v>
      </c>
      <c r="F212" t="inlineStr">
        <is>
          <t>JÖNKÖPINGS LÄN</t>
        </is>
      </c>
      <c r="G212" t="inlineStr">
        <is>
          <t>EKSJÖ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46255</v>
      </c>
      <c r="F213" t="inlineStr">
        <is>
          <t>JÖNKÖPINGS LÄN</t>
        </is>
      </c>
      <c r="G213" t="inlineStr">
        <is>
          <t>EKSJÖ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46255</v>
      </c>
      <c r="F214" t="inlineStr">
        <is>
          <t>JÖNKÖPINGS LÄN</t>
        </is>
      </c>
      <c r="G214" t="inlineStr">
        <is>
          <t>EKSJÖ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46255</v>
      </c>
      <c r="F215" t="inlineStr">
        <is>
          <t>JÖNKÖPINGS LÄN</t>
        </is>
      </c>
      <c r="G215" t="inlineStr">
        <is>
          <t>EKSJÖ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46255</v>
      </c>
      <c r="F216" t="inlineStr">
        <is>
          <t>JÖNKÖPINGS LÄN</t>
        </is>
      </c>
      <c r="G216" t="inlineStr">
        <is>
          <t>EKSJÖ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45086</v>
      </c>
      <c r="E217" s="1" t="n">
        <v>46255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46255</v>
      </c>
      <c r="F218" t="inlineStr">
        <is>
          <t>JÖNKÖPINGS LÄN</t>
        </is>
      </c>
      <c r="G218" t="inlineStr">
        <is>
          <t>EKSJÖ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46255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46255</v>
      </c>
      <c r="F220" t="inlineStr">
        <is>
          <t>JÖNKÖPINGS LÄN</t>
        </is>
      </c>
      <c r="G220" t="inlineStr">
        <is>
          <t>EKSJÖ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46255</v>
      </c>
      <c r="F221" t="inlineStr">
        <is>
          <t>JÖNKÖPINGS LÄN</t>
        </is>
      </c>
      <c r="G221" t="inlineStr">
        <is>
          <t>EKSJÖ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46255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44526-2025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45916</v>
      </c>
      <c r="E223" s="1" t="n">
        <v>46255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46255</v>
      </c>
      <c r="F224" t="inlineStr">
        <is>
          <t>JÖNKÖPINGS LÄN</t>
        </is>
      </c>
      <c r="G224" t="inlineStr">
        <is>
          <t>EKSJÖ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46255</v>
      </c>
      <c r="F225" t="inlineStr">
        <is>
          <t>JÖNKÖPINGS LÄN</t>
        </is>
      </c>
      <c r="G225" t="inlineStr">
        <is>
          <t>EKSJÖ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13273-2023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45003</v>
      </c>
      <c r="E226" s="1" t="n">
        <v>46255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46255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46255</v>
      </c>
      <c r="F228" t="inlineStr">
        <is>
          <t>JÖNKÖPINGS LÄN</t>
        </is>
      </c>
      <c r="G228" t="inlineStr">
        <is>
          <t>EKSJÖ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46255</v>
      </c>
      <c r="F229" t="inlineStr">
        <is>
          <t>JÖNKÖPINGS LÄN</t>
        </is>
      </c>
      <c r="G229" t="inlineStr">
        <is>
          <t>EKSJÖ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44719</v>
      </c>
      <c r="E230" s="1" t="n">
        <v>46255</v>
      </c>
      <c r="F230" t="inlineStr">
        <is>
          <t>JÖNKÖPINGS LÄN</t>
        </is>
      </c>
      <c r="G230" t="inlineStr">
        <is>
          <t>EKSJÖ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46255</v>
      </c>
      <c r="F231" t="inlineStr">
        <is>
          <t>JÖNKÖPINGS LÄN</t>
        </is>
      </c>
      <c r="G231" t="inlineStr">
        <is>
          <t>EKSJÖ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46255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46255</v>
      </c>
      <c r="F233" t="inlineStr">
        <is>
          <t>JÖNKÖPINGS LÄN</t>
        </is>
      </c>
      <c r="G233" t="inlineStr">
        <is>
          <t>EKSJÖ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46255</v>
      </c>
      <c r="F234" t="inlineStr">
        <is>
          <t>JÖNKÖPINGS LÄN</t>
        </is>
      </c>
      <c r="G234" t="inlineStr">
        <is>
          <t>EKSJÖ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46255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46255</v>
      </c>
      <c r="F236" t="inlineStr">
        <is>
          <t>JÖNKÖPINGS LÄN</t>
        </is>
      </c>
      <c r="G236" t="inlineStr">
        <is>
          <t>EKSJÖ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45631</v>
      </c>
      <c r="E237" s="1" t="n">
        <v>46255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46255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46255</v>
      </c>
      <c r="F239" t="inlineStr">
        <is>
          <t>JÖNKÖPINGS LÄN</t>
        </is>
      </c>
      <c r="G239" t="inlineStr">
        <is>
          <t>EKSJÖ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46255</v>
      </c>
      <c r="F240" t="inlineStr">
        <is>
          <t>JÖNKÖPINGS LÄN</t>
        </is>
      </c>
      <c r="G240" t="inlineStr">
        <is>
          <t>EKSJÖ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47390-2022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44853</v>
      </c>
      <c r="E241" s="1" t="n">
        <v>46255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45156</v>
      </c>
      <c r="E242" s="1" t="n">
        <v>46255</v>
      </c>
      <c r="F242" t="inlineStr">
        <is>
          <t>JÖNKÖPINGS LÄN</t>
        </is>
      </c>
      <c r="G242" t="inlineStr">
        <is>
          <t>EKSJÖ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46255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46255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46255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46255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46255</v>
      </c>
      <c r="F247" t="inlineStr">
        <is>
          <t>JÖNKÖPINGS LÄN</t>
        </is>
      </c>
      <c r="G247" t="inlineStr">
        <is>
          <t>EKSJÖ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46255</v>
      </c>
      <c r="F248" t="inlineStr">
        <is>
          <t>JÖNKÖPINGS LÄN</t>
        </is>
      </c>
      <c r="G248" t="inlineStr">
        <is>
          <t>EKSJÖ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46255</v>
      </c>
      <c r="F249" t="inlineStr">
        <is>
          <t>JÖNKÖPINGS LÄN</t>
        </is>
      </c>
      <c r="G249" t="inlineStr">
        <is>
          <t>EKSJÖ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45237</v>
      </c>
      <c r="E250" s="1" t="n">
        <v>46255</v>
      </c>
      <c r="F250" t="inlineStr">
        <is>
          <t>JÖNKÖPINGS LÄN</t>
        </is>
      </c>
      <c r="G250" t="inlineStr">
        <is>
          <t>EKSJÖ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46255</v>
      </c>
      <c r="F251" t="inlineStr">
        <is>
          <t>JÖNKÖPINGS LÄN</t>
        </is>
      </c>
      <c r="G251" t="inlineStr">
        <is>
          <t>EKSJÖ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44813</v>
      </c>
      <c r="E252" s="1" t="n">
        <v>46255</v>
      </c>
      <c r="F252" t="inlineStr">
        <is>
          <t>JÖNKÖPINGS LÄN</t>
        </is>
      </c>
      <c r="G252" t="inlineStr">
        <is>
          <t>EKSJÖ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46255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45224</v>
      </c>
      <c r="E254" s="1" t="n">
        <v>46255</v>
      </c>
      <c r="F254" t="inlineStr">
        <is>
          <t>JÖNKÖPINGS LÄN</t>
        </is>
      </c>
      <c r="G254" t="inlineStr">
        <is>
          <t>EKSJÖ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46255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46255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46255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46255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46255</v>
      </c>
      <c r="F259" t="inlineStr">
        <is>
          <t>JÖNKÖPINGS LÄN</t>
        </is>
      </c>
      <c r="G259" t="inlineStr">
        <is>
          <t>EKSJÖ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46255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46255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46255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44945</v>
      </c>
      <c r="E263" s="1" t="n">
        <v>46255</v>
      </c>
      <c r="F263" t="inlineStr">
        <is>
          <t>JÖNKÖPINGS LÄN</t>
        </is>
      </c>
      <c r="G263" t="inlineStr">
        <is>
          <t>EKSJÖ</t>
        </is>
      </c>
      <c r="H263" t="inlineStr">
        <is>
          <t>Övriga Aktiebolag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46255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45671</v>
      </c>
      <c r="E265" s="1" t="n">
        <v>46255</v>
      </c>
      <c r="F265" t="inlineStr">
        <is>
          <t>JÖNKÖPINGS LÄN</t>
        </is>
      </c>
      <c r="G265" t="inlineStr">
        <is>
          <t>EKSJÖ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46255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46255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46255</v>
      </c>
      <c r="F268" t="inlineStr">
        <is>
          <t>JÖNKÖPINGS LÄN</t>
        </is>
      </c>
      <c r="G268" t="inlineStr">
        <is>
          <t>EKSJÖ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46255</v>
      </c>
      <c r="F269" t="inlineStr">
        <is>
          <t>JÖNKÖPINGS LÄN</t>
        </is>
      </c>
      <c r="G269" t="inlineStr">
        <is>
          <t>EKSJÖ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46255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45418</v>
      </c>
      <c r="E271" s="1" t="n">
        <v>46255</v>
      </c>
      <c r="F271" t="inlineStr">
        <is>
          <t>JÖNKÖPINGS LÄN</t>
        </is>
      </c>
      <c r="G271" t="inlineStr">
        <is>
          <t>EKSJÖ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45068</v>
      </c>
      <c r="E272" s="1" t="n">
        <v>46255</v>
      </c>
      <c r="F272" t="inlineStr">
        <is>
          <t>JÖNKÖPINGS LÄN</t>
        </is>
      </c>
      <c r="G272" t="inlineStr">
        <is>
          <t>EKSJÖ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46255</v>
      </c>
      <c r="F273" t="inlineStr">
        <is>
          <t>JÖNKÖPINGS LÄN</t>
        </is>
      </c>
      <c r="G273" t="inlineStr">
        <is>
          <t>EKSJÖ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46255</v>
      </c>
      <c r="F274" t="inlineStr">
        <is>
          <t>JÖNKÖPINGS LÄN</t>
        </is>
      </c>
      <c r="G274" t="inlineStr">
        <is>
          <t>EKSJÖ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55530-2025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46255</v>
      </c>
      <c r="F275" t="inlineStr">
        <is>
          <t>JÖNKÖPINGS LÄN</t>
        </is>
      </c>
      <c r="G275" t="inlineStr">
        <is>
          <t>EKSJÖ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45741</v>
      </c>
      <c r="E276" s="1" t="n">
        <v>46255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22670-2023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46255</v>
      </c>
      <c r="F277" t="inlineStr">
        <is>
          <t>JÖNKÖPINGS LÄN</t>
        </is>
      </c>
      <c r="G277" t="inlineStr">
        <is>
          <t>EKSJÖ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46255</v>
      </c>
      <c r="F278" t="inlineStr">
        <is>
          <t>JÖNKÖPINGS LÄN</t>
        </is>
      </c>
      <c r="G278" t="inlineStr">
        <is>
          <t>EKSJÖ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46255</v>
      </c>
      <c r="F279" t="inlineStr">
        <is>
          <t>JÖNKÖPINGS LÄN</t>
        </is>
      </c>
      <c r="G279" t="inlineStr">
        <is>
          <t>EKSJÖ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46255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46255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46255</v>
      </c>
      <c r="F282" t="inlineStr">
        <is>
          <t>JÖNKÖPINGS LÄN</t>
        </is>
      </c>
      <c r="G282" t="inlineStr">
        <is>
          <t>EKSJÖ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46255</v>
      </c>
      <c r="F283" t="inlineStr">
        <is>
          <t>JÖNKÖPINGS LÄN</t>
        </is>
      </c>
      <c r="G283" t="inlineStr">
        <is>
          <t>EKSJÖ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46255</v>
      </c>
      <c r="F284" t="inlineStr">
        <is>
          <t>JÖNKÖPINGS LÄN</t>
        </is>
      </c>
      <c r="G284" t="inlineStr">
        <is>
          <t>EKSJÖ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45757</v>
      </c>
      <c r="E285" s="1" t="n">
        <v>46255</v>
      </c>
      <c r="F285" t="inlineStr">
        <is>
          <t>JÖNKÖPINGS LÄN</t>
        </is>
      </c>
      <c r="G285" t="inlineStr">
        <is>
          <t>EKSJÖ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46100</v>
      </c>
      <c r="E286" s="1" t="n">
        <v>46255</v>
      </c>
      <c r="F286" t="inlineStr">
        <is>
          <t>JÖNKÖPINGS LÄN</t>
        </is>
      </c>
      <c r="G286" t="inlineStr">
        <is>
          <t>EKSJÖ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46255</v>
      </c>
      <c r="F287" t="inlineStr">
        <is>
          <t>JÖNKÖPINGS LÄN</t>
        </is>
      </c>
      <c r="G287" t="inlineStr">
        <is>
          <t>EKSJÖ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57802-2025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46255</v>
      </c>
      <c r="F288" t="inlineStr">
        <is>
          <t>JÖNKÖPINGS LÄN</t>
        </is>
      </c>
      <c r="G288" t="inlineStr">
        <is>
          <t>EKSJÖ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46255</v>
      </c>
      <c r="F289" t="inlineStr">
        <is>
          <t>JÖNKÖPINGS LÄN</t>
        </is>
      </c>
      <c r="G289" t="inlineStr">
        <is>
          <t>EKSJÖ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46255</v>
      </c>
      <c r="F290" t="inlineStr">
        <is>
          <t>JÖNKÖPINGS LÄN</t>
        </is>
      </c>
      <c r="G290" t="inlineStr">
        <is>
          <t>EKSJÖ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46255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46255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46255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46255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46255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46255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46255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46255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45991</v>
      </c>
      <c r="E299" s="1" t="n">
        <v>46255</v>
      </c>
      <c r="F299" t="inlineStr">
        <is>
          <t>JÖNKÖPINGS LÄN</t>
        </is>
      </c>
      <c r="G299" t="inlineStr">
        <is>
          <t>EKSJÖ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46255</v>
      </c>
      <c r="F300" t="inlineStr">
        <is>
          <t>JÖNKÖPINGS LÄN</t>
        </is>
      </c>
      <c r="G300" t="inlineStr">
        <is>
          <t>EKSJÖ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46255</v>
      </c>
      <c r="F301" t="inlineStr">
        <is>
          <t>JÖNKÖPINGS LÄN</t>
        </is>
      </c>
      <c r="G301" t="inlineStr">
        <is>
          <t>EKSJÖ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46255</v>
      </c>
      <c r="F302" t="inlineStr">
        <is>
          <t>JÖNKÖPINGS LÄN</t>
        </is>
      </c>
      <c r="G302" t="inlineStr">
        <is>
          <t>EKSJÖ</t>
        </is>
      </c>
      <c r="H302" t="inlineStr">
        <is>
          <t>Kommuner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46255</v>
      </c>
      <c r="F303" t="inlineStr">
        <is>
          <t>JÖNKÖPINGS LÄN</t>
        </is>
      </c>
      <c r="G303" t="inlineStr">
        <is>
          <t>EKSJÖ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46255</v>
      </c>
      <c r="F304" t="inlineStr">
        <is>
          <t>JÖNKÖPINGS LÄN</t>
        </is>
      </c>
      <c r="G304" t="inlineStr">
        <is>
          <t>EKSJÖ</t>
        </is>
      </c>
      <c r="H304" t="inlineStr">
        <is>
          <t>Kyrkan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46255</v>
      </c>
      <c r="F305" t="inlineStr">
        <is>
          <t>JÖNKÖPINGS LÄN</t>
        </is>
      </c>
      <c r="G305" t="inlineStr">
        <is>
          <t>EKSJÖ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45391</v>
      </c>
      <c r="E306" s="1" t="n">
        <v>46255</v>
      </c>
      <c r="F306" t="inlineStr">
        <is>
          <t>JÖNKÖPINGS LÄN</t>
        </is>
      </c>
      <c r="G306" t="inlineStr">
        <is>
          <t>EKSJÖ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46255</v>
      </c>
      <c r="F307" t="inlineStr">
        <is>
          <t>JÖNKÖPINGS LÄN</t>
        </is>
      </c>
      <c r="G307" t="inlineStr">
        <is>
          <t>EKSJÖ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46255</v>
      </c>
      <c r="F308" t="inlineStr">
        <is>
          <t>JÖNKÖPINGS LÄN</t>
        </is>
      </c>
      <c r="G308" t="inlineStr">
        <is>
          <t>EKSJÖ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46255</v>
      </c>
      <c r="F309" t="inlineStr">
        <is>
          <t>JÖNKÖPINGS LÄN</t>
        </is>
      </c>
      <c r="G309" t="inlineStr">
        <is>
          <t>EKSJÖ</t>
        </is>
      </c>
      <c r="H309" t="inlineStr">
        <is>
          <t>Övriga Aktiebolag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43100-2021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44431</v>
      </c>
      <c r="E310" s="1" t="n">
        <v>46255</v>
      </c>
      <c r="F310" t="inlineStr">
        <is>
          <t>JÖNKÖPINGS LÄN</t>
        </is>
      </c>
      <c r="G310" t="inlineStr">
        <is>
          <t>EKSJÖ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46255</v>
      </c>
      <c r="F311" t="inlineStr">
        <is>
          <t>JÖNKÖPINGS LÄN</t>
        </is>
      </c>
      <c r="G311" t="inlineStr">
        <is>
          <t>EKSJÖ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46255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46255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62892-2025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46255</v>
      </c>
      <c r="F314" t="inlineStr">
        <is>
          <t>JÖNKÖPINGS LÄN</t>
        </is>
      </c>
      <c r="G314" t="inlineStr">
        <is>
          <t>EKSJÖ</t>
        </is>
      </c>
      <c r="H314" t="inlineStr">
        <is>
          <t>Kommuner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46255</v>
      </c>
      <c r="F315" t="inlineStr">
        <is>
          <t>JÖNKÖPINGS LÄN</t>
        </is>
      </c>
      <c r="G315" t="inlineStr">
        <is>
          <t>EKSJÖ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46255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46014</v>
      </c>
      <c r="E317" s="1" t="n">
        <v>46255</v>
      </c>
      <c r="F317" t="inlineStr">
        <is>
          <t>JÖNKÖPINGS LÄN</t>
        </is>
      </c>
      <c r="G317" t="inlineStr">
        <is>
          <t>EKSJÖ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46255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46255</v>
      </c>
      <c r="F319" t="inlineStr">
        <is>
          <t>JÖNKÖPINGS LÄN</t>
        </is>
      </c>
      <c r="G319" t="inlineStr">
        <is>
          <t>EKSJÖ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45537</v>
      </c>
      <c r="E320" s="1" t="n">
        <v>46255</v>
      </c>
      <c r="F320" t="inlineStr">
        <is>
          <t>JÖNKÖPINGS LÄN</t>
        </is>
      </c>
      <c r="G320" t="inlineStr">
        <is>
          <t>EKSJÖ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46255</v>
      </c>
      <c r="F321" t="inlineStr">
        <is>
          <t>JÖNKÖPINGS LÄN</t>
        </is>
      </c>
      <c r="G321" t="inlineStr">
        <is>
          <t>EKSJÖ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46255</v>
      </c>
      <c r="F322" t="inlineStr">
        <is>
          <t>JÖNKÖPINGS LÄN</t>
        </is>
      </c>
      <c r="G322" t="inlineStr">
        <is>
          <t>EKSJÖ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45560</v>
      </c>
      <c r="E323" s="1" t="n">
        <v>46255</v>
      </c>
      <c r="F323" t="inlineStr">
        <is>
          <t>JÖNKÖPINGS LÄN</t>
        </is>
      </c>
      <c r="G323" t="inlineStr">
        <is>
          <t>EKSJÖ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64419-2021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44511</v>
      </c>
      <c r="E324" s="1" t="n">
        <v>46255</v>
      </c>
      <c r="F324" t="inlineStr">
        <is>
          <t>JÖNKÖPINGS LÄN</t>
        </is>
      </c>
      <c r="G324" t="inlineStr">
        <is>
          <t>EKSJÖ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46255</v>
      </c>
      <c r="F325" t="inlineStr">
        <is>
          <t>JÖNKÖPINGS LÄN</t>
        </is>
      </c>
      <c r="G325" t="inlineStr">
        <is>
          <t>EKSJÖ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46255</v>
      </c>
      <c r="F326" t="inlineStr">
        <is>
          <t>JÖNKÖPINGS LÄN</t>
        </is>
      </c>
      <c r="G326" t="inlineStr">
        <is>
          <t>EKSJÖ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46255</v>
      </c>
      <c r="F327" t="inlineStr">
        <is>
          <t>JÖNKÖPINGS LÄN</t>
        </is>
      </c>
      <c r="G327" t="inlineStr">
        <is>
          <t>EKSJÖ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46255</v>
      </c>
      <c r="F328" t="inlineStr">
        <is>
          <t>JÖNKÖPINGS LÄN</t>
        </is>
      </c>
      <c r="G328" t="inlineStr">
        <is>
          <t>EKSJÖ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46255</v>
      </c>
      <c r="F329" t="inlineStr">
        <is>
          <t>JÖNKÖPINGS LÄN</t>
        </is>
      </c>
      <c r="G329" t="inlineStr">
        <is>
          <t>EKSJÖ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46255</v>
      </c>
      <c r="F330" t="inlineStr">
        <is>
          <t>JÖNKÖPINGS LÄN</t>
        </is>
      </c>
      <c r="G330" t="inlineStr">
        <is>
          <t>EKSJÖ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46255</v>
      </c>
      <c r="F331" t="inlineStr">
        <is>
          <t>JÖNKÖPINGS LÄN</t>
        </is>
      </c>
      <c r="G331" t="inlineStr">
        <is>
          <t>EKSJÖ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46255</v>
      </c>
      <c r="F332" t="inlineStr">
        <is>
          <t>JÖNKÖPINGS LÄN</t>
        </is>
      </c>
      <c r="G332" t="inlineStr">
        <is>
          <t>EKSJÖ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46255</v>
      </c>
      <c r="F333" t="inlineStr">
        <is>
          <t>JÖNKÖPINGS LÄN</t>
        </is>
      </c>
      <c r="G333" t="inlineStr">
        <is>
          <t>EKSJÖ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46255</v>
      </c>
      <c r="F334" t="inlineStr">
        <is>
          <t>JÖNKÖPINGS LÄN</t>
        </is>
      </c>
      <c r="G334" t="inlineStr">
        <is>
          <t>EKSJÖ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46255</v>
      </c>
      <c r="F335" t="inlineStr">
        <is>
          <t>JÖNKÖPINGS LÄN</t>
        </is>
      </c>
      <c r="G335" t="inlineStr">
        <is>
          <t>EKSJÖ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45468</v>
      </c>
      <c r="E336" s="1" t="n">
        <v>46255</v>
      </c>
      <c r="F336" t="inlineStr">
        <is>
          <t>JÖNKÖPINGS LÄN</t>
        </is>
      </c>
      <c r="G336" t="inlineStr">
        <is>
          <t>EKSJÖ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46255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46255</v>
      </c>
      <c r="F338" t="inlineStr">
        <is>
          <t>JÖNKÖPINGS LÄN</t>
        </is>
      </c>
      <c r="G338" t="inlineStr">
        <is>
          <t>EKSJÖ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46255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46255</v>
      </c>
      <c r="F340" t="inlineStr">
        <is>
          <t>JÖNKÖPINGS LÄN</t>
        </is>
      </c>
      <c r="G340" t="inlineStr">
        <is>
          <t>EKSJÖ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46255</v>
      </c>
      <c r="F341" t="inlineStr">
        <is>
          <t>JÖNKÖPINGS LÄN</t>
        </is>
      </c>
      <c r="G341" t="inlineStr">
        <is>
          <t>EKSJÖ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45664</v>
      </c>
      <c r="E342" s="1" t="n">
        <v>46255</v>
      </c>
      <c r="F342" t="inlineStr">
        <is>
          <t>JÖNKÖPINGS LÄN</t>
        </is>
      </c>
      <c r="G342" t="inlineStr">
        <is>
          <t>EKSJÖ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46255</v>
      </c>
      <c r="F343" t="inlineStr">
        <is>
          <t>JÖNKÖPINGS LÄN</t>
        </is>
      </c>
      <c r="G343" t="inlineStr">
        <is>
          <t>EKSJÖ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44609</v>
      </c>
      <c r="E344" s="1" t="n">
        <v>46255</v>
      </c>
      <c r="F344" t="inlineStr">
        <is>
          <t>JÖNKÖPINGS LÄN</t>
        </is>
      </c>
      <c r="G344" t="inlineStr">
        <is>
          <t>EKSJÖ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46255</v>
      </c>
      <c r="F345" t="inlineStr">
        <is>
          <t>JÖNKÖPINGS LÄN</t>
        </is>
      </c>
      <c r="G345" t="inlineStr">
        <is>
          <t>EKSJÖ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45161</v>
      </c>
      <c r="E346" s="1" t="n">
        <v>46255</v>
      </c>
      <c r="F346" t="inlineStr">
        <is>
          <t>JÖNKÖPINGS LÄN</t>
        </is>
      </c>
      <c r="G346" t="inlineStr">
        <is>
          <t>EKSJÖ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45344</v>
      </c>
      <c r="E347" s="1" t="n">
        <v>46255</v>
      </c>
      <c r="F347" t="inlineStr">
        <is>
          <t>JÖNKÖPINGS LÄN</t>
        </is>
      </c>
      <c r="G347" t="inlineStr">
        <is>
          <t>EKSJÖ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46255</v>
      </c>
      <c r="F348" t="inlineStr">
        <is>
          <t>JÖNKÖPINGS LÄN</t>
        </is>
      </c>
      <c r="G348" t="inlineStr">
        <is>
          <t>EKSJÖ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46255</v>
      </c>
      <c r="F349" t="inlineStr">
        <is>
          <t>JÖNKÖPINGS LÄN</t>
        </is>
      </c>
      <c r="G349" t="inlineStr">
        <is>
          <t>EKSJÖ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46255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46255</v>
      </c>
      <c r="F351" t="inlineStr">
        <is>
          <t>JÖNKÖPINGS LÄN</t>
        </is>
      </c>
      <c r="G351" t="inlineStr">
        <is>
          <t>EKSJÖ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46255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45402</v>
      </c>
      <c r="E353" s="1" t="n">
        <v>46255</v>
      </c>
      <c r="F353" t="inlineStr">
        <is>
          <t>JÖNKÖPINGS LÄN</t>
        </is>
      </c>
      <c r="G353" t="inlineStr">
        <is>
          <t>EKSJÖ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45635</v>
      </c>
      <c r="E354" s="1" t="n">
        <v>46255</v>
      </c>
      <c r="F354" t="inlineStr">
        <is>
          <t>JÖNKÖPINGS LÄN</t>
        </is>
      </c>
      <c r="G354" t="inlineStr">
        <is>
          <t>EKSJÖ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46255</v>
      </c>
      <c r="F355" t="inlineStr">
        <is>
          <t>JÖNKÖPINGS LÄN</t>
        </is>
      </c>
      <c r="G355" t="inlineStr">
        <is>
          <t>EKSJÖ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46255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46255</v>
      </c>
      <c r="F357" t="inlineStr">
        <is>
          <t>JÖNKÖPINGS LÄN</t>
        </is>
      </c>
      <c r="G357" t="inlineStr">
        <is>
          <t>EKSJÖ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46255</v>
      </c>
      <c r="F358" t="inlineStr">
        <is>
          <t>JÖNKÖPINGS LÄN</t>
        </is>
      </c>
      <c r="G358" t="inlineStr">
        <is>
          <t>EKSJÖ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45523</v>
      </c>
      <c r="E359" s="1" t="n">
        <v>46255</v>
      </c>
      <c r="F359" t="inlineStr">
        <is>
          <t>JÖNKÖPINGS LÄN</t>
        </is>
      </c>
      <c r="G359" t="inlineStr">
        <is>
          <t>EKSJÖ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46255</v>
      </c>
      <c r="F360" t="inlineStr">
        <is>
          <t>JÖNKÖPINGS LÄN</t>
        </is>
      </c>
      <c r="G360" t="inlineStr">
        <is>
          <t>EKSJÖ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45334</v>
      </c>
      <c r="E361" s="1" t="n">
        <v>46255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46255</v>
      </c>
      <c r="F362" t="inlineStr">
        <is>
          <t>JÖNKÖPINGS LÄN</t>
        </is>
      </c>
      <c r="G362" t="inlineStr">
        <is>
          <t>EKSJÖ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46255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44999</v>
      </c>
      <c r="E364" s="1" t="n">
        <v>46255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44999</v>
      </c>
      <c r="E365" s="1" t="n">
        <v>46255</v>
      </c>
      <c r="F365" t="inlineStr">
        <is>
          <t>JÖNKÖPINGS LÄN</t>
        </is>
      </c>
      <c r="G365" t="inlineStr">
        <is>
          <t>EKSJÖ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46255</v>
      </c>
      <c r="F366" t="inlineStr">
        <is>
          <t>JÖNKÖPINGS LÄN</t>
        </is>
      </c>
      <c r="G366" t="inlineStr">
        <is>
          <t>EKSJÖ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46255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45706</v>
      </c>
      <c r="E368" s="1" t="n">
        <v>46255</v>
      </c>
      <c r="F368" t="inlineStr">
        <is>
          <t>JÖNKÖPINGS LÄN</t>
        </is>
      </c>
      <c r="G368" t="inlineStr">
        <is>
          <t>EKSJÖ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46255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46255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46255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9300-2025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46255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46255</v>
      </c>
      <c r="F373" t="inlineStr">
        <is>
          <t>JÖNKÖPINGS LÄN</t>
        </is>
      </c>
      <c r="G373" t="inlineStr">
        <is>
          <t>EKSJÖ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46255</v>
      </c>
      <c r="F374" t="inlineStr">
        <is>
          <t>JÖNKÖPINGS LÄN</t>
        </is>
      </c>
      <c r="G374" t="inlineStr">
        <is>
          <t>EKSJÖ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44581</v>
      </c>
      <c r="E375" s="1" t="n">
        <v>46255</v>
      </c>
      <c r="F375" t="inlineStr">
        <is>
          <t>JÖNKÖPINGS LÄN</t>
        </is>
      </c>
      <c r="G375" t="inlineStr">
        <is>
          <t>EKSJÖ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9058-2022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44615</v>
      </c>
      <c r="E376" s="1" t="n">
        <v>46255</v>
      </c>
      <c r="F376" t="inlineStr">
        <is>
          <t>JÖNKÖPINGS LÄN</t>
        </is>
      </c>
      <c r="G376" t="inlineStr">
        <is>
          <t>EKSJÖ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46255</v>
      </c>
      <c r="F377" t="inlineStr">
        <is>
          <t>JÖNKÖPINGS LÄN</t>
        </is>
      </c>
      <c r="G377" t="inlineStr">
        <is>
          <t>EKSJÖ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46255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46255</v>
      </c>
      <c r="F379" t="inlineStr">
        <is>
          <t>JÖNKÖPINGS LÄN</t>
        </is>
      </c>
      <c r="G379" t="inlineStr">
        <is>
          <t>EKSJÖ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45251</v>
      </c>
      <c r="E380" s="1" t="n">
        <v>46255</v>
      </c>
      <c r="F380" t="inlineStr">
        <is>
          <t>JÖNKÖPINGS LÄN</t>
        </is>
      </c>
      <c r="G380" t="inlineStr">
        <is>
          <t>EKSJÖ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47987-2023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45204</v>
      </c>
      <c r="E381" s="1" t="n">
        <v>46255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46255</v>
      </c>
      <c r="F382" t="inlineStr">
        <is>
          <t>JÖNKÖPINGS LÄN</t>
        </is>
      </c>
      <c r="G382" t="inlineStr">
        <is>
          <t>EKSJÖ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46255</v>
      </c>
      <c r="F383" t="inlineStr">
        <is>
          <t>JÖNKÖPINGS LÄN</t>
        </is>
      </c>
      <c r="G383" t="inlineStr">
        <is>
          <t>EKSJÖ</t>
        </is>
      </c>
      <c r="H383" t="inlineStr">
        <is>
          <t>Övriga Aktiebolag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46255</v>
      </c>
      <c r="F384" t="inlineStr">
        <is>
          <t>JÖNKÖPINGS LÄN</t>
        </is>
      </c>
      <c r="G384" t="inlineStr">
        <is>
          <t>EKSJÖ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46255</v>
      </c>
      <c r="F385" t="inlineStr">
        <is>
          <t>JÖNKÖPINGS LÄN</t>
        </is>
      </c>
      <c r="G385" t="inlineStr">
        <is>
          <t>EKSJÖ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46255</v>
      </c>
      <c r="F386" t="inlineStr">
        <is>
          <t>JÖNKÖPINGS LÄN</t>
        </is>
      </c>
      <c r="G386" t="inlineStr">
        <is>
          <t>EKSJÖ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45239</v>
      </c>
      <c r="E387" s="1" t="n">
        <v>46255</v>
      </c>
      <c r="F387" t="inlineStr">
        <is>
          <t>JÖNKÖPINGS LÄN</t>
        </is>
      </c>
      <c r="G387" t="inlineStr">
        <is>
          <t>EKSJÖ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45231</v>
      </c>
      <c r="E388" s="1" t="n">
        <v>46255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46255</v>
      </c>
      <c r="F389" t="inlineStr">
        <is>
          <t>JÖNKÖPINGS LÄN</t>
        </is>
      </c>
      <c r="G389" t="inlineStr">
        <is>
          <t>EKSJÖ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54292-2023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45232</v>
      </c>
      <c r="E390" s="1" t="n">
        <v>46255</v>
      </c>
      <c r="F390" t="inlineStr">
        <is>
          <t>JÖNKÖPINGS LÄN</t>
        </is>
      </c>
      <c r="G390" t="inlineStr">
        <is>
          <t>EKSJÖ</t>
        </is>
      </c>
      <c r="I390" t="n">
        <v>18.3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45161</v>
      </c>
      <c r="E391" s="1" t="n">
        <v>46255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45420</v>
      </c>
      <c r="E392" s="1" t="n">
        <v>46255</v>
      </c>
      <c r="F392" t="inlineStr">
        <is>
          <t>JÖNKÖPINGS LÄN</t>
        </is>
      </c>
      <c r="G392" t="inlineStr">
        <is>
          <t>EKSJÖ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45882</v>
      </c>
      <c r="E393" s="1" t="n">
        <v>46255</v>
      </c>
      <c r="F393" t="inlineStr">
        <is>
          <t>JÖNKÖPINGS LÄN</t>
        </is>
      </c>
      <c r="G393" t="inlineStr">
        <is>
          <t>EKSJÖ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53479-2023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46255</v>
      </c>
      <c r="F394" t="inlineStr">
        <is>
          <t>JÖNKÖPINGS LÄN</t>
        </is>
      </c>
      <c r="G394" t="inlineStr">
        <is>
          <t>EKSJÖ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45666</v>
      </c>
      <c r="E395" s="1" t="n">
        <v>46255</v>
      </c>
      <c r="F395" t="inlineStr">
        <is>
          <t>JÖNKÖPINGS LÄN</t>
        </is>
      </c>
      <c r="G395" t="inlineStr">
        <is>
          <t>EKSJÖ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46255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46255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46255</v>
      </c>
      <c r="F398" t="inlineStr">
        <is>
          <t>JÖNKÖPINGS LÄN</t>
        </is>
      </c>
      <c r="G398" t="inlineStr">
        <is>
          <t>EKSJÖ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46255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46255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46255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44685</v>
      </c>
      <c r="E402" s="1" t="n">
        <v>46255</v>
      </c>
      <c r="F402" t="inlineStr">
        <is>
          <t>JÖNKÖPINGS LÄN</t>
        </is>
      </c>
      <c r="G402" t="inlineStr">
        <is>
          <t>EKSJÖ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46255</v>
      </c>
      <c r="F403" t="inlineStr">
        <is>
          <t>JÖNKÖPINGS LÄN</t>
        </is>
      </c>
      <c r="G403" t="inlineStr">
        <is>
          <t>EKSJÖ</t>
        </is>
      </c>
      <c r="H403" t="inlineStr">
        <is>
          <t>Övriga Aktiebolag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46255</v>
      </c>
      <c r="F404" t="inlineStr">
        <is>
          <t>JÖNKÖPINGS LÄN</t>
        </is>
      </c>
      <c r="G404" t="inlineStr">
        <is>
          <t>EKSJÖ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46255</v>
      </c>
      <c r="F405" t="inlineStr">
        <is>
          <t>JÖNKÖPINGS LÄN</t>
        </is>
      </c>
      <c r="G405" t="inlineStr">
        <is>
          <t>EKSJÖ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46255</v>
      </c>
      <c r="F406" t="inlineStr">
        <is>
          <t>JÖNKÖPINGS LÄN</t>
        </is>
      </c>
      <c r="G406" t="inlineStr">
        <is>
          <t>EKSJÖ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46255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46255</v>
      </c>
      <c r="F408" t="inlineStr">
        <is>
          <t>JÖNKÖPINGS LÄN</t>
        </is>
      </c>
      <c r="G408" t="inlineStr">
        <is>
          <t>EKSJÖ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45315</v>
      </c>
      <c r="E409" s="1" t="n">
        <v>46255</v>
      </c>
      <c r="F409" t="inlineStr">
        <is>
          <t>JÖNKÖPINGS LÄN</t>
        </is>
      </c>
      <c r="G409" t="inlineStr">
        <is>
          <t>EKSJÖ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19497-2025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45770</v>
      </c>
      <c r="E410" s="1" t="n">
        <v>46255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46255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46255</v>
      </c>
      <c r="F412" t="inlineStr">
        <is>
          <t>JÖNKÖPINGS LÄN</t>
        </is>
      </c>
      <c r="G412" t="inlineStr">
        <is>
          <t>EKSJÖ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25613-2024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45463</v>
      </c>
      <c r="E413" s="1" t="n">
        <v>46255</v>
      </c>
      <c r="F413" t="inlineStr">
        <is>
          <t>JÖNKÖPINGS LÄN</t>
        </is>
      </c>
      <c r="G413" t="inlineStr">
        <is>
          <t>EKSJÖ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46255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46255</v>
      </c>
      <c r="F415" t="inlineStr">
        <is>
          <t>JÖNKÖPINGS LÄN</t>
        </is>
      </c>
      <c r="G415" t="inlineStr">
        <is>
          <t>EKSJÖ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46255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46255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28261-2022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46255</v>
      </c>
      <c r="F418" t="inlineStr">
        <is>
          <t>JÖNKÖPINGS LÄN</t>
        </is>
      </c>
      <c r="G418" t="inlineStr">
        <is>
          <t>EKSJÖ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46255</v>
      </c>
      <c r="F419" t="inlineStr">
        <is>
          <t>JÖNKÖPINGS LÄN</t>
        </is>
      </c>
      <c r="G419" t="inlineStr">
        <is>
          <t>EKSJÖ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45176</v>
      </c>
      <c r="E420" s="1" t="n">
        <v>46255</v>
      </c>
      <c r="F420" t="inlineStr">
        <is>
          <t>JÖNKÖPINGS LÄN</t>
        </is>
      </c>
      <c r="G420" t="inlineStr">
        <is>
          <t>EKSJÖ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46255</v>
      </c>
      <c r="F421" t="inlineStr">
        <is>
          <t>JÖNKÖPINGS LÄN</t>
        </is>
      </c>
      <c r="G421" t="inlineStr">
        <is>
          <t>EKSJÖ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44888</v>
      </c>
      <c r="E422" s="1" t="n">
        <v>46255</v>
      </c>
      <c r="F422" t="inlineStr">
        <is>
          <t>JÖNKÖPINGS LÄN</t>
        </is>
      </c>
      <c r="G422" t="inlineStr">
        <is>
          <t>EKSJÖ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46255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46255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46255</v>
      </c>
      <c r="F425" t="inlineStr">
        <is>
          <t>JÖNKÖPINGS LÄN</t>
        </is>
      </c>
      <c r="G425" t="inlineStr">
        <is>
          <t>EKSJÖ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46014-2022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46255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60920-2025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45996</v>
      </c>
      <c r="E427" s="1" t="n">
        <v>46255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46255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46255</v>
      </c>
      <c r="F429" t="inlineStr">
        <is>
          <t>JÖNKÖPINGS LÄN</t>
        </is>
      </c>
      <c r="G429" t="inlineStr">
        <is>
          <t>EKSJÖ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46255</v>
      </c>
      <c r="F430" t="inlineStr">
        <is>
          <t>JÖNKÖPINGS LÄN</t>
        </is>
      </c>
      <c r="G430" t="inlineStr">
        <is>
          <t>EKSJÖ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11381-2022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44630</v>
      </c>
      <c r="E431" s="1" t="n">
        <v>46255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46255</v>
      </c>
      <c r="F432" t="inlineStr">
        <is>
          <t>JÖNKÖPINGS LÄN</t>
        </is>
      </c>
      <c r="G432" t="inlineStr">
        <is>
          <t>EKSJÖ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46255</v>
      </c>
      <c r="F433" t="inlineStr">
        <is>
          <t>JÖNKÖPINGS LÄN</t>
        </is>
      </c>
      <c r="G433" t="inlineStr">
        <is>
          <t>EKSJÖ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46255</v>
      </c>
      <c r="F434" t="inlineStr">
        <is>
          <t>JÖNKÖPINGS LÄN</t>
        </is>
      </c>
      <c r="G434" t="inlineStr">
        <is>
          <t>EKSJÖ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46255</v>
      </c>
      <c r="F435" t="inlineStr">
        <is>
          <t>JÖNKÖPINGS LÄN</t>
        </is>
      </c>
      <c r="G435" t="inlineStr">
        <is>
          <t>EKSJÖ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46255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47204-2022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44851</v>
      </c>
      <c r="E437" s="1" t="n">
        <v>46255</v>
      </c>
      <c r="F437" t="inlineStr">
        <is>
          <t>JÖNKÖPINGS LÄN</t>
        </is>
      </c>
      <c r="G437" t="inlineStr">
        <is>
          <t>EKSJÖ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46255</v>
      </c>
      <c r="F438" t="inlineStr">
        <is>
          <t>JÖNKÖPINGS LÄN</t>
        </is>
      </c>
      <c r="G438" t="inlineStr">
        <is>
          <t>EKSJÖ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46255</v>
      </c>
      <c r="F439" t="inlineStr">
        <is>
          <t>JÖNKÖPINGS LÄN</t>
        </is>
      </c>
      <c r="G439" t="inlineStr">
        <is>
          <t>EKSJÖ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46255</v>
      </c>
      <c r="F440" t="inlineStr">
        <is>
          <t>JÖNKÖPINGS LÄN</t>
        </is>
      </c>
      <c r="G440" t="inlineStr">
        <is>
          <t>EKSJÖ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46255</v>
      </c>
      <c r="F441" t="inlineStr">
        <is>
          <t>JÖNKÖPINGS LÄN</t>
        </is>
      </c>
      <c r="G441" t="inlineStr">
        <is>
          <t>EKSJÖ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46255</v>
      </c>
      <c r="F442" t="inlineStr">
        <is>
          <t>JÖNKÖPINGS LÄN</t>
        </is>
      </c>
      <c r="G442" t="inlineStr">
        <is>
          <t>EKSJÖ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46577-2022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44848</v>
      </c>
      <c r="E443" s="1" t="n">
        <v>46255</v>
      </c>
      <c r="F443" t="inlineStr">
        <is>
          <t>JÖNKÖPINGS LÄN</t>
        </is>
      </c>
      <c r="G443" t="inlineStr">
        <is>
          <t>EKSJÖ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35738-2024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45532</v>
      </c>
      <c r="E444" s="1" t="n">
        <v>46255</v>
      </c>
      <c r="F444" t="inlineStr">
        <is>
          <t>JÖNKÖPINGS LÄN</t>
        </is>
      </c>
      <c r="G444" t="inlineStr">
        <is>
          <t>EKSJÖ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46255</v>
      </c>
      <c r="F445" t="inlineStr">
        <is>
          <t>JÖNKÖPINGS LÄN</t>
        </is>
      </c>
      <c r="G445" t="inlineStr">
        <is>
          <t>EKSJÖ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46255</v>
      </c>
      <c r="F446" t="inlineStr">
        <is>
          <t>JÖNKÖPINGS LÄN</t>
        </is>
      </c>
      <c r="G446" t="inlineStr">
        <is>
          <t>EKSJÖ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45391</v>
      </c>
      <c r="E447" s="1" t="n">
        <v>46255</v>
      </c>
      <c r="F447" t="inlineStr">
        <is>
          <t>JÖNKÖPINGS LÄN</t>
        </is>
      </c>
      <c r="G447" t="inlineStr">
        <is>
          <t>EKSJÖ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42929-2021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44431</v>
      </c>
      <c r="E448" s="1" t="n">
        <v>46255</v>
      </c>
      <c r="F448" t="inlineStr">
        <is>
          <t>JÖNKÖPINGS LÄN</t>
        </is>
      </c>
      <c r="G448" t="inlineStr">
        <is>
          <t>EKSJÖ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50967-2021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44460</v>
      </c>
      <c r="E449" s="1" t="n">
        <v>46255</v>
      </c>
      <c r="F449" t="inlineStr">
        <is>
          <t>JÖNKÖPINGS LÄN</t>
        </is>
      </c>
      <c r="G449" t="inlineStr">
        <is>
          <t>EKSJÖ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49403-2021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44454</v>
      </c>
      <c r="E450" s="1" t="n">
        <v>46255</v>
      </c>
      <c r="F450" t="inlineStr">
        <is>
          <t>JÖNKÖPINGS LÄN</t>
        </is>
      </c>
      <c r="G450" t="inlineStr">
        <is>
          <t>EKSJÖ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46255</v>
      </c>
      <c r="F451" t="inlineStr">
        <is>
          <t>JÖNKÖPINGS LÄN</t>
        </is>
      </c>
      <c r="G451" t="inlineStr">
        <is>
          <t>EKSJÖ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46255</v>
      </c>
      <c r="F452" t="inlineStr">
        <is>
          <t>JÖNKÖPINGS LÄN</t>
        </is>
      </c>
      <c r="G452" t="inlineStr">
        <is>
          <t>EKSJÖ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46255</v>
      </c>
      <c r="F453" t="inlineStr">
        <is>
          <t>JÖNKÖPINGS LÄN</t>
        </is>
      </c>
      <c r="G453" t="inlineStr">
        <is>
          <t>EKSJÖ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71313-2021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44539</v>
      </c>
      <c r="E454" s="1" t="n">
        <v>46255</v>
      </c>
      <c r="F454" t="inlineStr">
        <is>
          <t>JÖNKÖPINGS LÄN</t>
        </is>
      </c>
      <c r="G454" t="inlineStr">
        <is>
          <t>EKSJÖ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46255</v>
      </c>
      <c r="F455" t="inlineStr">
        <is>
          <t>JÖNKÖPINGS LÄN</t>
        </is>
      </c>
      <c r="G455" t="inlineStr">
        <is>
          <t>EKSJÖ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44939</v>
      </c>
      <c r="E456" s="1" t="n">
        <v>46255</v>
      </c>
      <c r="F456" t="inlineStr">
        <is>
          <t>JÖNKÖPINGS LÄN</t>
        </is>
      </c>
      <c r="G456" t="inlineStr">
        <is>
          <t>EKSJÖ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45086</v>
      </c>
      <c r="E457" s="1" t="n">
        <v>46255</v>
      </c>
      <c r="F457" t="inlineStr">
        <is>
          <t>JÖNKÖPINGS LÄN</t>
        </is>
      </c>
      <c r="G457" t="inlineStr">
        <is>
          <t>EKSJÖ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46255</v>
      </c>
      <c r="F458" t="inlineStr">
        <is>
          <t>JÖNKÖPINGS LÄN</t>
        </is>
      </c>
      <c r="G458" t="inlineStr">
        <is>
          <t>EKSJÖ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46255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45051</v>
      </c>
      <c r="E460" s="1" t="n">
        <v>46255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33644-2022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44789</v>
      </c>
      <c r="E461" s="1" t="n">
        <v>46255</v>
      </c>
      <c r="F461" t="inlineStr">
        <is>
          <t>JÖNKÖPINGS LÄN</t>
        </is>
      </c>
      <c r="G461" t="inlineStr">
        <is>
          <t>EKSJÖ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45411</v>
      </c>
      <c r="E462" s="1" t="n">
        <v>46255</v>
      </c>
      <c r="F462" t="inlineStr">
        <is>
          <t>JÖNKÖPINGS LÄN</t>
        </is>
      </c>
      <c r="G462" t="inlineStr">
        <is>
          <t>EKSJÖ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46255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46255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45086</v>
      </c>
      <c r="E465" s="1" t="n">
        <v>46255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44925</v>
      </c>
      <c r="E466" s="1" t="n">
        <v>46255</v>
      </c>
      <c r="F466" t="inlineStr">
        <is>
          <t>JÖNKÖPINGS LÄN</t>
        </is>
      </c>
      <c r="G466" t="inlineStr">
        <is>
          <t>EKSJÖ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25654-2026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46255</v>
      </c>
      <c r="F467" t="inlineStr">
        <is>
          <t>JÖNKÖPINGS LÄN</t>
        </is>
      </c>
      <c r="G467" t="inlineStr">
        <is>
          <t>EKSJÖ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45078</v>
      </c>
      <c r="E468" s="1" t="n">
        <v>46255</v>
      </c>
      <c r="F468" t="inlineStr">
        <is>
          <t>JÖNKÖPINGS LÄN</t>
        </is>
      </c>
      <c r="G468" t="inlineStr">
        <is>
          <t>EKSJÖ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46255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65554-2021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46255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46255</v>
      </c>
      <c r="F471" t="inlineStr">
        <is>
          <t>JÖNKÖPINGS LÄN</t>
        </is>
      </c>
      <c r="G471" t="inlineStr">
        <is>
          <t>EKSJÖ</t>
        </is>
      </c>
      <c r="H471" t="inlineStr">
        <is>
          <t>Kyrkan</t>
        </is>
      </c>
      <c r="I471" t="n">
        <v>15.2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46255</v>
      </c>
      <c r="F472" t="inlineStr">
        <is>
          <t>JÖNKÖPINGS LÄN</t>
        </is>
      </c>
      <c r="G472" t="inlineStr">
        <is>
          <t>EKSJÖ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46255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46255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46255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46255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46255</v>
      </c>
      <c r="F477" t="inlineStr">
        <is>
          <t>JÖNKÖPINGS LÄN</t>
        </is>
      </c>
      <c r="G477" t="inlineStr">
        <is>
          <t>EKSJÖ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45337</v>
      </c>
      <c r="E478" s="1" t="n">
        <v>46255</v>
      </c>
      <c r="F478" t="inlineStr">
        <is>
          <t>JÖNKÖPINGS LÄN</t>
        </is>
      </c>
      <c r="G478" t="inlineStr">
        <is>
          <t>EKSJÖ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45680</v>
      </c>
      <c r="E479" s="1" t="n">
        <v>46255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46255</v>
      </c>
      <c r="F480" t="inlineStr">
        <is>
          <t>JÖNKÖPINGS LÄN</t>
        </is>
      </c>
      <c r="G480" t="inlineStr">
        <is>
          <t>EKSJÖ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46255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46255</v>
      </c>
      <c r="F482" t="inlineStr">
        <is>
          <t>JÖNKÖPINGS LÄN</t>
        </is>
      </c>
      <c r="G482" t="inlineStr">
        <is>
          <t>EKSJÖ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46255</v>
      </c>
      <c r="F483" t="inlineStr">
        <is>
          <t>JÖNKÖPINGS LÄN</t>
        </is>
      </c>
      <c r="G483" t="inlineStr">
        <is>
          <t>EKSJÖ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46255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46255</v>
      </c>
      <c r="F485" t="inlineStr">
        <is>
          <t>JÖNKÖPINGS LÄN</t>
        </is>
      </c>
      <c r="G485" t="inlineStr">
        <is>
          <t>EKSJÖ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64541-2023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46255</v>
      </c>
      <c r="F486" t="inlineStr">
        <is>
          <t>JÖNKÖPINGS LÄN</t>
        </is>
      </c>
      <c r="G486" t="inlineStr">
        <is>
          <t>EKSJÖ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46255</v>
      </c>
      <c r="F487" t="inlineStr">
        <is>
          <t>JÖNKÖPINGS LÄN</t>
        </is>
      </c>
      <c r="G487" t="inlineStr">
        <is>
          <t>EKSJÖ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46255</v>
      </c>
      <c r="F488" t="inlineStr">
        <is>
          <t>JÖNKÖPINGS LÄN</t>
        </is>
      </c>
      <c r="G488" t="inlineStr">
        <is>
          <t>EKSJÖ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45057</v>
      </c>
      <c r="E489" s="1" t="n">
        <v>46255</v>
      </c>
      <c r="F489" t="inlineStr">
        <is>
          <t>JÖNKÖPINGS LÄN</t>
        </is>
      </c>
      <c r="G489" t="inlineStr">
        <is>
          <t>EKSJÖ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46255</v>
      </c>
      <c r="F490" t="inlineStr">
        <is>
          <t>JÖNKÖPINGS LÄN</t>
        </is>
      </c>
      <c r="G490" t="inlineStr">
        <is>
          <t>EKSJÖ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64993-2023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45286</v>
      </c>
      <c r="E491" s="1" t="n">
        <v>46255</v>
      </c>
      <c r="F491" t="inlineStr">
        <is>
          <t>JÖNKÖPINGS LÄN</t>
        </is>
      </c>
      <c r="G491" t="inlineStr">
        <is>
          <t>EKSJÖ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45659</v>
      </c>
      <c r="E492" s="1" t="n">
        <v>46255</v>
      </c>
      <c r="F492" t="inlineStr">
        <is>
          <t>JÖNKÖPINGS LÄN</t>
        </is>
      </c>
      <c r="G492" t="inlineStr">
        <is>
          <t>EKSJÖ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18337-2025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46255</v>
      </c>
      <c r="F493" t="inlineStr">
        <is>
          <t>JÖNKÖPINGS LÄN</t>
        </is>
      </c>
      <c r="G493" t="inlineStr">
        <is>
          <t>EKSJÖ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46255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23156-2023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45075</v>
      </c>
      <c r="E495" s="1" t="n">
        <v>46255</v>
      </c>
      <c r="F495" t="inlineStr">
        <is>
          <t>JÖNKÖPINGS LÄN</t>
        </is>
      </c>
      <c r="G495" t="inlineStr">
        <is>
          <t>EKSJÖ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46255</v>
      </c>
      <c r="F496" t="inlineStr">
        <is>
          <t>JÖNKÖPINGS LÄN</t>
        </is>
      </c>
      <c r="G496" t="inlineStr">
        <is>
          <t>EKSJÖ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36306-2023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45152</v>
      </c>
      <c r="E497" s="1" t="n">
        <v>46255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53053-2021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44467</v>
      </c>
      <c r="E498" s="1" t="n">
        <v>46255</v>
      </c>
      <c r="F498" t="inlineStr">
        <is>
          <t>JÖNKÖPINGS LÄN</t>
        </is>
      </c>
      <c r="G498" t="inlineStr">
        <is>
          <t>EKSJÖ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44925</v>
      </c>
      <c r="E499" s="1" t="n">
        <v>46255</v>
      </c>
      <c r="F499" t="inlineStr">
        <is>
          <t>JÖNKÖPINGS LÄN</t>
        </is>
      </c>
      <c r="G499" t="inlineStr">
        <is>
          <t>EKSJÖ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44940</v>
      </c>
      <c r="E500" s="1" t="n">
        <v>46255</v>
      </c>
      <c r="F500" t="inlineStr">
        <is>
          <t>JÖNKÖPINGS LÄN</t>
        </is>
      </c>
      <c r="G500" t="inlineStr">
        <is>
          <t>EKSJÖ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44941</v>
      </c>
      <c r="E501" s="1" t="n">
        <v>46255</v>
      </c>
      <c r="F501" t="inlineStr">
        <is>
          <t>JÖNKÖPINGS LÄN</t>
        </is>
      </c>
      <c r="G501" t="inlineStr">
        <is>
          <t>EKSJÖ</t>
        </is>
      </c>
      <c r="H501" t="inlineStr">
        <is>
          <t>Övriga Aktiebolag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49919-2023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45214</v>
      </c>
      <c r="E502" s="1" t="n">
        <v>46255</v>
      </c>
      <c r="F502" t="inlineStr">
        <is>
          <t>JÖNKÖPINGS LÄN</t>
        </is>
      </c>
      <c r="G502" t="inlineStr">
        <is>
          <t>EKSJÖ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46255</v>
      </c>
      <c r="F503" t="inlineStr">
        <is>
          <t>JÖNKÖPINGS LÄN</t>
        </is>
      </c>
      <c r="G503" t="inlineStr">
        <is>
          <t>EKSJÖ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45212</v>
      </c>
      <c r="E504" s="1" t="n">
        <v>46255</v>
      </c>
      <c r="F504" t="inlineStr">
        <is>
          <t>JÖNKÖPINGS LÄN</t>
        </is>
      </c>
      <c r="G504" t="inlineStr">
        <is>
          <t>EKSJÖ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61850-2024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45649</v>
      </c>
      <c r="E505" s="1" t="n">
        <v>46255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46255</v>
      </c>
      <c r="F506" t="inlineStr">
        <is>
          <t>JÖNKÖPINGS LÄN</t>
        </is>
      </c>
      <c r="G506" t="inlineStr">
        <is>
          <t>EKSJÖ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34772-2023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45141</v>
      </c>
      <c r="E507" s="1" t="n">
        <v>46255</v>
      </c>
      <c r="F507" t="inlineStr">
        <is>
          <t>JÖNKÖPINGS LÄN</t>
        </is>
      </c>
      <c r="G507" t="inlineStr">
        <is>
          <t>EKSJÖ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46197</v>
      </c>
      <c r="E508" s="1" t="n">
        <v>46255</v>
      </c>
      <c r="F508" t="inlineStr">
        <is>
          <t>JÖNKÖPINGS LÄN</t>
        </is>
      </c>
      <c r="G508" t="inlineStr">
        <is>
          <t>EKSJÖ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28371-2026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46255</v>
      </c>
      <c r="F509" t="inlineStr">
        <is>
          <t>JÖNKÖPINGS LÄN</t>
        </is>
      </c>
      <c r="G509" t="inlineStr">
        <is>
          <t>EKSJÖ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46197</v>
      </c>
      <c r="E510" s="1" t="n">
        <v>46255</v>
      </c>
      <c r="F510" t="inlineStr">
        <is>
          <t>JÖNKÖPINGS LÄN</t>
        </is>
      </c>
      <c r="G510" t="inlineStr">
        <is>
          <t>EKSJÖ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45054</v>
      </c>
      <c r="E511" s="1" t="n">
        <v>46255</v>
      </c>
      <c r="F511" t="inlineStr">
        <is>
          <t>JÖNKÖPINGS LÄN</t>
        </is>
      </c>
      <c r="G511" t="inlineStr">
        <is>
          <t>EKSJÖ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44846</v>
      </c>
      <c r="E512" s="1" t="n">
        <v>46255</v>
      </c>
      <c r="F512" t="inlineStr">
        <is>
          <t>JÖNKÖPINGS LÄN</t>
        </is>
      </c>
      <c r="G512" t="inlineStr">
        <is>
          <t>EKSJÖ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45493-2022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44845</v>
      </c>
      <c r="E513" s="1" t="n">
        <v>46255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46255</v>
      </c>
      <c r="F514" t="inlineStr">
        <is>
          <t>JÖNKÖPINGS LÄN</t>
        </is>
      </c>
      <c r="G514" t="inlineStr">
        <is>
          <t>EKSJÖ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36354-2022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44803</v>
      </c>
      <c r="E515" s="1" t="n">
        <v>46255</v>
      </c>
      <c r="F515" t="inlineStr">
        <is>
          <t>JÖNKÖPINGS LÄN</t>
        </is>
      </c>
      <c r="G515" t="inlineStr">
        <is>
          <t>EKSJÖ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45208</v>
      </c>
      <c r="E516" s="1" t="n">
        <v>46255</v>
      </c>
      <c r="F516" t="inlineStr">
        <is>
          <t>JÖNKÖPINGS LÄN</t>
        </is>
      </c>
      <c r="G516" t="inlineStr">
        <is>
          <t>EKSJÖ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45107</v>
      </c>
      <c r="E517" s="1" t="n">
        <v>46255</v>
      </c>
      <c r="F517" t="inlineStr">
        <is>
          <t>JÖNKÖPINGS LÄN</t>
        </is>
      </c>
      <c r="G517" t="inlineStr">
        <is>
          <t>EKSJÖ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44925</v>
      </c>
      <c r="E518" s="1" t="n">
        <v>46255</v>
      </c>
      <c r="F518" t="inlineStr">
        <is>
          <t>JÖNKÖPINGS LÄN</t>
        </is>
      </c>
      <c r="G518" t="inlineStr">
        <is>
          <t>EKSJÖ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46255</v>
      </c>
      <c r="F519" t="inlineStr">
        <is>
          <t>JÖNKÖPINGS LÄN</t>
        </is>
      </c>
      <c r="G519" t="inlineStr">
        <is>
          <t>EKSJÖ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46255</v>
      </c>
      <c r="F520" t="inlineStr">
        <is>
          <t>JÖNKÖPINGS LÄN</t>
        </is>
      </c>
      <c r="G520" t="inlineStr">
        <is>
          <t>EKSJÖ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46255</v>
      </c>
      <c r="F521" t="inlineStr">
        <is>
          <t>JÖNKÖPINGS LÄN</t>
        </is>
      </c>
      <c r="G521" t="inlineStr">
        <is>
          <t>EKSJÖ</t>
        </is>
      </c>
      <c r="I521" t="n">
        <v>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45373</v>
      </c>
      <c r="E522" s="1" t="n">
        <v>46255</v>
      </c>
      <c r="F522" t="inlineStr">
        <is>
          <t>JÖNKÖPINGS LÄN</t>
        </is>
      </c>
      <c r="G522" t="inlineStr">
        <is>
          <t>EKSJÖ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50410-2024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45601</v>
      </c>
      <c r="E523" s="1" t="n">
        <v>46255</v>
      </c>
      <c r="F523" t="inlineStr">
        <is>
          <t>JÖNKÖPINGS LÄN</t>
        </is>
      </c>
      <c r="G523" t="inlineStr">
        <is>
          <t>EKSJÖ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46255</v>
      </c>
      <c r="F524" t="inlineStr">
        <is>
          <t>JÖNKÖPINGS LÄN</t>
        </is>
      </c>
      <c r="G524" t="inlineStr">
        <is>
          <t>EKSJÖ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46255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46255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46255</v>
      </c>
      <c r="F527" t="inlineStr">
        <is>
          <t>JÖNKÖPINGS LÄN</t>
        </is>
      </c>
      <c r="G527" t="inlineStr">
        <is>
          <t>EKSJÖ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45308</v>
      </c>
      <c r="E528" s="1" t="n">
        <v>46255</v>
      </c>
      <c r="F528" t="inlineStr">
        <is>
          <t>JÖNKÖPINGS LÄN</t>
        </is>
      </c>
      <c r="G528" t="inlineStr">
        <is>
          <t>EKSJÖ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45334</v>
      </c>
      <c r="E529" s="1" t="n">
        <v>46255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45463</v>
      </c>
      <c r="E530" s="1" t="n">
        <v>46255</v>
      </c>
      <c r="F530" t="inlineStr">
        <is>
          <t>JÖNKÖPINGS LÄN</t>
        </is>
      </c>
      <c r="G530" t="inlineStr">
        <is>
          <t>EKSJÖ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46255</v>
      </c>
      <c r="F531" t="inlineStr">
        <is>
          <t>JÖNKÖPINGS LÄN</t>
        </is>
      </c>
      <c r="G531" t="inlineStr">
        <is>
          <t>EKSJÖ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54470-2024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45617</v>
      </c>
      <c r="E532" s="1" t="n">
        <v>46255</v>
      </c>
      <c r="F532" t="inlineStr">
        <is>
          <t>JÖNKÖPINGS LÄN</t>
        </is>
      </c>
      <c r="G532" t="inlineStr">
        <is>
          <t>EKSJÖ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44580</v>
      </c>
      <c r="E533" s="1" t="n">
        <v>46255</v>
      </c>
      <c r="F533" t="inlineStr">
        <is>
          <t>JÖNKÖPINGS LÄN</t>
        </is>
      </c>
      <c r="G533" t="inlineStr">
        <is>
          <t>EKSJÖ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46255</v>
      </c>
      <c r="F534" t="inlineStr">
        <is>
          <t>JÖNKÖPINGS LÄN</t>
        </is>
      </c>
      <c r="G534" t="inlineStr">
        <is>
          <t>EKSJÖ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46255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46255</v>
      </c>
      <c r="F536" t="inlineStr">
        <is>
          <t>JÖNKÖPINGS LÄN</t>
        </is>
      </c>
      <c r="G536" t="inlineStr">
        <is>
          <t>EKSJÖ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46255</v>
      </c>
      <c r="F537" t="inlineStr">
        <is>
          <t>JÖNKÖPINGS LÄN</t>
        </is>
      </c>
      <c r="G537" t="inlineStr">
        <is>
          <t>EKSJÖ</t>
        </is>
      </c>
      <c r="I537" t="n">
        <v>8.6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51541-2023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45222</v>
      </c>
      <c r="E538" s="1" t="n">
        <v>46255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46255</v>
      </c>
      <c r="F539" t="inlineStr">
        <is>
          <t>JÖNKÖPINGS LÄN</t>
        </is>
      </c>
      <c r="G539" t="inlineStr">
        <is>
          <t>EKSJÖ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46255</v>
      </c>
      <c r="F540" t="inlineStr">
        <is>
          <t>JÖNKÖPINGS LÄN</t>
        </is>
      </c>
      <c r="G540" t="inlineStr">
        <is>
          <t>EKSJÖ</t>
        </is>
      </c>
      <c r="H540" t="inlineStr">
        <is>
          <t>Övriga Aktiebolag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46255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6.9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46255</v>
      </c>
      <c r="F542" t="inlineStr">
        <is>
          <t>JÖNKÖPINGS LÄN</t>
        </is>
      </c>
      <c r="G542" t="inlineStr">
        <is>
          <t>EKSJÖ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50287-2024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45600</v>
      </c>
      <c r="E543" s="1" t="n">
        <v>46255</v>
      </c>
      <c r="F543" t="inlineStr">
        <is>
          <t>JÖNKÖPINGS LÄN</t>
        </is>
      </c>
      <c r="G543" t="inlineStr">
        <is>
          <t>EKSJÖ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19469-2025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45770</v>
      </c>
      <c r="E544" s="1" t="n">
        <v>46255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18695-2024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45426</v>
      </c>
      <c r="E545" s="1" t="n">
        <v>46255</v>
      </c>
      <c r="F545" t="inlineStr">
        <is>
          <t>JÖNKÖPINGS LÄN</t>
        </is>
      </c>
      <c r="G545" t="inlineStr">
        <is>
          <t>EKSJÖ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46255</v>
      </c>
      <c r="F546" t="inlineStr">
        <is>
          <t>JÖNKÖPINGS LÄN</t>
        </is>
      </c>
      <c r="G546" t="inlineStr">
        <is>
          <t>EKSJÖ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45777</v>
      </c>
      <c r="E547" s="1" t="n">
        <v>46255</v>
      </c>
      <c r="F547" t="inlineStr">
        <is>
          <t>JÖNKÖPINGS LÄN</t>
        </is>
      </c>
      <c r="G547" t="inlineStr">
        <is>
          <t>EKSJÖ</t>
        </is>
      </c>
      <c r="H547" t="inlineStr">
        <is>
          <t>Kommuner</t>
        </is>
      </c>
      <c r="I547" t="n">
        <v>9.6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45777</v>
      </c>
      <c r="E548" s="1" t="n">
        <v>46255</v>
      </c>
      <c r="F548" t="inlineStr">
        <is>
          <t>JÖNKÖPINGS LÄN</t>
        </is>
      </c>
      <c r="G548" t="inlineStr">
        <is>
          <t>EKSJÖ</t>
        </is>
      </c>
      <c r="H548" t="inlineStr">
        <is>
          <t>Kommuner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46255</v>
      </c>
      <c r="F549" t="inlineStr">
        <is>
          <t>JÖNKÖPINGS LÄN</t>
        </is>
      </c>
      <c r="G549" t="inlineStr">
        <is>
          <t>EKSJÖ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45779</v>
      </c>
      <c r="E550" s="1" t="n">
        <v>46255</v>
      </c>
      <c r="F550" t="inlineStr">
        <is>
          <t>JÖNKÖPINGS LÄN</t>
        </is>
      </c>
      <c r="G550" t="inlineStr">
        <is>
          <t>EKSJÖ</t>
        </is>
      </c>
      <c r="H550" t="inlineStr">
        <is>
          <t>Kommuner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46255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45637</v>
      </c>
      <c r="E552" s="1" t="n">
        <v>46255</v>
      </c>
      <c r="F552" t="inlineStr">
        <is>
          <t>JÖNKÖPINGS LÄN</t>
        </is>
      </c>
      <c r="G552" t="inlineStr">
        <is>
          <t>EKSJÖ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30394-2026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46255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31332-2026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46255</v>
      </c>
      <c r="F554" t="inlineStr">
        <is>
          <t>JÖNKÖPINGS LÄN</t>
        </is>
      </c>
      <c r="G554" t="inlineStr">
        <is>
          <t>EKSJÖ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46255</v>
      </c>
      <c r="F555" t="inlineStr">
        <is>
          <t>JÖNKÖPINGS LÄN</t>
        </is>
      </c>
      <c r="G555" t="inlineStr">
        <is>
          <t>EKSJÖ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42469-2023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46255</v>
      </c>
      <c r="F556" t="inlineStr">
        <is>
          <t>JÖNKÖPINGS LÄN</t>
        </is>
      </c>
      <c r="G556" t="inlineStr">
        <is>
          <t>EKSJÖ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46255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46255</v>
      </c>
      <c r="F558" t="inlineStr">
        <is>
          <t>JÖNKÖPINGS LÄN</t>
        </is>
      </c>
      <c r="G558" t="inlineStr">
        <is>
          <t>EKSJÖ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22574-2025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45786</v>
      </c>
      <c r="E559" s="1" t="n">
        <v>46255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22987-2025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45790</v>
      </c>
      <c r="E560" s="1" t="n">
        <v>46255</v>
      </c>
      <c r="F560" t="inlineStr">
        <is>
          <t>JÖNKÖPINGS LÄN</t>
        </is>
      </c>
      <c r="G560" t="inlineStr">
        <is>
          <t>EKSJÖ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45705</v>
      </c>
      <c r="E561" s="1" t="n">
        <v>46255</v>
      </c>
      <c r="F561" t="inlineStr">
        <is>
          <t>JÖNKÖPINGS LÄN</t>
        </is>
      </c>
      <c r="G561" t="inlineStr">
        <is>
          <t>EKSJÖ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35253-2024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45530</v>
      </c>
      <c r="E562" s="1" t="n">
        <v>46255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46255</v>
      </c>
      <c r="F563" t="inlineStr">
        <is>
          <t>JÖNKÖPINGS LÄN</t>
        </is>
      </c>
      <c r="G563" t="inlineStr">
        <is>
          <t>EKSJÖ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46255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45743-2024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46255</v>
      </c>
      <c r="F565" t="inlineStr">
        <is>
          <t>JÖNKÖPINGS LÄN</t>
        </is>
      </c>
      <c r="G565" t="inlineStr">
        <is>
          <t>EKSJÖ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45741</v>
      </c>
      <c r="E566" s="1" t="n">
        <v>46255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46255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45727</v>
      </c>
      <c r="E568" s="1" t="n">
        <v>46255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45743</v>
      </c>
      <c r="E569" s="1" t="n">
        <v>46255</v>
      </c>
      <c r="F569" t="inlineStr">
        <is>
          <t>JÖNKÖPINGS LÄN</t>
        </is>
      </c>
      <c r="G569" t="inlineStr">
        <is>
          <t>EKSJÖ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14382-2025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45741</v>
      </c>
      <c r="E570" s="1" t="n">
        <v>46255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14817-2025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45743</v>
      </c>
      <c r="E571" s="1" t="n">
        <v>46255</v>
      </c>
      <c r="F571" t="inlineStr">
        <is>
          <t>JÖNKÖPINGS LÄN</t>
        </is>
      </c>
      <c r="G571" t="inlineStr">
        <is>
          <t>EKSJÖ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46255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46255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46255</v>
      </c>
      <c r="F574" t="inlineStr">
        <is>
          <t>JÖNKÖPINGS LÄN</t>
        </is>
      </c>
      <c r="G574" t="inlineStr">
        <is>
          <t>EKSJÖ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56039-2024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45624</v>
      </c>
      <c r="E575" s="1" t="n">
        <v>46255</v>
      </c>
      <c r="F575" t="inlineStr">
        <is>
          <t>JÖNKÖPINGS LÄN</t>
        </is>
      </c>
      <c r="G575" t="inlineStr">
        <is>
          <t>EKSJÖ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13735-2025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45737</v>
      </c>
      <c r="E576" s="1" t="n">
        <v>46255</v>
      </c>
      <c r="F576" t="inlineStr">
        <is>
          <t>JÖNKÖPINGS LÄN</t>
        </is>
      </c>
      <c r="G576" t="inlineStr">
        <is>
          <t>EKSJÖ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34173-2024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45524</v>
      </c>
      <c r="E577" s="1" t="n">
        <v>46255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45091</v>
      </c>
      <c r="E578" s="1" t="n">
        <v>46255</v>
      </c>
      <c r="F578" t="inlineStr">
        <is>
          <t>JÖNKÖPINGS LÄN</t>
        </is>
      </c>
      <c r="G578" t="inlineStr">
        <is>
          <t>EKSJÖ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19856-2025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45771</v>
      </c>
      <c r="E579" s="1" t="n">
        <v>46255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46255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545-2024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46255</v>
      </c>
      <c r="F581" t="inlineStr">
        <is>
          <t>JÖNKÖPINGS LÄN</t>
        </is>
      </c>
      <c r="G581" t="inlineStr">
        <is>
          <t>EKSJÖ</t>
        </is>
      </c>
      <c r="I581" t="n">
        <v>40.5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538-2024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46255</v>
      </c>
      <c r="F582" t="inlineStr">
        <is>
          <t>JÖNKÖPINGS LÄN</t>
        </is>
      </c>
      <c r="G582" t="inlineStr">
        <is>
          <t>EKSJÖ</t>
        </is>
      </c>
      <c r="I582" t="n">
        <v>25.6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544-2024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46255</v>
      </c>
      <c r="F583" t="inlineStr">
        <is>
          <t>JÖNKÖPINGS LÄN</t>
        </is>
      </c>
      <c r="G583" t="inlineStr">
        <is>
          <t>EKSJÖ</t>
        </is>
      </c>
      <c r="I583" t="n">
        <v>37.3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549-2024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46255</v>
      </c>
      <c r="F584" t="inlineStr">
        <is>
          <t>JÖNKÖPINGS LÄN</t>
        </is>
      </c>
      <c r="G584" t="inlineStr">
        <is>
          <t>EKSJÖ</t>
        </is>
      </c>
      <c r="I584" t="n">
        <v>30.9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46255</v>
      </c>
      <c r="F585" t="inlineStr">
        <is>
          <t>JÖNKÖPINGS LÄN</t>
        </is>
      </c>
      <c r="G585" t="inlineStr">
        <is>
          <t>EKSJÖ</t>
        </is>
      </c>
      <c r="I585" t="n">
        <v>33.4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46255</v>
      </c>
      <c r="F586" t="inlineStr">
        <is>
          <t>JÖNKÖPINGS LÄN</t>
        </is>
      </c>
      <c r="G586" t="inlineStr">
        <is>
          <t>EKSJÖ</t>
        </is>
      </c>
      <c r="I586" t="n">
        <v>22.7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541-2024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46255</v>
      </c>
      <c r="F587" t="inlineStr">
        <is>
          <t>JÖNKÖPINGS LÄN</t>
        </is>
      </c>
      <c r="G587" t="inlineStr">
        <is>
          <t>EKSJÖ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2270-2023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46255</v>
      </c>
      <c r="F588" t="inlineStr">
        <is>
          <t>JÖNKÖPINGS LÄN</t>
        </is>
      </c>
      <c r="G588" t="inlineStr">
        <is>
          <t>EKSJÖ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4938-2024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45628</v>
      </c>
      <c r="E589" s="1" t="n">
        <v>46255</v>
      </c>
      <c r="F589" t="inlineStr">
        <is>
          <t>JÖNKÖPINGS LÄN</t>
        </is>
      </c>
      <c r="G589" t="inlineStr">
        <is>
          <t>EKSJÖ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546-2024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46255</v>
      </c>
      <c r="F590" t="inlineStr">
        <is>
          <t>JÖNKÖPINGS LÄN</t>
        </is>
      </c>
      <c r="G590" t="inlineStr">
        <is>
          <t>EKSJÖ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46255</v>
      </c>
      <c r="F591" t="inlineStr">
        <is>
          <t>JÖNKÖPINGS LÄN</t>
        </is>
      </c>
      <c r="G591" t="inlineStr">
        <is>
          <t>EKSJÖ</t>
        </is>
      </c>
      <c r="I591" t="n">
        <v>25.9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543-2024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46255</v>
      </c>
      <c r="F592" t="inlineStr">
        <is>
          <t>JÖNKÖPINGS LÄN</t>
        </is>
      </c>
      <c r="G592" t="inlineStr">
        <is>
          <t>EKSJÖ</t>
        </is>
      </c>
      <c r="I592" t="n">
        <v>21.4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1407-2023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46255</v>
      </c>
      <c r="F593" t="inlineStr">
        <is>
          <t>JÖNKÖPINGS LÄN</t>
        </is>
      </c>
      <c r="G593" t="inlineStr">
        <is>
          <t>EKSJÖ</t>
        </is>
      </c>
      <c r="I593" t="n">
        <v>60.7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539-2024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46255</v>
      </c>
      <c r="F594" t="inlineStr">
        <is>
          <t>JÖNKÖPINGS LÄN</t>
        </is>
      </c>
      <c r="G594" t="inlineStr">
        <is>
          <t>EKSJÖ</t>
        </is>
      </c>
      <c r="I594" t="n">
        <v>41.7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2244-2023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45100</v>
      </c>
      <c r="E595" s="1" t="n">
        <v>46255</v>
      </c>
      <c r="F595" t="inlineStr">
        <is>
          <t>JÖNKÖPINGS LÄN</t>
        </is>
      </c>
      <c r="G595" t="inlineStr">
        <is>
          <t>EKSJÖ</t>
        </is>
      </c>
      <c r="I595" t="n">
        <v>26.1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2704-2023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45155</v>
      </c>
      <c r="E596" s="1" t="n">
        <v>46255</v>
      </c>
      <c r="F596" t="inlineStr">
        <is>
          <t>JÖNKÖPINGS LÄN</t>
        </is>
      </c>
      <c r="G596" t="inlineStr">
        <is>
          <t>EKSJÖ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1298-2025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45770</v>
      </c>
      <c r="E597" s="1" t="n">
        <v>46255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949-2025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45741</v>
      </c>
      <c r="E598" s="1" t="n">
        <v>46255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583-2025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45712</v>
      </c>
      <c r="E599" s="1" t="n">
        <v>46255</v>
      </c>
      <c r="F599" t="inlineStr">
        <is>
          <t>JÖNKÖPINGS LÄN</t>
        </is>
      </c>
      <c r="G599" t="inlineStr">
        <is>
          <t>EKSJÖ</t>
        </is>
      </c>
      <c r="I599" t="n">
        <v>18.6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524-2025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45707</v>
      </c>
      <c r="E600" s="1" t="n">
        <v>46255</v>
      </c>
      <c r="F600" t="inlineStr">
        <is>
          <t>JÖNKÖPINGS LÄN</t>
        </is>
      </c>
      <c r="G600" t="inlineStr">
        <is>
          <t>EKSJÖ</t>
        </is>
      </c>
      <c r="I600" t="n">
        <v>114.6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1670-2025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45804</v>
      </c>
      <c r="E601" s="1" t="n">
        <v>46255</v>
      </c>
      <c r="F601" t="inlineStr">
        <is>
          <t>JÖNKÖPINGS LÄN</t>
        </is>
      </c>
      <c r="G601" t="inlineStr">
        <is>
          <t>EKSJÖ</t>
        </is>
      </c>
      <c r="I601" t="n">
        <v>21.5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2606-2025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45916</v>
      </c>
      <c r="E602" s="1" t="n">
        <v>46255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2834-2025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45940</v>
      </c>
      <c r="E603" s="1" t="n">
        <v>46255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1004-2026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46121</v>
      </c>
      <c r="E604" s="1" t="n">
        <v>46255</v>
      </c>
      <c r="F604" t="inlineStr">
        <is>
          <t>JÖNKÖPINGS LÄN</t>
        </is>
      </c>
      <c r="G604" t="inlineStr">
        <is>
          <t>EKSJÖ</t>
        </is>
      </c>
      <c r="I604" t="n">
        <v>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1412-2026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46154</v>
      </c>
      <c r="E605" s="1" t="n">
        <v>46255</v>
      </c>
      <c r="F605" t="inlineStr">
        <is>
          <t>JÖNKÖPINGS LÄN</t>
        </is>
      </c>
      <c r="G605" t="inlineStr">
        <is>
          <t>EKSJÖ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1521-2026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46166</v>
      </c>
      <c r="E606" s="1" t="n">
        <v>46255</v>
      </c>
      <c r="F606" t="inlineStr">
        <is>
          <t>JÖNKÖPINGS LÄN</t>
        </is>
      </c>
      <c r="G606" t="inlineStr">
        <is>
          <t>EKSJÖ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1826-2026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46255</v>
      </c>
      <c r="F607" t="inlineStr">
        <is>
          <t>JÖNKÖPINGS LÄN</t>
        </is>
      </c>
      <c r="G607" t="inlineStr">
        <is>
          <t>EKSJÖ</t>
        </is>
      </c>
      <c r="I607" t="n">
        <v>117.5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1825-2026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46255</v>
      </c>
      <c r="F608" t="inlineStr">
        <is>
          <t>JÖNKÖPINGS LÄN</t>
        </is>
      </c>
      <c r="G608" t="inlineStr">
        <is>
          <t>EKSJÖ</t>
        </is>
      </c>
      <c r="I608" t="n">
        <v>14.8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1842-2026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46153</v>
      </c>
      <c r="E609" s="1" t="n">
        <v>46255</v>
      </c>
      <c r="F609" t="inlineStr">
        <is>
          <t>JÖNKÖPINGS LÄN</t>
        </is>
      </c>
      <c r="G609" t="inlineStr">
        <is>
          <t>EKSJÖ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1973-2026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46210</v>
      </c>
      <c r="E610" s="1" t="n">
        <v>46255</v>
      </c>
      <c r="F610" t="inlineStr">
        <is>
          <t>JÖNKÖPINGS LÄN</t>
        </is>
      </c>
      <c r="G610" t="inlineStr">
        <is>
          <t>EKSJÖ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2026-08-21T01:50:28Z</dcterms:created>
  <dcterms:modified xmlns:dcterms="http://purl.org/dc/terms/" xmlns:xsi="http://www.w3.org/2001/XMLSchema-instance" xsi:type="dcterms:W3CDTF">2026-08-21T01:50:29Z</dcterms:modified>
</cp:coreProperties>
</file>