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46216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HYPERLINK("https://klasma.github.io/Logging_0686/knärot/S 1084-2023 karta knärot.png", "S 1084-2023")</f>
        <v/>
      </c>
      <c r="Y2">
        <f>HYPERLINK("https://klasma.github.io/Logging_0686/klagomål/S 1084-2023 FSC-klagomål.docx", "S 1084-2023")</f>
        <v/>
      </c>
      <c r="Z2">
        <f>HYPERLINK("https://klasma.github.io/Logging_0686/klagomålsmail/S 1084-2023 FSC-klagomål mail.docx", "S 1084-2023")</f>
        <v/>
      </c>
      <c r="AA2">
        <f>HYPERLINK("https://klasma.github.io/Logging_0686/tillsyn/S 1084-2023 tillsynsbegäran.docx", "S 1084-2023")</f>
        <v/>
      </c>
      <c r="AB2">
        <f>HYPERLINK("https://klasma.github.io/Logging_0686/tillsynsmail/S 1084-2023 tillsynsbegäran mail.docx", "S 1084-2023")</f>
        <v/>
      </c>
      <c r="AC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46216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Y3">
        <f>HYPERLINK("https://klasma.github.io/Logging_0686/klagomål/A 48030-2023 FSC-klagomål.docx", "A 48030-2023")</f>
        <v/>
      </c>
      <c r="Z3">
        <f>HYPERLINK("https://klasma.github.io/Logging_0686/klagomålsmail/A 48030-2023 FSC-klagomål mail.docx", "A 48030-2023")</f>
        <v/>
      </c>
      <c r="AA3">
        <f>HYPERLINK("https://klasma.github.io/Logging_0686/tillsyn/A 48030-2023 tillsynsbegäran.docx", "A 48030-2023")</f>
        <v/>
      </c>
      <c r="AB3">
        <f>HYPERLINK("https://klasma.github.io/Logging_0686/tillsynsmail/A 48030-2023 tillsynsbegäran mail.docx", "A 48030-2023")</f>
        <v/>
      </c>
      <c r="AC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46216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HYPERLINK("https://klasma.github.io/Logging_0686/knärot/A 30131-2023 karta knärot.png", "A 30131-2023")</f>
        <v/>
      </c>
      <c r="Y4">
        <f>HYPERLINK("https://klasma.github.io/Logging_0686/klagomål/A 30131-2023 FSC-klagomål.docx", "A 30131-2023")</f>
        <v/>
      </c>
      <c r="Z4">
        <f>HYPERLINK("https://klasma.github.io/Logging_0686/klagomålsmail/A 30131-2023 FSC-klagomål mail.docx", "A 30131-2023")</f>
        <v/>
      </c>
      <c r="AA4">
        <f>HYPERLINK("https://klasma.github.io/Logging_0686/tillsyn/A 30131-2023 tillsynsbegäran.docx", "A 30131-2023")</f>
        <v/>
      </c>
      <c r="AB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46216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Y5">
        <f>HYPERLINK("https://klasma.github.io/Logging_0686/klagomål/S 569-2025 FSC-klagomål.docx", "S 569-2025")</f>
        <v/>
      </c>
      <c r="Z5">
        <f>HYPERLINK("https://klasma.github.io/Logging_0686/klagomålsmail/S 569-2025 FSC-klagomål mail.docx", "S 569-2025")</f>
        <v/>
      </c>
      <c r="AA5">
        <f>HYPERLINK("https://klasma.github.io/Logging_0686/tillsyn/S 569-2025 tillsynsbegäran.docx", "S 569-2025")</f>
        <v/>
      </c>
      <c r="AB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46216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Brunlångöra
Nordfladdermus
Vattenfladdermus</t>
        </is>
      </c>
      <c r="V6">
        <f>HYPERLINK("https://klasma.github.io/Logging_0686/artfynd/A 12574-2023 artfynd.xlsx", "A 12574-2023")</f>
        <v/>
      </c>
      <c r="W6">
        <f>HYPERLINK("https://klasma.github.io/Logging_0686/kartor/A 12574-2023 karta.png", "A 12574-2023")</f>
        <v/>
      </c>
      <c r="Y6">
        <f>HYPERLINK("https://klasma.github.io/Logging_0686/klagomål/A 12574-2023 FSC-klagomål.docx", "A 12574-2023")</f>
        <v/>
      </c>
      <c r="Z6">
        <f>HYPERLINK("https://klasma.github.io/Logging_0686/klagomålsmail/A 12574-2023 FSC-klagomål mail.docx", "A 12574-2023")</f>
        <v/>
      </c>
      <c r="AA6">
        <f>HYPERLINK("https://klasma.github.io/Logging_0686/tillsyn/A 12574-2023 tillsynsbegäran.docx", "A 12574-2023")</f>
        <v/>
      </c>
      <c r="AB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46216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Stubbspretmossa
Terpentinmossa</t>
        </is>
      </c>
      <c r="V7">
        <f>HYPERLINK("https://klasma.github.io/Logging_0686/artfynd/A 65405-2021 artfynd.xlsx", "A 65405-2021")</f>
        <v/>
      </c>
      <c r="W7">
        <f>HYPERLINK("https://klasma.github.io/Logging_0686/kartor/A 65405-2021 karta.png", "A 65405-2021")</f>
        <v/>
      </c>
      <c r="Y7">
        <f>HYPERLINK("https://klasma.github.io/Logging_0686/klagomål/A 65405-2021 FSC-klagomål.docx", "A 65405-2021")</f>
        <v/>
      </c>
      <c r="Z7">
        <f>HYPERLINK("https://klasma.github.io/Logging_0686/klagomålsmail/A 65405-2021 FSC-klagomål mail.docx", "A 65405-2021")</f>
        <v/>
      </c>
      <c r="AA7">
        <f>HYPERLINK("https://klasma.github.io/Logging_0686/tillsyn/A 65405-2021 tillsynsbegäran.docx", "A 65405-2021")</f>
        <v/>
      </c>
      <c r="AB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46216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HYPERLINK("https://klasma.github.io/Logging_0686/knärot/S 2221-2024 karta knärot.png", "S 2221-2024")</f>
        <v/>
      </c>
      <c r="Y8">
        <f>HYPERLINK("https://klasma.github.io/Logging_0686/klagomål/S 2221-2024 FSC-klagomål.docx", "S 2221-2024")</f>
        <v/>
      </c>
      <c r="Z8">
        <f>HYPERLINK("https://klasma.github.io/Logging_0686/klagomålsmail/S 2221-2024 FSC-klagomål mail.docx", "S 2221-2024")</f>
        <v/>
      </c>
      <c r="AA8">
        <f>HYPERLINK("https://klasma.github.io/Logging_0686/tillsyn/S 2221-2024 tillsynsbegäran.docx", "S 2221-2024")</f>
        <v/>
      </c>
      <c r="AB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46216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HYPERLINK("https://klasma.github.io/Logging_0686/knärot/S 1650-2025 karta knärot.png", "S 1650-2025")</f>
        <v/>
      </c>
      <c r="Y9">
        <f>HYPERLINK("https://klasma.github.io/Logging_0686/klagomål/S 1650-2025 FSC-klagomål.docx", "S 1650-2025")</f>
        <v/>
      </c>
      <c r="Z9">
        <f>HYPERLINK("https://klasma.github.io/Logging_0686/klagomålsmail/S 1650-2025 FSC-klagomål mail.docx", "S 1650-2025")</f>
        <v/>
      </c>
      <c r="AA9">
        <f>HYPERLINK("https://klasma.github.io/Logging_0686/tillsyn/S 1650-2025 tillsynsbegäran.docx", "S 1650-2025")</f>
        <v/>
      </c>
      <c r="AB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46216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Y10">
        <f>HYPERLINK("https://klasma.github.io/Logging_0686/klagomål/S 1140-2026 FSC-klagomål.docx", "S 1140-2026")</f>
        <v/>
      </c>
      <c r="Z10">
        <f>HYPERLINK("https://klasma.github.io/Logging_0686/klagomålsmail/S 1140-2026 FSC-klagomål mail.docx", "S 1140-2026")</f>
        <v/>
      </c>
      <c r="AA10">
        <f>HYPERLINK("https://klasma.github.io/Logging_0686/tillsyn/S 1140-2026 tillsynsbegäran.docx", "S 1140-2026")</f>
        <v/>
      </c>
      <c r="AB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46216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Fjällig taggsvamp s.str.
Rökmusseron</t>
        </is>
      </c>
      <c r="V11">
        <f>HYPERLINK("https://klasma.github.io/Logging_0686/artfynd/A 19135-2025 artfynd.xlsx", "A 19135-2025")</f>
        <v/>
      </c>
      <c r="W11">
        <f>HYPERLINK("https://klasma.github.io/Logging_0686/kartor/A 19135-2025 karta.png", "A 19135-2025")</f>
        <v/>
      </c>
      <c r="Y11">
        <f>HYPERLINK("https://klasma.github.io/Logging_0686/klagomål/A 19135-2025 FSC-klagomål.docx", "A 19135-2025")</f>
        <v/>
      </c>
      <c r="Z11">
        <f>HYPERLINK("https://klasma.github.io/Logging_0686/klagomålsmail/A 19135-2025 FSC-klagomål mail.docx", "A 19135-2025")</f>
        <v/>
      </c>
      <c r="AA11">
        <f>HYPERLINK("https://klasma.github.io/Logging_0686/tillsyn/A 19135-2025 tillsynsbegäran.docx", "A 19135-2025")</f>
        <v/>
      </c>
      <c r="AB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46216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s="2" t="inlineStr">
        <is>
          <t>Svart trolldruva
Blåsippa</t>
        </is>
      </c>
      <c r="V12">
        <f>HYPERLINK("https://klasma.github.io/Logging_0686/artfynd/A 64978-2023 artfynd.xlsx", "A 64978-2023")</f>
        <v/>
      </c>
      <c r="W12">
        <f>HYPERLINK("https://klasma.github.io/Logging_0686/kartor/A 64978-2023 karta.png", "A 64978-2023")</f>
        <v/>
      </c>
      <c r="Y12">
        <f>HYPERLINK("https://klasma.github.io/Logging_0686/klagomål/A 64978-2023 FSC-klagomål.docx", "A 64978-2023")</f>
        <v/>
      </c>
      <c r="Z12">
        <f>HYPERLINK("https://klasma.github.io/Logging_0686/klagomålsmail/A 64978-2023 FSC-klagomål mail.docx", "A 64978-2023")</f>
        <v/>
      </c>
      <c r="AA12">
        <f>HYPERLINK("https://klasma.github.io/Logging_0686/tillsyn/A 64978-2023 tillsynsbegäran.docx", "A 64978-2023")</f>
        <v/>
      </c>
      <c r="AB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46216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Gulsparv
Björksplintborre</t>
        </is>
      </c>
      <c r="V13">
        <f>HYPERLINK("https://klasma.github.io/Logging_0686/artfynd/A 16876-2024 artfynd.xlsx", "A 16876-2024")</f>
        <v/>
      </c>
      <c r="W13">
        <f>HYPERLINK("https://klasma.github.io/Logging_0686/kartor/A 16876-2024 karta.png", "A 16876-2024")</f>
        <v/>
      </c>
      <c r="Y13">
        <f>HYPERLINK("https://klasma.github.io/Logging_0686/klagomål/A 16876-2024 FSC-klagomål.docx", "A 16876-2024")</f>
        <v/>
      </c>
      <c r="Z13">
        <f>HYPERLINK("https://klasma.github.io/Logging_0686/klagomålsmail/A 16876-2024 FSC-klagomål mail.docx", "A 16876-2024")</f>
        <v/>
      </c>
      <c r="AA13">
        <f>HYPERLINK("https://klasma.github.io/Logging_0686/tillsyn/A 16876-2024 tillsynsbegäran.docx", "A 16876-2024")</f>
        <v/>
      </c>
      <c r="AB13">
        <f>HYPERLINK("https://klasma.github.io/Logging_0686/tillsynsmail/A 16876-2024 tillsynsbegäran mail.docx", "A 16876-2024")</f>
        <v/>
      </c>
      <c r="AC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46216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Nordfladdermus
Större brunfladdermus</t>
        </is>
      </c>
      <c r="V14">
        <f>HYPERLINK("https://klasma.github.io/Logging_0686/artfynd/A 44585-2024 artfynd.xlsx", "A 44585-2024")</f>
        <v/>
      </c>
      <c r="W14">
        <f>HYPERLINK("https://klasma.github.io/Logging_0686/kartor/A 44585-2024 karta.png", "A 44585-2024")</f>
        <v/>
      </c>
      <c r="Y14">
        <f>HYPERLINK("https://klasma.github.io/Logging_0686/klagomål/A 44585-2024 FSC-klagomål.docx", "A 44585-2024")</f>
        <v/>
      </c>
      <c r="Z14">
        <f>HYPERLINK("https://klasma.github.io/Logging_0686/klagomålsmail/A 44585-2024 FSC-klagomål mail.docx", "A 44585-2024")</f>
        <v/>
      </c>
      <c r="AA14">
        <f>HYPERLINK("https://klasma.github.io/Logging_0686/tillsyn/A 44585-2024 tillsynsbegäran.docx", "A 44585-2024")</f>
        <v/>
      </c>
      <c r="AB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46216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Dvärghäxört
Springkorn</t>
        </is>
      </c>
      <c r="V15">
        <f>HYPERLINK("https://klasma.github.io/Logging_0686/artfynd/A 55636-2022 artfynd.xlsx", "A 55636-2022")</f>
        <v/>
      </c>
      <c r="W15">
        <f>HYPERLINK("https://klasma.github.io/Logging_0686/kartor/A 55636-2022 karta.png", "A 55636-2022")</f>
        <v/>
      </c>
      <c r="Y15">
        <f>HYPERLINK("https://klasma.github.io/Logging_0686/klagomål/A 55636-2022 FSC-klagomål.docx", "A 55636-2022")</f>
        <v/>
      </c>
      <c r="Z15">
        <f>HYPERLINK("https://klasma.github.io/Logging_0686/klagomålsmail/A 55636-2022 FSC-klagomål mail.docx", "A 55636-2022")</f>
        <v/>
      </c>
      <c r="AA15">
        <f>HYPERLINK("https://klasma.github.io/Logging_0686/tillsyn/A 55636-2022 tillsynsbegäran.docx", "A 55636-2022")</f>
        <v/>
      </c>
      <c r="AB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46216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HYPERLINK("https://klasma.github.io/Logging_0686/knärot/S 548-2024 karta knärot.png", "S 548-2024")</f>
        <v/>
      </c>
      <c r="Y16">
        <f>HYPERLINK("https://klasma.github.io/Logging_0686/klagomål/S 548-2024 FSC-klagomål.docx", "S 548-2024")</f>
        <v/>
      </c>
      <c r="Z16">
        <f>HYPERLINK("https://klasma.github.io/Logging_0686/klagomålsmail/S 548-2024 FSC-klagomål mail.docx", "S 548-2024")</f>
        <v/>
      </c>
      <c r="AA16">
        <f>HYPERLINK("https://klasma.github.io/Logging_0686/tillsyn/S 548-2024 tillsynsbegäran.docx", "S 548-2024")</f>
        <v/>
      </c>
      <c r="AB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46216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HYPERLINK("https://klasma.github.io/Logging_0686/knärot/S 2513-2023 karta knärot.png", "S 2513-2023")</f>
        <v/>
      </c>
      <c r="Y17">
        <f>HYPERLINK("https://klasma.github.io/Logging_0686/klagomål/S 2513-2023 FSC-klagomål.docx", "S 2513-2023")</f>
        <v/>
      </c>
      <c r="Z17">
        <f>HYPERLINK("https://klasma.github.io/Logging_0686/klagomålsmail/S 2513-2023 FSC-klagomål mail.docx", "S 2513-2023")</f>
        <v/>
      </c>
      <c r="AA17">
        <f>HYPERLINK("https://klasma.github.io/Logging_0686/tillsyn/S 2513-2023 tillsynsbegäran.docx", "S 2513-2023")</f>
        <v/>
      </c>
      <c r="AB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46216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Y18">
        <f>HYPERLINK("https://klasma.github.io/Logging_0686/klagomål/S 542-2024 FSC-klagomål.docx", "S 542-2024")</f>
        <v/>
      </c>
      <c r="Z18">
        <f>HYPERLINK("https://klasma.github.io/Logging_0686/klagomålsmail/S 542-2024 FSC-klagomål mail.docx", "S 542-2024")</f>
        <v/>
      </c>
      <c r="AA18">
        <f>HYPERLINK("https://klasma.github.io/Logging_0686/tillsyn/S 542-2024 tillsynsbegäran.docx", "S 542-2024")</f>
        <v/>
      </c>
      <c r="AB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46216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Y19">
        <f>HYPERLINK("https://klasma.github.io/Logging_0686/klagomål/S 2708-2025 FSC-klagomål.docx", "S 2708-2025")</f>
        <v/>
      </c>
      <c r="Z19">
        <f>HYPERLINK("https://klasma.github.io/Logging_0686/klagomålsmail/S 2708-2025 FSC-klagomål mail.docx", "S 2708-2025")</f>
        <v/>
      </c>
      <c r="AA19">
        <f>HYPERLINK("https://klasma.github.io/Logging_0686/tillsyn/S 2708-2025 tillsynsbegäran.docx", "S 2708-2025")</f>
        <v/>
      </c>
      <c r="AB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46216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Y20">
        <f>HYPERLINK("https://klasma.github.io/Logging_0686/klagomål/A 13839-2022 FSC-klagomål.docx", "A 13839-2022")</f>
        <v/>
      </c>
      <c r="Z20">
        <f>HYPERLINK("https://klasma.github.io/Logging_0686/klagomålsmail/A 13839-2022 FSC-klagomål mail.docx", "A 13839-2022")</f>
        <v/>
      </c>
      <c r="AA20">
        <f>HYPERLINK("https://klasma.github.io/Logging_0686/tillsyn/A 13839-2022 tillsynsbegäran.docx", "A 13839-2022")</f>
        <v/>
      </c>
      <c r="AB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46216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Y21">
        <f>HYPERLINK("https://klasma.github.io/Logging_0686/klagomål/A 58083-2021 FSC-klagomål.docx", "A 58083-2021")</f>
        <v/>
      </c>
      <c r="Z21">
        <f>HYPERLINK("https://klasma.github.io/Logging_0686/klagomålsmail/A 58083-2021 FSC-klagomål mail.docx", "A 58083-2021")</f>
        <v/>
      </c>
      <c r="AA21">
        <f>HYPERLINK("https://klasma.github.io/Logging_0686/tillsyn/A 58083-2021 tillsynsbegäran.docx", "A 58083-2021")</f>
        <v/>
      </c>
      <c r="AB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46216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Y22">
        <f>HYPERLINK("https://klasma.github.io/Logging_0686/klagomål/A 62904-2021 FSC-klagomål.docx", "A 62904-2021")</f>
        <v/>
      </c>
      <c r="Z22">
        <f>HYPERLINK("https://klasma.github.io/Logging_0686/klagomålsmail/A 62904-2021 FSC-klagomål mail.docx", "A 62904-2021")</f>
        <v/>
      </c>
      <c r="AA22">
        <f>HYPERLINK("https://klasma.github.io/Logging_0686/tillsyn/A 62904-2021 tillsynsbegäran.docx", "A 62904-2021")</f>
        <v/>
      </c>
      <c r="AB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46216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Fjällig taggsvamp s.str.</t>
        </is>
      </c>
      <c r="V23">
        <f>HYPERLINK("https://klasma.github.io/Logging_0686/artfynd/A 46852-2022 artfynd.xlsx", "A 46852-2022")</f>
        <v/>
      </c>
      <c r="W23">
        <f>HYPERLINK("https://klasma.github.io/Logging_0686/kartor/A 46852-2022 karta.png", "A 46852-2022")</f>
        <v/>
      </c>
      <c r="Y23">
        <f>HYPERLINK("https://klasma.github.io/Logging_0686/klagomål/A 46852-2022 FSC-klagomål.docx", "A 46852-2022")</f>
        <v/>
      </c>
      <c r="Z23">
        <f>HYPERLINK("https://klasma.github.io/Logging_0686/klagomålsmail/A 46852-2022 FSC-klagomål mail.docx", "A 46852-2022")</f>
        <v/>
      </c>
      <c r="AA23">
        <f>HYPERLINK("https://klasma.github.io/Logging_0686/tillsyn/A 46852-2022 tillsynsbegäran.docx", "A 46852-2022")</f>
        <v/>
      </c>
      <c r="AB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46216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HYPERLINK("https://klasma.github.io/Logging_0686/artfynd/A 72037-2021 artfynd.xlsx", "A 72037-2021")</f>
        <v/>
      </c>
      <c r="W24">
        <f>HYPERLINK("https://klasma.github.io/Logging_0686/kartor/A 72037-2021 karta.png", "A 72037-2021")</f>
        <v/>
      </c>
      <c r="Y24">
        <f>HYPERLINK("https://klasma.github.io/Logging_0686/klagomål/A 72037-2021 FSC-klagomål.docx", "A 72037-2021")</f>
        <v/>
      </c>
      <c r="Z24">
        <f>HYPERLINK("https://klasma.github.io/Logging_0686/klagomålsmail/A 72037-2021 FSC-klagomål mail.docx", "A 72037-2021")</f>
        <v/>
      </c>
      <c r="AA24">
        <f>HYPERLINK("https://klasma.github.io/Logging_0686/tillsyn/A 72037-2021 tillsynsbegäran.docx", "A 72037-2021")</f>
        <v/>
      </c>
      <c r="AB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46216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Blåsippa</t>
        </is>
      </c>
      <c r="V25">
        <f>HYPERLINK("https://klasma.github.io/Logging_0686/artfynd/A 4786-2024 artfynd.xlsx", "A 4786-2024")</f>
        <v/>
      </c>
      <c r="W25">
        <f>HYPERLINK("https://klasma.github.io/Logging_0686/kartor/A 4786-2024 karta.png", "A 4786-2024")</f>
        <v/>
      </c>
      <c r="Y25">
        <f>HYPERLINK("https://klasma.github.io/Logging_0686/klagomål/A 4786-2024 FSC-klagomål.docx", "A 4786-2024")</f>
        <v/>
      </c>
      <c r="Z25">
        <f>HYPERLINK("https://klasma.github.io/Logging_0686/klagomålsmail/A 4786-2024 FSC-klagomål mail.docx", "A 4786-2024")</f>
        <v/>
      </c>
      <c r="AA25">
        <f>HYPERLINK("https://klasma.github.io/Logging_0686/tillsyn/A 4786-2024 tillsynsbegäran.docx", "A 4786-2024")</f>
        <v/>
      </c>
      <c r="AB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46216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Loppstarr</t>
        </is>
      </c>
      <c r="V26">
        <f>HYPERLINK("https://klasma.github.io/Logging_0686/artfynd/A 4446-2023 artfynd.xlsx", "A 4446-2023")</f>
        <v/>
      </c>
      <c r="W26">
        <f>HYPERLINK("https://klasma.github.io/Logging_0686/kartor/A 4446-2023 karta.png", "A 4446-2023")</f>
        <v/>
      </c>
      <c r="Y26">
        <f>HYPERLINK("https://klasma.github.io/Logging_0686/klagomål/A 4446-2023 FSC-klagomål.docx", "A 4446-2023")</f>
        <v/>
      </c>
      <c r="Z26">
        <f>HYPERLINK("https://klasma.github.io/Logging_0686/klagomålsmail/A 4446-2023 FSC-klagomål mail.docx", "A 4446-2023")</f>
        <v/>
      </c>
      <c r="AA26">
        <f>HYPERLINK("https://klasma.github.io/Logging_0686/tillsyn/A 4446-2023 tillsynsbegäran.docx", "A 4446-2023")</f>
        <v/>
      </c>
      <c r="AB26">
        <f>HYPERLINK("https://klasma.github.io/Logging_0686/tillsynsmail/A 4446-2023 tillsynsbegäran mail.docx", "A 4446-2023")</f>
        <v/>
      </c>
    </row>
    <row r="27" ht="15" customHeight="1">
      <c r="A27" t="inlineStr">
        <is>
          <t>A 43356-2023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45183</v>
      </c>
      <c r="E27" s="1" t="n">
        <v>46216</v>
      </c>
      <c r="F27" t="inlineStr">
        <is>
          <t>JÖNKÖPINGS LÄN</t>
        </is>
      </c>
      <c r="G27" t="inlineStr">
        <is>
          <t>EKSJÖ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s="2" t="inlineStr">
        <is>
          <t>Ask</t>
        </is>
      </c>
      <c r="V27">
        <f>HYPERLINK("https://klasma.github.io/Logging_0686/artfynd/A 43356-2023 artfynd.xlsx", "A 43356-2023")</f>
        <v/>
      </c>
      <c r="W27">
        <f>HYPERLINK("https://klasma.github.io/Logging_0686/kartor/A 43356-2023 karta.png", "A 43356-2023")</f>
        <v/>
      </c>
      <c r="Y27">
        <f>HYPERLINK("https://klasma.github.io/Logging_0686/klagomål/A 43356-2023 FSC-klagomål.docx", "A 43356-2023")</f>
        <v/>
      </c>
      <c r="Z27">
        <f>HYPERLINK("https://klasma.github.io/Logging_0686/klagomålsmail/A 43356-2023 FSC-klagomål mail.docx", "A 43356-2023")</f>
        <v/>
      </c>
      <c r="AA27">
        <f>HYPERLINK("https://klasma.github.io/Logging_0686/tillsyn/A 43356-2023 tillsynsbegäran.docx", "A 43356-2023")</f>
        <v/>
      </c>
      <c r="AB27">
        <f>HYPERLINK("https://klasma.github.io/Logging_0686/tillsynsmail/A 43356-2023 tillsynsbegäran mail.docx", "A 43356-2023")</f>
        <v/>
      </c>
    </row>
    <row r="28" ht="15" customHeight="1">
      <c r="A28" t="inlineStr">
        <is>
          <t>A 5128-2024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46216</v>
      </c>
      <c r="F28" t="inlineStr">
        <is>
          <t>JÖNKÖPINGS LÄN</t>
        </is>
      </c>
      <c r="G28" t="inlineStr">
        <is>
          <t>EKSJÖ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s="2" t="inlineStr">
        <is>
          <t>Ask</t>
        </is>
      </c>
      <c r="V28">
        <f>HYPERLINK("https://klasma.github.io/Logging_0686/artfynd/A 5128-2024 artfynd.xlsx", "A 5128-2024")</f>
        <v/>
      </c>
      <c r="W28">
        <f>HYPERLINK("https://klasma.github.io/Logging_0686/kartor/A 5128-2024 karta.png", "A 5128-2024")</f>
        <v/>
      </c>
      <c r="Y28">
        <f>HYPERLINK("https://klasma.github.io/Logging_0686/klagomål/A 5128-2024 FSC-klagomål.docx", "A 5128-2024")</f>
        <v/>
      </c>
      <c r="Z28">
        <f>HYPERLINK("https://klasma.github.io/Logging_0686/klagomålsmail/A 5128-2024 FSC-klagomål mail.docx", "A 5128-2024")</f>
        <v/>
      </c>
      <c r="AA28">
        <f>HYPERLINK("https://klasma.github.io/Logging_0686/tillsyn/A 5128-2024 tillsynsbegäran.docx", "A 5128-2024")</f>
        <v/>
      </c>
      <c r="AB28">
        <f>HYPERLINK("https://klasma.github.io/Logging_0686/tillsynsmail/A 5128-2024 tillsynsbegäran mail.docx", "A 5128-2024")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46216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s="2" t="inlineStr">
        <is>
          <t>Ask</t>
        </is>
      </c>
      <c r="V29">
        <f>HYPERLINK("https://klasma.github.io/Logging_0686/artfynd/A 48033-2023 artfynd.xlsx", "A 48033-2023")</f>
        <v/>
      </c>
      <c r="W29">
        <f>HYPERLINK("https://klasma.github.io/Logging_0686/kartor/A 48033-2023 karta.png", "A 48033-2023")</f>
        <v/>
      </c>
      <c r="Y29">
        <f>HYPERLINK("https://klasma.github.io/Logging_0686/klagomål/A 48033-2023 FSC-klagomål.docx", "A 48033-2023")</f>
        <v/>
      </c>
      <c r="Z29">
        <f>HYPERLINK("https://klasma.github.io/Logging_0686/klagomålsmail/A 48033-2023 FSC-klagomål mail.docx", "A 48033-2023")</f>
        <v/>
      </c>
      <c r="AA29">
        <f>HYPERLINK("https://klasma.github.io/Logging_0686/tillsyn/A 48033-2023 tillsynsbegäran.docx", "A 48033-2023")</f>
        <v/>
      </c>
      <c r="AB29">
        <f>HYPERLINK("https://klasma.github.io/Logging_0686/tillsynsmail/A 48033-2023 tillsynsbegäran mail.docx", "A 48033-2023")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46216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Gränsticka</t>
        </is>
      </c>
      <c r="V30">
        <f>HYPERLINK("https://klasma.github.io/Logging_0686/artfynd/A 41029-2025 artfynd.xlsx", "A 41029-2025")</f>
        <v/>
      </c>
      <c r="W30">
        <f>HYPERLINK("https://klasma.github.io/Logging_0686/kartor/A 41029-2025 karta.png", "A 41029-2025")</f>
        <v/>
      </c>
      <c r="Y30">
        <f>HYPERLINK("https://klasma.github.io/Logging_0686/klagomål/A 41029-2025 FSC-klagomål.docx", "A 41029-2025")</f>
        <v/>
      </c>
      <c r="Z30">
        <f>HYPERLINK("https://klasma.github.io/Logging_0686/klagomålsmail/A 41029-2025 FSC-klagomål mail.docx", "A 41029-2025")</f>
        <v/>
      </c>
      <c r="AA30">
        <f>HYPERLINK("https://klasma.github.io/Logging_0686/tillsyn/A 41029-2025 tillsynsbegäran.docx", "A 41029-2025")</f>
        <v/>
      </c>
      <c r="AB30">
        <f>HYPERLINK("https://klasma.github.io/Logging_0686/tillsynsmail/A 41029-2025 tillsynsbegäran mail.docx", "A 41029-2025")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46216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Myggblomster</t>
        </is>
      </c>
      <c r="V31">
        <f>HYPERLINK("https://klasma.github.io/Logging_0686/artfynd/A 1073-2025 artfynd.xlsx", "A 1073-2025")</f>
        <v/>
      </c>
      <c r="W31">
        <f>HYPERLINK("https://klasma.github.io/Logging_0686/kartor/A 1073-2025 karta.png", "A 1073-2025")</f>
        <v/>
      </c>
      <c r="Y31">
        <f>HYPERLINK("https://klasma.github.io/Logging_0686/klagomål/A 1073-2025 FSC-klagomål.docx", "A 1073-2025")</f>
        <v/>
      </c>
      <c r="Z31">
        <f>HYPERLINK("https://klasma.github.io/Logging_0686/klagomålsmail/A 1073-2025 FSC-klagomål mail.docx", "A 1073-2025")</f>
        <v/>
      </c>
      <c r="AA31">
        <f>HYPERLINK("https://klasma.github.io/Logging_0686/tillsyn/A 1073-2025 tillsynsbegäran.docx", "A 1073-2025")</f>
        <v/>
      </c>
      <c r="AB31">
        <f>HYPERLINK("https://klasma.github.io/Logging_0686/tillsynsmail/A 1073-2025 tillsynsbegäran mail.docx", "A 1073-2025")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46216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Mindre vattensalamander</t>
        </is>
      </c>
      <c r="V32">
        <f>HYPERLINK("https://klasma.github.io/Logging_0686/artfynd/A 41746-2023 artfynd.xlsx", "A 41746-2023")</f>
        <v/>
      </c>
      <c r="W32">
        <f>HYPERLINK("https://klasma.github.io/Logging_0686/kartor/A 41746-2023 karta.png", "A 41746-2023")</f>
        <v/>
      </c>
      <c r="Y32">
        <f>HYPERLINK("https://klasma.github.io/Logging_0686/klagomål/A 41746-2023 FSC-klagomål.docx", "A 41746-2023")</f>
        <v/>
      </c>
      <c r="Z32">
        <f>HYPERLINK("https://klasma.github.io/Logging_0686/klagomålsmail/A 41746-2023 FSC-klagomål mail.docx", "A 41746-2023")</f>
        <v/>
      </c>
      <c r="AA32">
        <f>HYPERLINK("https://klasma.github.io/Logging_0686/tillsyn/A 41746-2023 tillsynsbegäran.docx", "A 41746-2023")</f>
        <v/>
      </c>
      <c r="AB32">
        <f>HYPERLINK("https://klasma.github.io/Logging_0686/tillsynsmail/A 41746-2023 tillsynsbegäran mail.docx", "A 41746-2023")</f>
        <v/>
      </c>
    </row>
    <row r="33" ht="15" customHeight="1">
      <c r="A33" t="inlineStr">
        <is>
          <t>A 47729-2022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46216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Tibast</t>
        </is>
      </c>
      <c r="V33">
        <f>HYPERLINK("https://klasma.github.io/Logging_0686/artfynd/A 47729-2022 artfynd.xlsx", "A 47729-2022")</f>
        <v/>
      </c>
      <c r="W33">
        <f>HYPERLINK("https://klasma.github.io/Logging_0686/kartor/A 47729-2022 karta.png", "A 47729-2022")</f>
        <v/>
      </c>
      <c r="Y33">
        <f>HYPERLINK("https://klasma.github.io/Logging_0686/klagomål/A 47729-2022 FSC-klagomål.docx", "A 47729-2022")</f>
        <v/>
      </c>
      <c r="Z33">
        <f>HYPERLINK("https://klasma.github.io/Logging_0686/klagomålsmail/A 47729-2022 FSC-klagomål mail.docx", "A 47729-2022")</f>
        <v/>
      </c>
      <c r="AA33">
        <f>HYPERLINK("https://klasma.github.io/Logging_0686/tillsyn/A 47729-2022 tillsynsbegäran.docx", "A 47729-2022")</f>
        <v/>
      </c>
      <c r="AB33">
        <f>HYPERLINK("https://klasma.github.io/Logging_0686/tillsynsmail/A 47729-2022 tillsynsbegäran mail.docx", "A 47729-2022")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46216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s="2" t="inlineStr">
        <is>
          <t>Ask</t>
        </is>
      </c>
      <c r="V34">
        <f>HYPERLINK("https://klasma.github.io/Logging_0686/artfynd/A 52446-2025 artfynd.xlsx", "A 52446-2025")</f>
        <v/>
      </c>
      <c r="W34">
        <f>HYPERLINK("https://klasma.github.io/Logging_0686/kartor/A 52446-2025 karta.png", "A 52446-2025")</f>
        <v/>
      </c>
      <c r="Y34">
        <f>HYPERLINK("https://klasma.github.io/Logging_0686/klagomål/A 52446-2025 FSC-klagomål.docx", "A 52446-2025")</f>
        <v/>
      </c>
      <c r="Z34">
        <f>HYPERLINK("https://klasma.github.io/Logging_0686/klagomålsmail/A 52446-2025 FSC-klagomål mail.docx", "A 52446-2025")</f>
        <v/>
      </c>
      <c r="AA34">
        <f>HYPERLINK("https://klasma.github.io/Logging_0686/tillsyn/A 52446-2025 tillsynsbegäran.docx", "A 52446-2025")</f>
        <v/>
      </c>
      <c r="AB34">
        <f>HYPERLINK("https://klasma.github.io/Logging_0686/tillsynsmail/A 52446-2025 tillsynsbegäran mail.docx", "A 52446-2025")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46216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Brunfläckig pärlemorfjäril</t>
        </is>
      </c>
      <c r="V35">
        <f>HYPERLINK("https://klasma.github.io/Logging_0686/artfynd/A 56410-2025 artfynd.xlsx", "A 56410-2025")</f>
        <v/>
      </c>
      <c r="W35">
        <f>HYPERLINK("https://klasma.github.io/Logging_0686/kartor/A 56410-2025 karta.png", "A 56410-2025")</f>
        <v/>
      </c>
      <c r="Y35">
        <f>HYPERLINK("https://klasma.github.io/Logging_0686/klagomål/A 56410-2025 FSC-klagomål.docx", "A 56410-2025")</f>
        <v/>
      </c>
      <c r="Z35">
        <f>HYPERLINK("https://klasma.github.io/Logging_0686/klagomålsmail/A 56410-2025 FSC-klagomål mail.docx", "A 56410-2025")</f>
        <v/>
      </c>
      <c r="AA35">
        <f>HYPERLINK("https://klasma.github.io/Logging_0686/tillsyn/A 56410-2025 tillsynsbegäran.docx", "A 56410-2025")</f>
        <v/>
      </c>
      <c r="AB35">
        <f>HYPERLINK("https://klasma.github.io/Logging_0686/tillsynsmail/A 56410-2025 tillsynsbegäran mail.docx", "A 56410-2025")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46216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Sotvaxskivling</t>
        </is>
      </c>
      <c r="V36">
        <f>HYPERLINK("https://klasma.github.io/Logging_0686/artfynd/A 10726-2024 artfynd.xlsx", "A 10726-2024")</f>
        <v/>
      </c>
      <c r="W36">
        <f>HYPERLINK("https://klasma.github.io/Logging_0686/kartor/A 10726-2024 karta.png", "A 10726-2024")</f>
        <v/>
      </c>
      <c r="Y36">
        <f>HYPERLINK("https://klasma.github.io/Logging_0686/klagomål/A 10726-2024 FSC-klagomål.docx", "A 10726-2024")</f>
        <v/>
      </c>
      <c r="Z36">
        <f>HYPERLINK("https://klasma.github.io/Logging_0686/klagomålsmail/A 10726-2024 FSC-klagomål mail.docx", "A 10726-2024")</f>
        <v/>
      </c>
      <c r="AA36">
        <f>HYPERLINK("https://klasma.github.io/Logging_0686/tillsyn/A 10726-2024 tillsynsbegäran.docx", "A 10726-2024")</f>
        <v/>
      </c>
      <c r="AB36">
        <f>HYPERLINK("https://klasma.github.io/Logging_0686/tillsynsmail/A 10726-2024 tillsynsbegäran mail.docx", "A 10726-2024")</f>
        <v/>
      </c>
    </row>
    <row r="37" ht="15" customHeight="1">
      <c r="A37" t="inlineStr">
        <is>
          <t>A 15419-2026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46106</v>
      </c>
      <c r="E37" s="1" t="n">
        <v>46216</v>
      </c>
      <c r="F37" t="inlineStr">
        <is>
          <t>JÖNKÖPINGS LÄN</t>
        </is>
      </c>
      <c r="G37" t="inlineStr">
        <is>
          <t>EKSJÖ</t>
        </is>
      </c>
      <c r="H37" t="inlineStr">
        <is>
          <t>Kommuner</t>
        </is>
      </c>
      <c r="I37" t="n">
        <v>4.1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Tibast</t>
        </is>
      </c>
      <c r="V37">
        <f>HYPERLINK("https://klasma.github.io/Logging_0686/artfynd/A 15419-2026 artfynd.xlsx", "A 15419-2026")</f>
        <v/>
      </c>
      <c r="W37">
        <f>HYPERLINK("https://klasma.github.io/Logging_0686/kartor/A 15419-2026 karta.png", "A 15419-2026")</f>
        <v/>
      </c>
      <c r="Y37">
        <f>HYPERLINK("https://klasma.github.io/Logging_0686/klagomål/A 15419-2026 FSC-klagomål.docx", "A 15419-2026")</f>
        <v/>
      </c>
      <c r="Z37">
        <f>HYPERLINK("https://klasma.github.io/Logging_0686/klagomålsmail/A 15419-2026 FSC-klagomål mail.docx", "A 15419-2026")</f>
        <v/>
      </c>
      <c r="AA37">
        <f>HYPERLINK("https://klasma.github.io/Logging_0686/tillsyn/A 15419-2026 tillsynsbegäran.docx", "A 15419-2026")</f>
        <v/>
      </c>
      <c r="AB37">
        <f>HYPERLINK("https://klasma.github.io/Logging_0686/tillsynsmail/A 15419-2026 tillsynsbegäran mail.docx", "A 15419-2026")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46216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Ask</t>
        </is>
      </c>
      <c r="V38">
        <f>HYPERLINK("https://klasma.github.io/Logging_0686/artfynd/A 38224-2023 artfynd.xlsx", "A 38224-2023")</f>
        <v/>
      </c>
      <c r="W38">
        <f>HYPERLINK("https://klasma.github.io/Logging_0686/kartor/A 38224-2023 karta.png", "A 38224-2023")</f>
        <v/>
      </c>
      <c r="Y38">
        <f>HYPERLINK("https://klasma.github.io/Logging_0686/klagomål/A 38224-2023 FSC-klagomål.docx", "A 38224-2023")</f>
        <v/>
      </c>
      <c r="Z38">
        <f>HYPERLINK("https://klasma.github.io/Logging_0686/klagomålsmail/A 38224-2023 FSC-klagomål mail.docx", "A 38224-2023")</f>
        <v/>
      </c>
      <c r="AA38">
        <f>HYPERLINK("https://klasma.github.io/Logging_0686/tillsyn/A 38224-2023 tillsynsbegäran.docx", "A 38224-2023")</f>
        <v/>
      </c>
      <c r="AB38">
        <f>HYPERLINK("https://klasma.github.io/Logging_0686/tillsynsmail/A 38224-2023 tillsynsbegäran mail.docx", "A 38224-2023")</f>
        <v/>
      </c>
    </row>
    <row r="39" ht="15" customHeight="1">
      <c r="A39" t="inlineStr">
        <is>
          <t>A 32830-2025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45839</v>
      </c>
      <c r="E39" s="1" t="n">
        <v>46216</v>
      </c>
      <c r="F39" t="inlineStr">
        <is>
          <t>JÖNKÖPINGS LÄN</t>
        </is>
      </c>
      <c r="G39" t="inlineStr">
        <is>
          <t>EKSJÖ</t>
        </is>
      </c>
      <c r="H39" t="inlineStr">
        <is>
          <t>Övriga Aktiebolag</t>
        </is>
      </c>
      <c r="I39" t="n">
        <v>3.3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Spindelblomster</t>
        </is>
      </c>
      <c r="V39">
        <f>HYPERLINK("https://klasma.github.io/Logging_0686/artfynd/A 32830-2025 artfynd.xlsx", "A 32830-2025")</f>
        <v/>
      </c>
      <c r="W39">
        <f>HYPERLINK("https://klasma.github.io/Logging_0686/kartor/A 32830-2025 karta.png", "A 32830-2025")</f>
        <v/>
      </c>
      <c r="Y39">
        <f>HYPERLINK("https://klasma.github.io/Logging_0686/klagomål/A 32830-2025 FSC-klagomål.docx", "A 32830-2025")</f>
        <v/>
      </c>
      <c r="Z39">
        <f>HYPERLINK("https://klasma.github.io/Logging_0686/klagomålsmail/A 32830-2025 FSC-klagomål mail.docx", "A 32830-2025")</f>
        <v/>
      </c>
      <c r="AA39">
        <f>HYPERLINK("https://klasma.github.io/Logging_0686/tillsyn/A 32830-2025 tillsynsbegäran.docx", "A 32830-2025")</f>
        <v/>
      </c>
      <c r="AB39">
        <f>HYPERLINK("https://klasma.github.io/Logging_0686/tillsynsmail/A 32830-2025 tillsynsbegäran mail.docx", "A 32830-2025")</f>
        <v/>
      </c>
    </row>
    <row r="40" ht="15" customHeight="1">
      <c r="A40" t="inlineStr">
        <is>
          <t>A 49412-2021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46216</v>
      </c>
      <c r="F40" t="inlineStr">
        <is>
          <t>JÖNKÖPINGS LÄN</t>
        </is>
      </c>
      <c r="G40" t="inlineStr">
        <is>
          <t>EKSJÖ</t>
        </is>
      </c>
      <c r="I40" t="n">
        <v>5.3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Ladusvala</t>
        </is>
      </c>
      <c r="V40">
        <f>HYPERLINK("https://klasma.github.io/Logging_0686/artfynd/A 49412-2021 artfynd.xlsx", "A 49412-2021")</f>
        <v/>
      </c>
      <c r="W40">
        <f>HYPERLINK("https://klasma.github.io/Logging_0686/kartor/A 49412-2021 karta.png", "A 49412-2021")</f>
        <v/>
      </c>
      <c r="Y40">
        <f>HYPERLINK("https://klasma.github.io/Logging_0686/klagomål/A 49412-2021 FSC-klagomål.docx", "A 49412-2021")</f>
        <v/>
      </c>
      <c r="Z40">
        <f>HYPERLINK("https://klasma.github.io/Logging_0686/klagomålsmail/A 49412-2021 FSC-klagomål mail.docx", "A 49412-2021")</f>
        <v/>
      </c>
      <c r="AA40">
        <f>HYPERLINK("https://klasma.github.io/Logging_0686/tillsyn/A 49412-2021 tillsynsbegäran.docx", "A 49412-2021")</f>
        <v/>
      </c>
      <c r="AB40">
        <f>HYPERLINK("https://klasma.github.io/Logging_0686/tillsynsmail/A 49412-2021 tillsynsbegäran mail.docx", "A 49412-2021")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46216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Gullklöver</t>
        </is>
      </c>
      <c r="V41">
        <f>HYPERLINK("https://klasma.github.io/Logging_0686/artfynd/A 58-2023 artfynd.xlsx", "A 58-2023")</f>
        <v/>
      </c>
      <c r="W41">
        <f>HYPERLINK("https://klasma.github.io/Logging_0686/kartor/A 58-2023 karta.png", "A 58-2023")</f>
        <v/>
      </c>
      <c r="Y41">
        <f>HYPERLINK("https://klasma.github.io/Logging_0686/klagomål/A 58-2023 FSC-klagomål.docx", "A 58-2023")</f>
        <v/>
      </c>
      <c r="Z41">
        <f>HYPERLINK("https://klasma.github.io/Logging_0686/klagomålsmail/A 58-2023 FSC-klagomål mail.docx", "A 58-2023")</f>
        <v/>
      </c>
      <c r="AA41">
        <f>HYPERLINK("https://klasma.github.io/Logging_0686/tillsyn/A 58-2023 tillsynsbegäran.docx", "A 58-2023")</f>
        <v/>
      </c>
      <c r="AB41">
        <f>HYPERLINK("https://klasma.github.io/Logging_0686/tillsynsmail/A 58-2023 tillsynsbegäran mail.docx", "A 58-2023")</f>
        <v/>
      </c>
    </row>
    <row r="42" ht="15" customHeight="1">
      <c r="A42" t="inlineStr">
        <is>
          <t>A 23519-2026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46163</v>
      </c>
      <c r="E42" s="1" t="n">
        <v>46216</v>
      </c>
      <c r="F42" t="inlineStr">
        <is>
          <t>JÖNKÖPINGS LÄN</t>
        </is>
      </c>
      <c r="G42" t="inlineStr">
        <is>
          <t>EKSJÖ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Svartvit flugsnappare</t>
        </is>
      </c>
      <c r="V42">
        <f>HYPERLINK("https://klasma.github.io/Logging_0686/artfynd/A 23519-2026 artfynd.xlsx", "A 23519-2026")</f>
        <v/>
      </c>
      <c r="W42">
        <f>HYPERLINK("https://klasma.github.io/Logging_0686/kartor/A 23519-2026 karta.png", "A 23519-2026")</f>
        <v/>
      </c>
      <c r="Y42">
        <f>HYPERLINK("https://klasma.github.io/Logging_0686/klagomål/A 23519-2026 FSC-klagomål.docx", "A 23519-2026")</f>
        <v/>
      </c>
      <c r="Z42">
        <f>HYPERLINK("https://klasma.github.io/Logging_0686/klagomålsmail/A 23519-2026 FSC-klagomål mail.docx", "A 23519-2026")</f>
        <v/>
      </c>
      <c r="AA42">
        <f>HYPERLINK("https://klasma.github.io/Logging_0686/tillsyn/A 23519-2026 tillsynsbegäran.docx", "A 23519-2026")</f>
        <v/>
      </c>
      <c r="AB42">
        <f>HYPERLINK("https://klasma.github.io/Logging_0686/tillsynsmail/A 23519-2026 tillsynsbegäran mail.docx", "A 23519-2026")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46216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Gröngöling</t>
        </is>
      </c>
      <c r="V43">
        <f>HYPERLINK("https://klasma.github.io/Logging_0686/artfynd/A 4964-2023 artfynd.xlsx", "A 4964-2023")</f>
        <v/>
      </c>
      <c r="W43">
        <f>HYPERLINK("https://klasma.github.io/Logging_0686/kartor/A 4964-2023 karta.png", "A 4964-2023")</f>
        <v/>
      </c>
      <c r="Y43">
        <f>HYPERLINK("https://klasma.github.io/Logging_0686/klagomål/A 4964-2023 FSC-klagomål.docx", "A 4964-2023")</f>
        <v/>
      </c>
      <c r="Z43">
        <f>HYPERLINK("https://klasma.github.io/Logging_0686/klagomålsmail/A 4964-2023 FSC-klagomål mail.docx", "A 4964-2023")</f>
        <v/>
      </c>
      <c r="AA43">
        <f>HYPERLINK("https://klasma.github.io/Logging_0686/tillsyn/A 4964-2023 tillsynsbegäran.docx", "A 4964-2023")</f>
        <v/>
      </c>
      <c r="AB43">
        <f>HYPERLINK("https://klasma.github.io/Logging_0686/tillsynsmail/A 4964-2023 tillsynsbegäran mail.docx", "A 4964-2023")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46216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Spindelört</t>
        </is>
      </c>
      <c r="V44">
        <f>HYPERLINK("https://klasma.github.io/Logging_0686/artfynd/A 23536-2026 artfynd.xlsx", "A 23536-2026")</f>
        <v/>
      </c>
      <c r="W44">
        <f>HYPERLINK("https://klasma.github.io/Logging_0686/kartor/A 23536-2026 karta.png", "A 23536-2026")</f>
        <v/>
      </c>
      <c r="Y44">
        <f>HYPERLINK("https://klasma.github.io/Logging_0686/klagomål/A 23536-2026 FSC-klagomål.docx", "A 23536-2026")</f>
        <v/>
      </c>
      <c r="Z44">
        <f>HYPERLINK("https://klasma.github.io/Logging_0686/klagomålsmail/A 23536-2026 FSC-klagomål mail.docx", "A 23536-2026")</f>
        <v/>
      </c>
      <c r="AA44">
        <f>HYPERLINK("https://klasma.github.io/Logging_0686/tillsyn/A 23536-2026 tillsynsbegäran.docx", "A 23536-2026")</f>
        <v/>
      </c>
      <c r="AB44">
        <f>HYPERLINK("https://klasma.github.io/Logging_0686/tillsynsmail/A 23536-2026 tillsynsbegäran mail.docx", "A 23536-2026")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46216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HYPERLINK("https://klasma.github.io/Logging_0686/artfynd/A 29121-2026 artfynd.xlsx", "A 29121-2026")</f>
        <v/>
      </c>
      <c r="W45">
        <f>HYPERLINK("https://klasma.github.io/Logging_0686/kartor/A 29121-2026 karta.png", "A 29121-2026")</f>
        <v/>
      </c>
      <c r="Y45">
        <f>HYPERLINK("https://klasma.github.io/Logging_0686/klagomål/A 29121-2026 FSC-klagomål.docx", "A 29121-2026")</f>
        <v/>
      </c>
      <c r="Z45">
        <f>HYPERLINK("https://klasma.github.io/Logging_0686/klagomålsmail/A 29121-2026 FSC-klagomål mail.docx", "A 29121-2026")</f>
        <v/>
      </c>
      <c r="AA45">
        <f>HYPERLINK("https://klasma.github.io/Logging_0686/tillsyn/A 29121-2026 tillsynsbegäran.docx", "A 29121-2026")</f>
        <v/>
      </c>
      <c r="AB45">
        <f>HYPERLINK("https://klasma.github.io/Logging_0686/tillsynsmail/A 29121-2026 tillsynsbegäran mail.docx", "A 29121-2026")</f>
        <v/>
      </c>
    </row>
    <row r="46" ht="15" customHeight="1">
      <c r="A46" t="inlineStr">
        <is>
          <t>A 18327-2024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45422</v>
      </c>
      <c r="E46" s="1" t="n">
        <v>46216</v>
      </c>
      <c r="F46" t="inlineStr">
        <is>
          <t>JÖNKÖPINGS LÄN</t>
        </is>
      </c>
      <c r="G46" t="inlineStr">
        <is>
          <t>EKSJÖ</t>
        </is>
      </c>
      <c r="H46" t="inlineStr">
        <is>
          <t>Sveaskog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Dvärgbägarlav</t>
        </is>
      </c>
      <c r="V46">
        <f>HYPERLINK("https://klasma.github.io/Logging_0686/artfynd/A 18327-2024 artfynd.xlsx", "A 18327-2024")</f>
        <v/>
      </c>
      <c r="W46">
        <f>HYPERLINK("https://klasma.github.io/Logging_0686/kartor/A 18327-2024 karta.png", "A 18327-2024")</f>
        <v/>
      </c>
      <c r="Y46">
        <f>HYPERLINK("https://klasma.github.io/Logging_0686/klagomål/A 18327-2024 FSC-klagomål.docx", "A 18327-2024")</f>
        <v/>
      </c>
      <c r="Z46">
        <f>HYPERLINK("https://klasma.github.io/Logging_0686/klagomålsmail/A 18327-2024 FSC-klagomål mail.docx", "A 18327-2024")</f>
        <v/>
      </c>
      <c r="AA46">
        <f>HYPERLINK("https://klasma.github.io/Logging_0686/tillsyn/A 18327-2024 tillsynsbegäran.docx", "A 18327-2024")</f>
        <v/>
      </c>
      <c r="AB46">
        <f>HYPERLINK("https://klasma.github.io/Logging_0686/tillsynsmail/A 18327-2024 tillsynsbegäran mail.docx", "A 18327-2024")</f>
        <v/>
      </c>
    </row>
    <row r="47" ht="15" customHeight="1">
      <c r="A47" t="inlineStr">
        <is>
          <t>A 5519-2024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45334</v>
      </c>
      <c r="E47" s="1" t="n">
        <v>46216</v>
      </c>
      <c r="F47" t="inlineStr">
        <is>
          <t>JÖNKÖPINGS LÄN</t>
        </is>
      </c>
      <c r="G47" t="inlineStr">
        <is>
          <t>EKSJÖ</t>
        </is>
      </c>
      <c r="H47" t="inlineStr">
        <is>
          <t>Kommuner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Igelkott</t>
        </is>
      </c>
      <c r="V47">
        <f>HYPERLINK("https://klasma.github.io/Logging_0686/artfynd/A 5519-2024 artfynd.xlsx", "A 5519-2024")</f>
        <v/>
      </c>
      <c r="W47">
        <f>HYPERLINK("https://klasma.github.io/Logging_0686/kartor/A 5519-2024 karta.png", "A 5519-2024")</f>
        <v/>
      </c>
      <c r="Y47">
        <f>HYPERLINK("https://klasma.github.io/Logging_0686/klagomål/A 5519-2024 FSC-klagomål.docx", "A 5519-2024")</f>
        <v/>
      </c>
      <c r="Z47">
        <f>HYPERLINK("https://klasma.github.io/Logging_0686/klagomålsmail/A 5519-2024 FSC-klagomål mail.docx", "A 5519-2024")</f>
        <v/>
      </c>
      <c r="AA47">
        <f>HYPERLINK("https://klasma.github.io/Logging_0686/tillsyn/A 5519-2024 tillsynsbegäran.docx", "A 5519-2024")</f>
        <v/>
      </c>
      <c r="AB47">
        <f>HYPERLINK("https://klasma.github.io/Logging_0686/tillsynsmail/A 5519-2024 tillsynsbegäran mail.docx", "A 5519-2024")</f>
        <v/>
      </c>
    </row>
    <row r="48" ht="15" customHeight="1">
      <c r="A48" t="inlineStr">
        <is>
          <t>S 3702-2024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45553</v>
      </c>
      <c r="E48" s="1" t="n">
        <v>46216</v>
      </c>
      <c r="F48" t="inlineStr">
        <is>
          <t>JÖNKÖPINGS LÄN</t>
        </is>
      </c>
      <c r="G48" t="inlineStr">
        <is>
          <t>EKSJÖ</t>
        </is>
      </c>
      <c r="I48" t="n">
        <v>3.6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Styvnate</t>
        </is>
      </c>
      <c r="V48">
        <f>HYPERLINK("https://klasma.github.io/Logging_0686/artfynd/S 3702-2024 artfynd.xlsx", "S 3702-2024")</f>
        <v/>
      </c>
      <c r="W48">
        <f>HYPERLINK("https://klasma.github.io/Logging_0686/kartor/S 3702-2024 karta.png", "S 3702-2024")</f>
        <v/>
      </c>
      <c r="Y48">
        <f>HYPERLINK("https://klasma.github.io/Logging_0686/klagomål/S 3702-2024 FSC-klagomål.docx", "S 3702-2024")</f>
        <v/>
      </c>
      <c r="Z48">
        <f>HYPERLINK("https://klasma.github.io/Logging_0686/klagomålsmail/S 3702-2024 FSC-klagomål mail.docx", "S 3702-2024")</f>
        <v/>
      </c>
      <c r="AA48">
        <f>HYPERLINK("https://klasma.github.io/Logging_0686/tillsyn/S 3702-2024 tillsynsbegäran.docx", "S 3702-2024")</f>
        <v/>
      </c>
      <c r="AB48">
        <f>HYPERLINK("https://klasma.github.io/Logging_0686/tillsynsmail/S 3702-2024 tillsynsbegäran mail.docx", "S 3702-2024")</f>
        <v/>
      </c>
    </row>
    <row r="49" ht="15" customHeight="1">
      <c r="A49" t="inlineStr">
        <is>
          <t>S 2100-2024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45453</v>
      </c>
      <c r="E49" s="1" t="n">
        <v>46216</v>
      </c>
      <c r="F49" t="inlineStr">
        <is>
          <t>JÖNKÖPINGS LÄN</t>
        </is>
      </c>
      <c r="G49" t="inlineStr">
        <is>
          <t>EKSJÖ</t>
        </is>
      </c>
      <c r="H49" t="inlineStr">
        <is>
          <t>Kyrkan</t>
        </is>
      </c>
      <c r="I49" t="n">
        <v>0.3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Brandticka</t>
        </is>
      </c>
      <c r="V49">
        <f>HYPERLINK("https://klasma.github.io/Logging_0686/artfynd/S 2100-2024 artfynd.xlsx", "S 2100-2024")</f>
        <v/>
      </c>
      <c r="W49">
        <f>HYPERLINK("https://klasma.github.io/Logging_0686/kartor/S 2100-2024 karta.png", "S 2100-2024")</f>
        <v/>
      </c>
      <c r="Y49">
        <f>HYPERLINK("https://klasma.github.io/Logging_0686/klagomål/S 2100-2024 FSC-klagomål.docx", "S 2100-2024")</f>
        <v/>
      </c>
      <c r="Z49">
        <f>HYPERLINK("https://klasma.github.io/Logging_0686/klagomålsmail/S 2100-2024 FSC-klagomål mail.docx", "S 2100-2024")</f>
        <v/>
      </c>
      <c r="AA49">
        <f>HYPERLINK("https://klasma.github.io/Logging_0686/tillsyn/S 2100-2024 tillsynsbegäran.docx", "S 2100-2024")</f>
        <v/>
      </c>
      <c r="AB49">
        <f>HYPERLINK("https://klasma.github.io/Logging_0686/tillsynsmail/S 2100-2024 tillsynsbegäran mail.docx", "S 2100-2024")</f>
        <v/>
      </c>
    </row>
    <row r="50" ht="15" customHeight="1">
      <c r="A50" t="inlineStr">
        <is>
          <t>S 3314-2023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45195</v>
      </c>
      <c r="E50" s="1" t="n">
        <v>46216</v>
      </c>
      <c r="F50" t="inlineStr">
        <is>
          <t>JÖNKÖPINGS LÄN</t>
        </is>
      </c>
      <c r="G50" t="inlineStr">
        <is>
          <t>EKSJÖ</t>
        </is>
      </c>
      <c r="I50" t="n">
        <v>16.3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3314-2023 artfynd.xlsx", "S 3314-2023")</f>
        <v/>
      </c>
      <c r="W50">
        <f>HYPERLINK("https://klasma.github.io/Logging_0686/kartor/S 3314-2023 karta.png", "S 3314-2023")</f>
        <v/>
      </c>
      <c r="Y50">
        <f>HYPERLINK("https://klasma.github.io/Logging_0686/klagomål/S 3314-2023 FSC-klagomål.docx", "S 3314-2023")</f>
        <v/>
      </c>
      <c r="Z50">
        <f>HYPERLINK("https://klasma.github.io/Logging_0686/klagomålsmail/S 3314-2023 FSC-klagomål mail.docx", "S 3314-2023")</f>
        <v/>
      </c>
      <c r="AA50">
        <f>HYPERLINK("https://klasma.github.io/Logging_0686/tillsyn/S 3314-2023 tillsynsbegäran.docx", "S 3314-2023")</f>
        <v/>
      </c>
      <c r="AB50">
        <f>HYPERLINK("https://klasma.github.io/Logging_0686/tillsynsmail/S 3314-2023 tillsynsbegäran mail.docx", "S 3314-2023")</f>
        <v/>
      </c>
    </row>
    <row r="51" ht="15" customHeight="1">
      <c r="A51" t="inlineStr">
        <is>
          <t>S 523-2025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45707</v>
      </c>
      <c r="E51" s="1" t="n">
        <v>46216</v>
      </c>
      <c r="F51" t="inlineStr">
        <is>
          <t>JÖNKÖPINGS LÄN</t>
        </is>
      </c>
      <c r="G51" t="inlineStr">
        <is>
          <t>EKSJÖ</t>
        </is>
      </c>
      <c r="I51" t="n">
        <v>22.9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Spindelört</t>
        </is>
      </c>
      <c r="V51">
        <f>HYPERLINK("https://klasma.github.io/Logging_0686/artfynd/S 523-2025 artfynd.xlsx", "S 523-2025")</f>
        <v/>
      </c>
      <c r="W51">
        <f>HYPERLINK("https://klasma.github.io/Logging_0686/kartor/S 523-2025 karta.png", "S 523-2025")</f>
        <v/>
      </c>
      <c r="Y51">
        <f>HYPERLINK("https://klasma.github.io/Logging_0686/klagomål/S 523-2025 FSC-klagomål.docx", "S 523-2025")</f>
        <v/>
      </c>
      <c r="Z51">
        <f>HYPERLINK("https://klasma.github.io/Logging_0686/klagomålsmail/S 523-2025 FSC-klagomål mail.docx", "S 523-2025")</f>
        <v/>
      </c>
      <c r="AA51">
        <f>HYPERLINK("https://klasma.github.io/Logging_0686/tillsyn/S 523-2025 tillsynsbegäran.docx", "S 523-2025")</f>
        <v/>
      </c>
      <c r="AB51">
        <f>HYPERLINK("https://klasma.github.io/Logging_0686/tillsynsmail/S 523-2025 tillsynsbegäran mail.docx", "S 523-2025")</f>
        <v/>
      </c>
    </row>
    <row r="52" ht="15" customHeight="1">
      <c r="A52" t="inlineStr">
        <is>
          <t>S 2968-2025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45954</v>
      </c>
      <c r="E52" s="1" t="n">
        <v>46216</v>
      </c>
      <c r="F52" t="inlineStr">
        <is>
          <t>JÖNKÖPINGS LÄN</t>
        </is>
      </c>
      <c r="G52" t="inlineStr">
        <is>
          <t>EKSJÖ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25</v>
      </c>
      <c r="U52" s="2" t="inlineStr">
        <is>
          <t>Ask</t>
        </is>
      </c>
      <c r="V52">
        <f>HYPERLINK("https://klasma.github.io/Logging_0686/artfynd/S 2968-2025 artfynd.xlsx", "S 2968-2025")</f>
        <v/>
      </c>
      <c r="W52">
        <f>HYPERLINK("https://klasma.github.io/Logging_0686/kartor/S 2968-2025 karta.png", "S 2968-2025")</f>
        <v/>
      </c>
      <c r="Y52">
        <f>HYPERLINK("https://klasma.github.io/Logging_0686/klagomål/S 2968-2025 FSC-klagomål.docx", "S 2968-2025")</f>
        <v/>
      </c>
      <c r="Z52">
        <f>HYPERLINK("https://klasma.github.io/Logging_0686/klagomålsmail/S 2968-2025 FSC-klagomål mail.docx", "S 2968-2025")</f>
        <v/>
      </c>
      <c r="AA52">
        <f>HYPERLINK("https://klasma.github.io/Logging_0686/tillsyn/S 2968-2025 tillsynsbegäran.docx", "S 2968-2025")</f>
        <v/>
      </c>
      <c r="AB52">
        <f>HYPERLINK("https://klasma.github.io/Logging_0686/tillsynsmail/S 2968-2025 tillsynsbegäran mail.docx", "S 2968-2025")</f>
        <v/>
      </c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46216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44781</v>
      </c>
      <c r="E54" s="1" t="n">
        <v>46216</v>
      </c>
      <c r="F54" t="inlineStr">
        <is>
          <t>JÖNKÖPINGS LÄN</t>
        </is>
      </c>
      <c r="G54" t="inlineStr">
        <is>
          <t>EKSJÖ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53109-2022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46216</v>
      </c>
      <c r="F55" t="inlineStr">
        <is>
          <t>JÖNKÖPINGS LÄN</t>
        </is>
      </c>
      <c r="G55" t="inlineStr">
        <is>
          <t>EKSJÖ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46216</v>
      </c>
      <c r="F56" t="inlineStr">
        <is>
          <t>JÖNKÖPINGS LÄN</t>
        </is>
      </c>
      <c r="G56" t="inlineStr">
        <is>
          <t>EKSJÖ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49435-2021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46216</v>
      </c>
      <c r="F57" t="inlineStr">
        <is>
          <t>JÖNKÖPINGS LÄN</t>
        </is>
      </c>
      <c r="G57" t="inlineStr">
        <is>
          <t>EKSJÖ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46216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29530-2022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46216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46216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42935-2021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44431</v>
      </c>
      <c r="E61" s="1" t="n">
        <v>46216</v>
      </c>
      <c r="F61" t="inlineStr">
        <is>
          <t>JÖNKÖPINGS LÄN</t>
        </is>
      </c>
      <c r="G61" t="inlineStr">
        <is>
          <t>EKSJÖ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46216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46216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57136-2021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46216</v>
      </c>
      <c r="F64" t="inlineStr">
        <is>
          <t>JÖNKÖPINGS LÄN</t>
        </is>
      </c>
      <c r="G64" t="inlineStr">
        <is>
          <t>EKSJÖ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36599-2021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44391</v>
      </c>
      <c r="E65" s="1" t="n">
        <v>46216</v>
      </c>
      <c r="F65" t="inlineStr">
        <is>
          <t>JÖNKÖPINGS LÄN</t>
        </is>
      </c>
      <c r="G65" t="inlineStr">
        <is>
          <t>EKSJÖ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67951-2021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46216</v>
      </c>
      <c r="F66" t="inlineStr">
        <is>
          <t>JÖNKÖPINGS LÄN</t>
        </is>
      </c>
      <c r="G66" t="inlineStr">
        <is>
          <t>EKSJÖ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44461</v>
      </c>
      <c r="E67" s="1" t="n">
        <v>46216</v>
      </c>
      <c r="F67" t="inlineStr">
        <is>
          <t>JÖNKÖPINGS LÄN</t>
        </is>
      </c>
      <c r="G67" t="inlineStr">
        <is>
          <t>EKSJÖ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48407-2021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46216</v>
      </c>
      <c r="F68" t="inlineStr">
        <is>
          <t>JÖNKÖPINGS LÄN</t>
        </is>
      </c>
      <c r="G68" t="inlineStr">
        <is>
          <t>EKSJÖ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46216</v>
      </c>
      <c r="F69" t="inlineStr">
        <is>
          <t>JÖNKÖPINGS LÄN</t>
        </is>
      </c>
      <c r="G69" t="inlineStr">
        <is>
          <t>EKSJÖ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46216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46216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60915-2021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46216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28022-2022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46216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46216</v>
      </c>
      <c r="F74" t="inlineStr">
        <is>
          <t>JÖNKÖPINGS LÄN</t>
        </is>
      </c>
      <c r="G74" t="inlineStr">
        <is>
          <t>EKSJÖ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52294-2022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44873</v>
      </c>
      <c r="E75" s="1" t="n">
        <v>46216</v>
      </c>
      <c r="F75" t="inlineStr">
        <is>
          <t>JÖNKÖPINGS LÄN</t>
        </is>
      </c>
      <c r="G75" t="inlineStr">
        <is>
          <t>EKSJÖ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65038-2021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46216</v>
      </c>
      <c r="F76" t="inlineStr">
        <is>
          <t>JÖNKÖPINGS LÄN</t>
        </is>
      </c>
      <c r="G76" t="inlineStr">
        <is>
          <t>EKSJÖ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45492-2022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44845</v>
      </c>
      <c r="E77" s="1" t="n">
        <v>46216</v>
      </c>
      <c r="F77" t="inlineStr">
        <is>
          <t>JÖNKÖPINGS LÄN</t>
        </is>
      </c>
      <c r="G77" t="inlineStr">
        <is>
          <t>EKSJÖ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14571-2022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46216</v>
      </c>
      <c r="F78" t="inlineStr">
        <is>
          <t>JÖNKÖPINGS LÄN</t>
        </is>
      </c>
      <c r="G78" t="inlineStr">
        <is>
          <t>EKSJÖ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10349-2022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44623</v>
      </c>
      <c r="E79" s="1" t="n">
        <v>46216</v>
      </c>
      <c r="F79" t="inlineStr">
        <is>
          <t>JÖNKÖPINGS LÄN</t>
        </is>
      </c>
      <c r="G79" t="inlineStr">
        <is>
          <t>EKSJÖ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43077-2021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44431</v>
      </c>
      <c r="E80" s="1" t="n">
        <v>46216</v>
      </c>
      <c r="F80" t="inlineStr">
        <is>
          <t>JÖNKÖPINGS LÄN</t>
        </is>
      </c>
      <c r="G80" t="inlineStr">
        <is>
          <t>EKSJÖ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32430-2022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44782</v>
      </c>
      <c r="E81" s="1" t="n">
        <v>46216</v>
      </c>
      <c r="F81" t="inlineStr">
        <is>
          <t>JÖNKÖPINGS LÄN</t>
        </is>
      </c>
      <c r="G81" t="inlineStr">
        <is>
          <t>EKSJÖ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26454-2022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46216</v>
      </c>
      <c r="F82" t="inlineStr">
        <is>
          <t>JÖNKÖPINGS LÄN</t>
        </is>
      </c>
      <c r="G82" t="inlineStr">
        <is>
          <t>EKSJÖ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56080-2021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46216</v>
      </c>
      <c r="F83" t="inlineStr">
        <is>
          <t>JÖNKÖPINGS LÄN</t>
        </is>
      </c>
      <c r="G83" t="inlineStr">
        <is>
          <t>EKSJÖ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44598</v>
      </c>
      <c r="E84" s="1" t="n">
        <v>46216</v>
      </c>
      <c r="F84" t="inlineStr">
        <is>
          <t>JÖNKÖPINGS LÄN</t>
        </is>
      </c>
      <c r="G84" t="inlineStr">
        <is>
          <t>EKSJÖ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45451-2021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46216</v>
      </c>
      <c r="F85" t="inlineStr">
        <is>
          <t>JÖNKÖPINGS LÄN</t>
        </is>
      </c>
      <c r="G85" t="inlineStr">
        <is>
          <t>EKSJÖ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59283-2021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46216</v>
      </c>
      <c r="F86" t="inlineStr">
        <is>
          <t>JÖNKÖPINGS LÄN</t>
        </is>
      </c>
      <c r="G86" t="inlineStr">
        <is>
          <t>EKSJÖ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73675-2021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44552</v>
      </c>
      <c r="E87" s="1" t="n">
        <v>46216</v>
      </c>
      <c r="F87" t="inlineStr">
        <is>
          <t>JÖNKÖPINGS LÄN</t>
        </is>
      </c>
      <c r="G87" t="inlineStr">
        <is>
          <t>EKSJÖ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56075-2021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46216</v>
      </c>
      <c r="F88" t="inlineStr">
        <is>
          <t>JÖNKÖPINGS LÄN</t>
        </is>
      </c>
      <c r="G88" t="inlineStr">
        <is>
          <t>EKSJÖ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51667-2021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46216</v>
      </c>
      <c r="F89" t="inlineStr">
        <is>
          <t>JÖNKÖPINGS LÄN</t>
        </is>
      </c>
      <c r="G89" t="inlineStr">
        <is>
          <t>EKSJÖ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42779-2021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44428</v>
      </c>
      <c r="E90" s="1" t="n">
        <v>46216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50489-2022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46216</v>
      </c>
      <c r="F91" t="inlineStr">
        <is>
          <t>JÖNKÖPINGS LÄN</t>
        </is>
      </c>
      <c r="G91" t="inlineStr">
        <is>
          <t>EKSJÖ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51123-2021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46216</v>
      </c>
      <c r="F92" t="inlineStr">
        <is>
          <t>JÖNKÖPINGS LÄN</t>
        </is>
      </c>
      <c r="G92" t="inlineStr">
        <is>
          <t>EKSJÖ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61343-2021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46216</v>
      </c>
      <c r="F93" t="inlineStr">
        <is>
          <t>JÖNKÖPINGS LÄN</t>
        </is>
      </c>
      <c r="G93" t="inlineStr">
        <is>
          <t>EKSJÖ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28039-2022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46216</v>
      </c>
      <c r="F94" t="inlineStr">
        <is>
          <t>JÖNKÖPINGS LÄN</t>
        </is>
      </c>
      <c r="G94" t="inlineStr">
        <is>
          <t>EKSJÖ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65645-2021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46216</v>
      </c>
      <c r="F95" t="inlineStr">
        <is>
          <t>JÖNKÖPINGS LÄN</t>
        </is>
      </c>
      <c r="G95" t="inlineStr">
        <is>
          <t>EKSJÖ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44592</v>
      </c>
      <c r="E96" s="1" t="n">
        <v>46216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9436-2022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46216</v>
      </c>
      <c r="F97" t="inlineStr">
        <is>
          <t>JÖNKÖPINGS LÄN</t>
        </is>
      </c>
      <c r="G97" t="inlineStr">
        <is>
          <t>EKSJÖ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20890-2022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44701</v>
      </c>
      <c r="E98" s="1" t="n">
        <v>46216</v>
      </c>
      <c r="F98" t="inlineStr">
        <is>
          <t>JÖNKÖPINGS LÄN</t>
        </is>
      </c>
      <c r="G98" t="inlineStr">
        <is>
          <t>EKSJÖ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52097-2021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46216</v>
      </c>
      <c r="F99" t="inlineStr">
        <is>
          <t>JÖNKÖPINGS LÄN</t>
        </is>
      </c>
      <c r="G99" t="inlineStr">
        <is>
          <t>EKSJÖ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46216</v>
      </c>
      <c r="F100" t="inlineStr">
        <is>
          <t>JÖNKÖPINGS LÄN</t>
        </is>
      </c>
      <c r="G100" t="inlineStr">
        <is>
          <t>EKSJÖ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54700-2022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44883</v>
      </c>
      <c r="E101" s="1" t="n">
        <v>46216</v>
      </c>
      <c r="F101" t="inlineStr">
        <is>
          <t>JÖNKÖPINGS LÄN</t>
        </is>
      </c>
      <c r="G101" t="inlineStr">
        <is>
          <t>EKSJÖ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52817-2021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46216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67308-2021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46216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55710-2021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44476</v>
      </c>
      <c r="E104" s="1" t="n">
        <v>46216</v>
      </c>
      <c r="F104" t="inlineStr">
        <is>
          <t>JÖNKÖPINGS LÄN</t>
        </is>
      </c>
      <c r="G104" t="inlineStr">
        <is>
          <t>EKSJÖ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28684-2022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44748</v>
      </c>
      <c r="E105" s="1" t="n">
        <v>46216</v>
      </c>
      <c r="F105" t="inlineStr">
        <is>
          <t>JÖNKÖPINGS LÄN</t>
        </is>
      </c>
      <c r="G105" t="inlineStr">
        <is>
          <t>EKSJÖ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44847</v>
      </c>
      <c r="E106" s="1" t="n">
        <v>46216</v>
      </c>
      <c r="F106" t="inlineStr">
        <is>
          <t>JÖNKÖPINGS LÄN</t>
        </is>
      </c>
      <c r="G106" t="inlineStr">
        <is>
          <t>EKSJÖ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40673-2021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46216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66930-2021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44522</v>
      </c>
      <c r="E108" s="1" t="n">
        <v>46216</v>
      </c>
      <c r="F108" t="inlineStr">
        <is>
          <t>JÖNKÖPINGS LÄN</t>
        </is>
      </c>
      <c r="G108" t="inlineStr">
        <is>
          <t>EKSJÖ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8335-2022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44610</v>
      </c>
      <c r="E109" s="1" t="n">
        <v>46216</v>
      </c>
      <c r="F109" t="inlineStr">
        <is>
          <t>JÖNKÖPINGS LÄN</t>
        </is>
      </c>
      <c r="G109" t="inlineStr">
        <is>
          <t>EKSJÖ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50495-2022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46216</v>
      </c>
      <c r="F110" t="inlineStr">
        <is>
          <t>JÖNKÖPINGS LÄN</t>
        </is>
      </c>
      <c r="G110" t="inlineStr">
        <is>
          <t>EKSJÖ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56471-2021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46216</v>
      </c>
      <c r="F111" t="inlineStr">
        <is>
          <t>JÖNKÖPINGS LÄN</t>
        </is>
      </c>
      <c r="G111" t="inlineStr">
        <is>
          <t>EKSJÖ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39277-2022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46216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44582</v>
      </c>
      <c r="E113" s="1" t="n">
        <v>46216</v>
      </c>
      <c r="F113" t="inlineStr">
        <is>
          <t>JÖNKÖPINGS LÄN</t>
        </is>
      </c>
      <c r="G113" t="inlineStr">
        <is>
          <t>EKSJÖ</t>
        </is>
      </c>
      <c r="H113" t="inlineStr">
        <is>
          <t>Kommuner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41791-2021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44425</v>
      </c>
      <c r="E114" s="1" t="n">
        <v>46216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46216</v>
      </c>
      <c r="F115" t="inlineStr">
        <is>
          <t>JÖNKÖPINGS LÄN</t>
        </is>
      </c>
      <c r="G115" t="inlineStr">
        <is>
          <t>EKSJÖ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53564-2022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46216</v>
      </c>
      <c r="F116" t="inlineStr">
        <is>
          <t>JÖNKÖPINGS LÄN</t>
        </is>
      </c>
      <c r="G116" t="inlineStr">
        <is>
          <t>EKSJÖ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11418-2022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46216</v>
      </c>
      <c r="F117" t="inlineStr">
        <is>
          <t>JÖNKÖPINGS LÄN</t>
        </is>
      </c>
      <c r="G117" t="inlineStr">
        <is>
          <t>EKSJÖ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28688-2022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46216</v>
      </c>
      <c r="F118" t="inlineStr">
        <is>
          <t>JÖNKÖPINGS LÄN</t>
        </is>
      </c>
      <c r="G118" t="inlineStr">
        <is>
          <t>EKSJÖ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9441-2022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46216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46216</v>
      </c>
      <c r="F120" t="inlineStr">
        <is>
          <t>JÖNKÖPINGS LÄN</t>
        </is>
      </c>
      <c r="G120" t="inlineStr">
        <is>
          <t>EKSJÖ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9281-2023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44980</v>
      </c>
      <c r="E121" s="1" t="n">
        <v>46216</v>
      </c>
      <c r="F121" t="inlineStr">
        <is>
          <t>JÖNKÖPINGS LÄN</t>
        </is>
      </c>
      <c r="G121" t="inlineStr">
        <is>
          <t>EKSJÖ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23868-2023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46216</v>
      </c>
      <c r="F122" t="inlineStr">
        <is>
          <t>JÖNKÖPINGS LÄN</t>
        </is>
      </c>
      <c r="G122" t="inlineStr">
        <is>
          <t>EKSJÖ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45016-2024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46216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59961-2022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46216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50498-2022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44861</v>
      </c>
      <c r="E125" s="1" t="n">
        <v>46216</v>
      </c>
      <c r="F125" t="inlineStr">
        <is>
          <t>JÖNKÖPINGS LÄN</t>
        </is>
      </c>
      <c r="G125" t="inlineStr">
        <is>
          <t>EKSJÖ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13273-2023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45003</v>
      </c>
      <c r="E126" s="1" t="n">
        <v>46216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46216</v>
      </c>
      <c r="F127" t="inlineStr">
        <is>
          <t>JÖNKÖPINGS LÄN</t>
        </is>
      </c>
      <c r="G127" t="inlineStr">
        <is>
          <t>EKSJÖ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44942</v>
      </c>
      <c r="E128" s="1" t="n">
        <v>46216</v>
      </c>
      <c r="F128" t="inlineStr">
        <is>
          <t>JÖNKÖPINGS LÄN</t>
        </is>
      </c>
      <c r="G128" t="inlineStr">
        <is>
          <t>EKSJÖ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36306-2023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46216</v>
      </c>
      <c r="F129" t="inlineStr">
        <is>
          <t>JÖNKÖPINGS LÄN</t>
        </is>
      </c>
      <c r="G129" t="inlineStr">
        <is>
          <t>EKSJÖ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58989-2022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46216</v>
      </c>
      <c r="F130" t="inlineStr">
        <is>
          <t>JÖNKÖPINGS LÄN</t>
        </is>
      </c>
      <c r="G130" t="inlineStr">
        <is>
          <t>EKSJÖ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39049-2021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44412</v>
      </c>
      <c r="E131" s="1" t="n">
        <v>46216</v>
      </c>
      <c r="F131" t="inlineStr">
        <is>
          <t>JÖNKÖPINGS LÄN</t>
        </is>
      </c>
      <c r="G131" t="inlineStr">
        <is>
          <t>EKSJÖ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60436-2024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46216</v>
      </c>
      <c r="F132" t="inlineStr">
        <is>
          <t>JÖNKÖPINGS LÄN</t>
        </is>
      </c>
      <c r="G132" t="inlineStr">
        <is>
          <t>EKSJÖ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44940</v>
      </c>
      <c r="E133" s="1" t="n">
        <v>46216</v>
      </c>
      <c r="F133" t="inlineStr">
        <is>
          <t>JÖNKÖPINGS LÄN</t>
        </is>
      </c>
      <c r="G133" t="inlineStr">
        <is>
          <t>EKSJÖ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2148-2023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44941</v>
      </c>
      <c r="E134" s="1" t="n">
        <v>46216</v>
      </c>
      <c r="F134" t="inlineStr">
        <is>
          <t>JÖNKÖPINGS LÄN</t>
        </is>
      </c>
      <c r="G134" t="inlineStr">
        <is>
          <t>EKSJÖ</t>
        </is>
      </c>
      <c r="H134" t="inlineStr">
        <is>
          <t>Övriga Aktiebolag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20485-2023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45057</v>
      </c>
      <c r="E135" s="1" t="n">
        <v>46216</v>
      </c>
      <c r="F135" t="inlineStr">
        <is>
          <t>JÖNKÖPINGS LÄN</t>
        </is>
      </c>
      <c r="G135" t="inlineStr">
        <is>
          <t>EKSJÖ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19682-2023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46216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61384-2023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46216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44949</v>
      </c>
      <c r="E138" s="1" t="n">
        <v>46216</v>
      </c>
      <c r="F138" t="inlineStr">
        <is>
          <t>JÖNKÖPINGS LÄN</t>
        </is>
      </c>
      <c r="G138" t="inlineStr">
        <is>
          <t>EKSJÖ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56563-2023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46216</v>
      </c>
      <c r="F139" t="inlineStr">
        <is>
          <t>JÖNKÖPINGS LÄN</t>
        </is>
      </c>
      <c r="G139" t="inlineStr">
        <is>
          <t>EKSJÖ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44925</v>
      </c>
      <c r="E140" s="1" t="n">
        <v>46216</v>
      </c>
      <c r="F140" t="inlineStr">
        <is>
          <t>JÖNKÖPINGS LÄN</t>
        </is>
      </c>
      <c r="G140" t="inlineStr">
        <is>
          <t>EKSJÖ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7372-2024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45345</v>
      </c>
      <c r="E141" s="1" t="n">
        <v>46216</v>
      </c>
      <c r="F141" t="inlineStr">
        <is>
          <t>JÖNKÖPINGS LÄN</t>
        </is>
      </c>
      <c r="G141" t="inlineStr">
        <is>
          <t>EKSJÖ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7262-2024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46216</v>
      </c>
      <c r="F142" t="inlineStr">
        <is>
          <t>JÖNKÖPINGS LÄN</t>
        </is>
      </c>
      <c r="G142" t="inlineStr">
        <is>
          <t>EKSJÖ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34098-2024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45523</v>
      </c>
      <c r="E143" s="1" t="n">
        <v>46216</v>
      </c>
      <c r="F143" t="inlineStr">
        <is>
          <t>JÖNKÖPINGS LÄN</t>
        </is>
      </c>
      <c r="G143" t="inlineStr">
        <is>
          <t>EKSJÖ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38040-2024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45544</v>
      </c>
      <c r="E144" s="1" t="n">
        <v>46216</v>
      </c>
      <c r="F144" t="inlineStr">
        <is>
          <t>JÖNKÖPINGS LÄN</t>
        </is>
      </c>
      <c r="G144" t="inlineStr">
        <is>
          <t>EKSJÖ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26419-2023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46216</v>
      </c>
      <c r="F145" t="inlineStr">
        <is>
          <t>JÖNKÖPINGS LÄN</t>
        </is>
      </c>
      <c r="G145" t="inlineStr">
        <is>
          <t>EKSJÖ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59852-2022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46216</v>
      </c>
      <c r="F146" t="inlineStr">
        <is>
          <t>JÖNKÖPINGS LÄN</t>
        </is>
      </c>
      <c r="G146" t="inlineStr">
        <is>
          <t>EKSJÖ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64541-2023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46216</v>
      </c>
      <c r="F147" t="inlineStr">
        <is>
          <t>JÖNKÖPINGS LÄN</t>
        </is>
      </c>
      <c r="G147" t="inlineStr">
        <is>
          <t>EKSJÖ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47987-2023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45204</v>
      </c>
      <c r="E148" s="1" t="n">
        <v>46216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16477-2024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46216</v>
      </c>
      <c r="F149" t="inlineStr">
        <is>
          <t>JÖNKÖPINGS LÄN</t>
        </is>
      </c>
      <c r="G149" t="inlineStr">
        <is>
          <t>EKSJÖ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55207-2023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46216</v>
      </c>
      <c r="F150" t="inlineStr">
        <is>
          <t>JÖNKÖPINGS LÄN</t>
        </is>
      </c>
      <c r="G150" t="inlineStr">
        <is>
          <t>EKSJÖ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50967-2021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44460</v>
      </c>
      <c r="E151" s="1" t="n">
        <v>46216</v>
      </c>
      <c r="F151" t="inlineStr">
        <is>
          <t>JÖNKÖPINGS LÄN</t>
        </is>
      </c>
      <c r="G151" t="inlineStr">
        <is>
          <t>EKSJÖ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9385-2025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46216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8571-2024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46216</v>
      </c>
      <c r="F153" t="inlineStr">
        <is>
          <t>JÖNKÖPINGS LÄN</t>
        </is>
      </c>
      <c r="G153" t="inlineStr">
        <is>
          <t>EKSJÖ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46216</v>
      </c>
      <c r="F154" t="inlineStr">
        <is>
          <t>JÖNKÖPINGS LÄN</t>
        </is>
      </c>
      <c r="G154" t="inlineStr">
        <is>
          <t>EKSJÖ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9429-2025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45715</v>
      </c>
      <c r="E155" s="1" t="n">
        <v>46216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35256-2024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46216</v>
      </c>
      <c r="F156" t="inlineStr">
        <is>
          <t>JÖNKÖPINGS LÄN</t>
        </is>
      </c>
      <c r="G156" t="inlineStr">
        <is>
          <t>EKSJÖ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40689-2024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46216</v>
      </c>
      <c r="F157" t="inlineStr">
        <is>
          <t>JÖNKÖPINGS LÄN</t>
        </is>
      </c>
      <c r="G157" t="inlineStr">
        <is>
          <t>EKSJÖ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45680</v>
      </c>
      <c r="E158" s="1" t="n">
        <v>46216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38198-2023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46216</v>
      </c>
      <c r="F159" t="inlineStr">
        <is>
          <t>JÖNKÖPINGS LÄN</t>
        </is>
      </c>
      <c r="G159" t="inlineStr">
        <is>
          <t>EKSJÖ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38199-2023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46216</v>
      </c>
      <c r="F160" t="inlineStr">
        <is>
          <t>JÖNKÖPINGS LÄN</t>
        </is>
      </c>
      <c r="G160" t="inlineStr">
        <is>
          <t>EKSJÖ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23534-2023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46216</v>
      </c>
      <c r="F161" t="inlineStr">
        <is>
          <t>JÖNKÖPINGS LÄN</t>
        </is>
      </c>
      <c r="G161" t="inlineStr">
        <is>
          <t>EKSJÖ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29773-2024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45485</v>
      </c>
      <c r="E162" s="1" t="n">
        <v>46216</v>
      </c>
      <c r="F162" t="inlineStr">
        <is>
          <t>JÖNKÖPINGS LÄN</t>
        </is>
      </c>
      <c r="G162" t="inlineStr">
        <is>
          <t>EKSJÖ</t>
        </is>
      </c>
      <c r="H162" t="inlineStr">
        <is>
          <t>Övriga Aktiebolag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55633-2022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46216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53987-2023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46216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46216</v>
      </c>
      <c r="F165" t="inlineStr">
        <is>
          <t>JÖNKÖPINGS LÄN</t>
        </is>
      </c>
      <c r="G165" t="inlineStr">
        <is>
          <t>EKSJÖ</t>
        </is>
      </c>
      <c r="H165" t="inlineStr">
        <is>
          <t>Sveaskog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14376-2025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46216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11957-2025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46216</v>
      </c>
      <c r="F167" t="inlineStr">
        <is>
          <t>JÖNKÖPINGS LÄN</t>
        </is>
      </c>
      <c r="G167" t="inlineStr">
        <is>
          <t>EKSJÖ</t>
        </is>
      </c>
      <c r="H167" t="inlineStr">
        <is>
          <t>Sveaskog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14427-2025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46216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27448-2023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45097</v>
      </c>
      <c r="E169" s="1" t="n">
        <v>46216</v>
      </c>
      <c r="F169" t="inlineStr">
        <is>
          <t>JÖNKÖPINGS LÄN</t>
        </is>
      </c>
      <c r="G169" t="inlineStr">
        <is>
          <t>EKSJÖ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14366-2025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46216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11669-2025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46216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25613-2024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46216</v>
      </c>
      <c r="F172" t="inlineStr">
        <is>
          <t>JÖNKÖPINGS LÄN</t>
        </is>
      </c>
      <c r="G172" t="inlineStr">
        <is>
          <t>EKSJÖ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9845-2025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45716</v>
      </c>
      <c r="E173" s="1" t="n">
        <v>46216</v>
      </c>
      <c r="F173" t="inlineStr">
        <is>
          <t>JÖNKÖPINGS LÄN</t>
        </is>
      </c>
      <c r="G173" t="inlineStr">
        <is>
          <t>EKSJÖ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27082-2023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46216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27086-2023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46216</v>
      </c>
      <c r="F175" t="inlineStr">
        <is>
          <t>JÖNKÖPINGS LÄN</t>
        </is>
      </c>
      <c r="G175" t="inlineStr">
        <is>
          <t>EKSJÖ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13735-2025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46216</v>
      </c>
      <c r="F176" t="inlineStr">
        <is>
          <t>JÖNKÖPINGS LÄN</t>
        </is>
      </c>
      <c r="G176" t="inlineStr">
        <is>
          <t>EKSJÖ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50410-2024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46216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46216</v>
      </c>
      <c r="F178" t="inlineStr">
        <is>
          <t>JÖNKÖPINGS LÄN</t>
        </is>
      </c>
      <c r="G178" t="inlineStr">
        <is>
          <t>EKSJÖ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35738-2024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46216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34173-2024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46216</v>
      </c>
      <c r="F180" t="inlineStr">
        <is>
          <t>JÖNKÖPINGS LÄN</t>
        </is>
      </c>
      <c r="G180" t="inlineStr">
        <is>
          <t>EKSJÖ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35617-2023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46216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27089-2025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46216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10045-2025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46216</v>
      </c>
      <c r="F183" t="inlineStr">
        <is>
          <t>JÖNKÖPINGS LÄN</t>
        </is>
      </c>
      <c r="G183" t="inlineStr">
        <is>
          <t>EKSJÖ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46216</v>
      </c>
      <c r="F184" t="inlineStr">
        <is>
          <t>JÖNKÖPINGS LÄN</t>
        </is>
      </c>
      <c r="G184" t="inlineStr">
        <is>
          <t>EKSJÖ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46216</v>
      </c>
      <c r="F185" t="inlineStr">
        <is>
          <t>JÖNKÖPINGS LÄN</t>
        </is>
      </c>
      <c r="G185" t="inlineStr">
        <is>
          <t>EKSJÖ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45686</v>
      </c>
      <c r="E186" s="1" t="n">
        <v>46216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26306-2023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46216</v>
      </c>
      <c r="F187" t="inlineStr">
        <is>
          <t>JÖNKÖPINGS LÄN</t>
        </is>
      </c>
      <c r="G187" t="inlineStr">
        <is>
          <t>EKSJÖ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46216</v>
      </c>
      <c r="F188" t="inlineStr">
        <is>
          <t>JÖNKÖPINGS LÄN</t>
        </is>
      </c>
      <c r="G188" t="inlineStr">
        <is>
          <t>EKSJÖ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33132-2025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46216</v>
      </c>
      <c r="F189" t="inlineStr">
        <is>
          <t>JÖNKÖPINGS LÄN</t>
        </is>
      </c>
      <c r="G189" t="inlineStr">
        <is>
          <t>EKSJÖ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19856-2025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46216</v>
      </c>
      <c r="F190" t="inlineStr">
        <is>
          <t>JÖNKÖPINGS LÄN</t>
        </is>
      </c>
      <c r="G190" t="inlineStr">
        <is>
          <t>EKSJÖ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34117-2025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46216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46216</v>
      </c>
      <c r="F192" t="inlineStr">
        <is>
          <t>JÖNKÖPINGS LÄN</t>
        </is>
      </c>
      <c r="G192" t="inlineStr">
        <is>
          <t>EKSJÖ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44574</v>
      </c>
      <c r="E193" s="1" t="n">
        <v>46216</v>
      </c>
      <c r="F193" t="inlineStr">
        <is>
          <t>JÖNKÖPINGS LÄN</t>
        </is>
      </c>
      <c r="G193" t="inlineStr">
        <is>
          <t>EKSJÖ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29653-2025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46216</v>
      </c>
      <c r="F194" t="inlineStr">
        <is>
          <t>JÖNKÖPINGS LÄN</t>
        </is>
      </c>
      <c r="G194" t="inlineStr">
        <is>
          <t>EKSJÖ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45714</v>
      </c>
      <c r="E195" s="1" t="n">
        <v>46216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58607-2023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46216</v>
      </c>
      <c r="F196" t="inlineStr">
        <is>
          <t>JÖNKÖPINGS LÄN</t>
        </is>
      </c>
      <c r="G196" t="inlineStr">
        <is>
          <t>EKSJÖ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46216</v>
      </c>
      <c r="F197" t="inlineStr">
        <is>
          <t>JÖNKÖPINGS LÄN</t>
        </is>
      </c>
      <c r="G197" t="inlineStr">
        <is>
          <t>EKSJÖ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46216</v>
      </c>
      <c r="F198" t="inlineStr">
        <is>
          <t>JÖNKÖPINGS LÄN</t>
        </is>
      </c>
      <c r="G198" t="inlineStr">
        <is>
          <t>EKSJÖ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28441-2025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46216</v>
      </c>
      <c r="F199" t="inlineStr">
        <is>
          <t>JÖNKÖPINGS LÄN</t>
        </is>
      </c>
      <c r="G199" t="inlineStr">
        <is>
          <t>EKSJÖ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43411-2022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44834</v>
      </c>
      <c r="E200" s="1" t="n">
        <v>46216</v>
      </c>
      <c r="F200" t="inlineStr">
        <is>
          <t>JÖNKÖPINGS LÄN</t>
        </is>
      </c>
      <c r="G200" t="inlineStr">
        <is>
          <t>EKSJÖ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46216</v>
      </c>
      <c r="F201" t="inlineStr">
        <is>
          <t>JÖNKÖPINGS LÄN</t>
        </is>
      </c>
      <c r="G201" t="inlineStr">
        <is>
          <t>EKSJÖ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46216</v>
      </c>
      <c r="F202" t="inlineStr">
        <is>
          <t>JÖNKÖPINGS LÄN</t>
        </is>
      </c>
      <c r="G202" t="inlineStr">
        <is>
          <t>EKSJÖ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28465-2025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46216</v>
      </c>
      <c r="F203" t="inlineStr">
        <is>
          <t>JÖNKÖPINGS LÄN</t>
        </is>
      </c>
      <c r="G203" t="inlineStr">
        <is>
          <t>EKSJÖ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46216</v>
      </c>
      <c r="F204" t="inlineStr">
        <is>
          <t>JÖNKÖPINGS LÄN</t>
        </is>
      </c>
      <c r="G204" t="inlineStr">
        <is>
          <t>EKSJÖ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29754-2024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45485</v>
      </c>
      <c r="E205" s="1" t="n">
        <v>46216</v>
      </c>
      <c r="F205" t="inlineStr">
        <is>
          <t>JÖNKÖPINGS LÄN</t>
        </is>
      </c>
      <c r="G205" t="inlineStr">
        <is>
          <t>EKSJÖ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41038-2025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46216</v>
      </c>
      <c r="F206" t="inlineStr">
        <is>
          <t>JÖNKÖPINGS LÄN</t>
        </is>
      </c>
      <c r="G206" t="inlineStr">
        <is>
          <t>EKSJÖ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17631-2024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45418</v>
      </c>
      <c r="E207" s="1" t="n">
        <v>46216</v>
      </c>
      <c r="F207" t="inlineStr">
        <is>
          <t>JÖNKÖPINGS LÄN</t>
        </is>
      </c>
      <c r="G207" t="inlineStr">
        <is>
          <t>EKSJÖ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41035-2025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46216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55656-2022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44888</v>
      </c>
      <c r="E209" s="1" t="n">
        <v>46216</v>
      </c>
      <c r="F209" t="inlineStr">
        <is>
          <t>JÖNKÖPINGS LÄN</t>
        </is>
      </c>
      <c r="G209" t="inlineStr">
        <is>
          <t>EKSJÖ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45911-2023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46216</v>
      </c>
      <c r="F210" t="inlineStr">
        <is>
          <t>JÖNKÖPINGS LÄN</t>
        </is>
      </c>
      <c r="G210" t="inlineStr">
        <is>
          <t>EKSJÖ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32361-2025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45837</v>
      </c>
      <c r="E211" s="1" t="n">
        <v>46216</v>
      </c>
      <c r="F211" t="inlineStr">
        <is>
          <t>JÖNKÖPINGS LÄN</t>
        </is>
      </c>
      <c r="G211" t="inlineStr">
        <is>
          <t>EKSJÖ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46216</v>
      </c>
      <c r="F212" t="inlineStr">
        <is>
          <t>JÖNKÖPINGS LÄN</t>
        </is>
      </c>
      <c r="G212" t="inlineStr">
        <is>
          <t>EKSJÖ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46216</v>
      </c>
      <c r="F213" t="inlineStr">
        <is>
          <t>JÖNKÖPINGS LÄN</t>
        </is>
      </c>
      <c r="G213" t="inlineStr">
        <is>
          <t>EKSJÖ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30137-2025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46216</v>
      </c>
      <c r="F214" t="inlineStr">
        <is>
          <t>JÖNKÖPINGS LÄN</t>
        </is>
      </c>
      <c r="G214" t="inlineStr">
        <is>
          <t>EKSJÖ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42897-2025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46216</v>
      </c>
      <c r="F215" t="inlineStr">
        <is>
          <t>JÖNKÖPINGS LÄN</t>
        </is>
      </c>
      <c r="G215" t="inlineStr">
        <is>
          <t>EKSJÖ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23869-2023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46216</v>
      </c>
      <c r="F216" t="inlineStr">
        <is>
          <t>JÖNKÖPINGS LÄN</t>
        </is>
      </c>
      <c r="G216" t="inlineStr">
        <is>
          <t>EKSJÖ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42929-2021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44431</v>
      </c>
      <c r="E217" s="1" t="n">
        <v>46216</v>
      </c>
      <c r="F217" t="inlineStr">
        <is>
          <t>JÖNKÖPINGS LÄN</t>
        </is>
      </c>
      <c r="G217" t="inlineStr">
        <is>
          <t>EKSJÖ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43407-2025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46216</v>
      </c>
      <c r="F218" t="inlineStr">
        <is>
          <t>JÖNKÖPINGS LÄN</t>
        </is>
      </c>
      <c r="G218" t="inlineStr">
        <is>
          <t>EKSJÖ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43587-2025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46216</v>
      </c>
      <c r="F219" t="inlineStr">
        <is>
          <t>JÖNKÖPINGS LÄN</t>
        </is>
      </c>
      <c r="G219" t="inlineStr">
        <is>
          <t>EKSJÖ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43568-2025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46216</v>
      </c>
      <c r="F220" t="inlineStr">
        <is>
          <t>JÖNKÖPINGS LÄN</t>
        </is>
      </c>
      <c r="G220" t="inlineStr">
        <is>
          <t>EKSJÖ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43586-2025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46216</v>
      </c>
      <c r="F221" t="inlineStr">
        <is>
          <t>JÖNKÖPINGS LÄN</t>
        </is>
      </c>
      <c r="G221" t="inlineStr">
        <is>
          <t>EKSJÖ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43561-2025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46216</v>
      </c>
      <c r="F222" t="inlineStr">
        <is>
          <t>JÖNKÖPINGS LÄN</t>
        </is>
      </c>
      <c r="G222" t="inlineStr">
        <is>
          <t>EKSJÖ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43584-2025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46216</v>
      </c>
      <c r="F223" t="inlineStr">
        <is>
          <t>JÖNKÖPINGS LÄN</t>
        </is>
      </c>
      <c r="G223" t="inlineStr">
        <is>
          <t>EKSJÖ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46216</v>
      </c>
      <c r="F224" t="inlineStr">
        <is>
          <t>JÖNKÖPINGS LÄN</t>
        </is>
      </c>
      <c r="G224" t="inlineStr">
        <is>
          <t>EKSJÖ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41440-2024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45560</v>
      </c>
      <c r="E225" s="1" t="n">
        <v>46216</v>
      </c>
      <c r="F225" t="inlineStr">
        <is>
          <t>JÖNKÖPINGS LÄN</t>
        </is>
      </c>
      <c r="G225" t="inlineStr">
        <is>
          <t>EKSJÖ</t>
        </is>
      </c>
      <c r="H225" t="inlineStr">
        <is>
          <t>Kyrkan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44090-2025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46216</v>
      </c>
      <c r="F226" t="inlineStr">
        <is>
          <t>JÖNKÖPINGS LÄN</t>
        </is>
      </c>
      <c r="G226" t="inlineStr">
        <is>
          <t>EKSJÖ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47989-2023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46216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36354-2022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44803</v>
      </c>
      <c r="E228" s="1" t="n">
        <v>46216</v>
      </c>
      <c r="F228" t="inlineStr">
        <is>
          <t>JÖNKÖPINGS LÄN</t>
        </is>
      </c>
      <c r="G228" t="inlineStr">
        <is>
          <t>EKSJÖ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32873-2025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46216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44526-2025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45916</v>
      </c>
      <c r="E230" s="1" t="n">
        <v>46216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57868-2024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45631</v>
      </c>
      <c r="E231" s="1" t="n">
        <v>46216</v>
      </c>
      <c r="F231" t="inlineStr">
        <is>
          <t>JÖNKÖPINGS LÄN</t>
        </is>
      </c>
      <c r="G231" t="inlineStr">
        <is>
          <t>EKSJÖ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9188-2024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46216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33609-2025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46216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33614-2025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46216</v>
      </c>
      <c r="F234" t="inlineStr">
        <is>
          <t>JÖNKÖPINGS LÄN</t>
        </is>
      </c>
      <c r="G234" t="inlineStr">
        <is>
          <t>EKSJÖ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41744-2023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45176</v>
      </c>
      <c r="E235" s="1" t="n">
        <v>46216</v>
      </c>
      <c r="F235" t="inlineStr">
        <is>
          <t>JÖNKÖPINGS LÄN</t>
        </is>
      </c>
      <c r="G235" t="inlineStr">
        <is>
          <t>EKSJÖ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46216</v>
      </c>
      <c r="F236" t="inlineStr">
        <is>
          <t>JÖNKÖPINGS LÄN</t>
        </is>
      </c>
      <c r="G236" t="inlineStr">
        <is>
          <t>EKSJÖ</t>
        </is>
      </c>
      <c r="H236" t="inlineStr">
        <is>
          <t>Övriga Aktiebolag</t>
        </is>
      </c>
      <c r="I236" t="n">
        <v>17.5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46216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57327-2023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46216</v>
      </c>
      <c r="F238" t="inlineStr">
        <is>
          <t>JÖNKÖPINGS LÄN</t>
        </is>
      </c>
      <c r="G238" t="inlineStr">
        <is>
          <t>EKSJÖ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33775-2025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46216</v>
      </c>
      <c r="F239" t="inlineStr">
        <is>
          <t>JÖNKÖPINGS LÄN</t>
        </is>
      </c>
      <c r="G239" t="inlineStr">
        <is>
          <t>EKSJÖ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34124-2025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46216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17636-2025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46216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33970-2025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46216</v>
      </c>
      <c r="F242" t="inlineStr">
        <is>
          <t>JÖNKÖPINGS LÄN</t>
        </is>
      </c>
      <c r="G242" t="inlineStr">
        <is>
          <t>EKSJÖ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46216</v>
      </c>
      <c r="F243" t="inlineStr">
        <is>
          <t>JÖNKÖPINGS LÄN</t>
        </is>
      </c>
      <c r="G243" t="inlineStr">
        <is>
          <t>EKSJÖ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46127-2025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46216</v>
      </c>
      <c r="F244" t="inlineStr">
        <is>
          <t>JÖNKÖPINGS LÄN</t>
        </is>
      </c>
      <c r="G244" t="inlineStr">
        <is>
          <t>EKSJÖ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38659-2023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46216</v>
      </c>
      <c r="F245" t="inlineStr">
        <is>
          <t>JÖNKÖPINGS LÄN</t>
        </is>
      </c>
      <c r="G245" t="inlineStr">
        <is>
          <t>EKSJÖ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46134-2025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46216</v>
      </c>
      <c r="F246" t="inlineStr">
        <is>
          <t>JÖNKÖPINGS LÄN</t>
        </is>
      </c>
      <c r="G246" t="inlineStr">
        <is>
          <t>EKSJÖ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22176-2025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46216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8057-2023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46216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46216</v>
      </c>
      <c r="F249" t="inlineStr">
        <is>
          <t>JÖNKÖPINGS LÄN</t>
        </is>
      </c>
      <c r="G249" t="inlineStr">
        <is>
          <t>EKSJÖ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24928-2024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46216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35785-2025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45860</v>
      </c>
      <c r="E251" s="1" t="n">
        <v>46216</v>
      </c>
      <c r="F251" t="inlineStr">
        <is>
          <t>JÖNKÖPINGS LÄN</t>
        </is>
      </c>
      <c r="G251" t="inlineStr">
        <is>
          <t>EKSJÖ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46037</v>
      </c>
      <c r="E252" s="1" t="n">
        <v>46216</v>
      </c>
      <c r="F252" t="inlineStr">
        <is>
          <t>JÖNKÖPINGS LÄN</t>
        </is>
      </c>
      <c r="G252" t="inlineStr">
        <is>
          <t>EKSJÖ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35784-2025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45860</v>
      </c>
      <c r="E253" s="1" t="n">
        <v>46216</v>
      </c>
      <c r="F253" t="inlineStr">
        <is>
          <t>JÖNKÖPINGS LÄN</t>
        </is>
      </c>
      <c r="G253" t="inlineStr">
        <is>
          <t>EKSJÖ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44580</v>
      </c>
      <c r="E254" s="1" t="n">
        <v>46216</v>
      </c>
      <c r="F254" t="inlineStr">
        <is>
          <t>JÖNKÖPINGS LÄN</t>
        </is>
      </c>
      <c r="G254" t="inlineStr">
        <is>
          <t>EKSJÖ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27422-2023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46216</v>
      </c>
      <c r="F255" t="inlineStr">
        <is>
          <t>JÖNKÖPINGS LÄN</t>
        </is>
      </c>
      <c r="G255" t="inlineStr">
        <is>
          <t>EKSJÖ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36148-2025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45866</v>
      </c>
      <c r="E256" s="1" t="n">
        <v>46216</v>
      </c>
      <c r="F256" t="inlineStr">
        <is>
          <t>JÖNKÖPINGS LÄN</t>
        </is>
      </c>
      <c r="G256" t="inlineStr">
        <is>
          <t>EKSJÖ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50299-2023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46216</v>
      </c>
      <c r="F257" t="inlineStr">
        <is>
          <t>JÖNKÖPINGS LÄN</t>
        </is>
      </c>
      <c r="G257" t="inlineStr">
        <is>
          <t>EKSJÖ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13906-2023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45008</v>
      </c>
      <c r="E258" s="1" t="n">
        <v>46216</v>
      </c>
      <c r="F258" t="inlineStr">
        <is>
          <t>JÖNKÖPINGS LÄN</t>
        </is>
      </c>
      <c r="G258" t="inlineStr">
        <is>
          <t>EKSJÖ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14350-2025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45741</v>
      </c>
      <c r="E259" s="1" t="n">
        <v>46216</v>
      </c>
      <c r="F259" t="inlineStr">
        <is>
          <t>JÖNKÖPINGS LÄN</t>
        </is>
      </c>
      <c r="G259" t="inlineStr">
        <is>
          <t>EKSJÖ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14420-2025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46216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43588-2025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46216</v>
      </c>
      <c r="F261" t="inlineStr">
        <is>
          <t>JÖNKÖPINGS LÄN</t>
        </is>
      </c>
      <c r="G261" t="inlineStr">
        <is>
          <t>EKSJÖ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45315</v>
      </c>
      <c r="E262" s="1" t="n">
        <v>46216</v>
      </c>
      <c r="F262" t="inlineStr">
        <is>
          <t>JÖNKÖPINGS LÄN</t>
        </is>
      </c>
      <c r="G262" t="inlineStr">
        <is>
          <t>EKSJÖ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36853-2025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46216</v>
      </c>
      <c r="F263" t="inlineStr">
        <is>
          <t>JÖNKÖPINGS LÄN</t>
        </is>
      </c>
      <c r="G263" t="inlineStr">
        <is>
          <t>EKSJÖ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17556-2023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45036</v>
      </c>
      <c r="E264" s="1" t="n">
        <v>46216</v>
      </c>
      <c r="F264" t="inlineStr">
        <is>
          <t>JÖNKÖPINGS LÄN</t>
        </is>
      </c>
      <c r="G264" t="inlineStr">
        <is>
          <t>EKSJÖ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37173-2025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45875</v>
      </c>
      <c r="E265" s="1" t="n">
        <v>46216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45875</v>
      </c>
      <c r="E266" s="1" t="n">
        <v>46216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37519-2025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45877</v>
      </c>
      <c r="E267" s="1" t="n">
        <v>46216</v>
      </c>
      <c r="F267" t="inlineStr">
        <is>
          <t>JÖNKÖPINGS LÄN</t>
        </is>
      </c>
      <c r="G267" t="inlineStr">
        <is>
          <t>EKSJÖ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28438-2025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46216</v>
      </c>
      <c r="F268" t="inlineStr">
        <is>
          <t>JÖNKÖPINGS LÄN</t>
        </is>
      </c>
      <c r="G268" t="inlineStr">
        <is>
          <t>EKSJÖ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33971-2025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46216</v>
      </c>
      <c r="F269" t="inlineStr">
        <is>
          <t>JÖNKÖPINGS LÄN</t>
        </is>
      </c>
      <c r="G269" t="inlineStr">
        <is>
          <t>EKSJÖ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49862-2025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46216</v>
      </c>
      <c r="F270" t="inlineStr">
        <is>
          <t>JÖNKÖPINGS LÄN</t>
        </is>
      </c>
      <c r="G270" t="inlineStr">
        <is>
          <t>EKSJÖ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46216</v>
      </c>
      <c r="F271" t="inlineStr">
        <is>
          <t>JÖNKÖPINGS LÄN</t>
        </is>
      </c>
      <c r="G271" t="inlineStr">
        <is>
          <t>EKSJÖ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46216</v>
      </c>
      <c r="F272" t="inlineStr">
        <is>
          <t>JÖNKÖPINGS LÄN</t>
        </is>
      </c>
      <c r="G272" t="inlineStr">
        <is>
          <t>EKSJÖ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46216</v>
      </c>
      <c r="F273" t="inlineStr">
        <is>
          <t>JÖNKÖPINGS LÄN</t>
        </is>
      </c>
      <c r="G273" t="inlineStr">
        <is>
          <t>EKSJÖ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64419-2021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44511</v>
      </c>
      <c r="E274" s="1" t="n">
        <v>46216</v>
      </c>
      <c r="F274" t="inlineStr">
        <is>
          <t>JÖNKÖPINGS LÄN</t>
        </is>
      </c>
      <c r="G274" t="inlineStr">
        <is>
          <t>EKSJÖ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50289-2025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46216</v>
      </c>
      <c r="F275" t="inlineStr">
        <is>
          <t>JÖNKÖPINGS LÄN</t>
        </is>
      </c>
      <c r="G275" t="inlineStr">
        <is>
          <t>EKSJÖ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50804-2025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46216</v>
      </c>
      <c r="F276" t="inlineStr">
        <is>
          <t>JÖNKÖPINGS LÄN</t>
        </is>
      </c>
      <c r="G276" t="inlineStr">
        <is>
          <t>EKSJÖ</t>
        </is>
      </c>
      <c r="H276" t="inlineStr">
        <is>
          <t>Övriga Aktiebolag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43483-2023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46216</v>
      </c>
      <c r="F277" t="inlineStr">
        <is>
          <t>JÖNKÖPINGS LÄN</t>
        </is>
      </c>
      <c r="G277" t="inlineStr">
        <is>
          <t>EKSJÖ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32333-2022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44781</v>
      </c>
      <c r="E278" s="1" t="n">
        <v>46216</v>
      </c>
      <c r="F278" t="inlineStr">
        <is>
          <t>JÖNKÖPINGS LÄN</t>
        </is>
      </c>
      <c r="G278" t="inlineStr">
        <is>
          <t>EKSJÖ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32336-2022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44781</v>
      </c>
      <c r="E279" s="1" t="n">
        <v>46216</v>
      </c>
      <c r="F279" t="inlineStr">
        <is>
          <t>JÖNKÖPINGS LÄN</t>
        </is>
      </c>
      <c r="G279" t="inlineStr">
        <is>
          <t>EKSJÖ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45944</v>
      </c>
      <c r="E280" s="1" t="n">
        <v>46216</v>
      </c>
      <c r="F280" t="inlineStr">
        <is>
          <t>JÖNKÖPINGS LÄN</t>
        </is>
      </c>
      <c r="G280" t="inlineStr">
        <is>
          <t>EKSJÖ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54292-2023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45232</v>
      </c>
      <c r="E281" s="1" t="n">
        <v>46216</v>
      </c>
      <c r="F281" t="inlineStr">
        <is>
          <t>JÖNKÖPINGS LÄN</t>
        </is>
      </c>
      <c r="G281" t="inlineStr">
        <is>
          <t>EKSJÖ</t>
        </is>
      </c>
      <c r="I281" t="n">
        <v>18.3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50519-2025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46216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56322-2021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44477</v>
      </c>
      <c r="E283" s="1" t="n">
        <v>46216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19469-2025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45770</v>
      </c>
      <c r="E284" s="1" t="n">
        <v>46216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45770</v>
      </c>
      <c r="E285" s="1" t="n">
        <v>46216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52566-2025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46216</v>
      </c>
      <c r="F286" t="inlineStr">
        <is>
          <t>JÖNKÖPINGS LÄN</t>
        </is>
      </c>
      <c r="G286" t="inlineStr">
        <is>
          <t>EKSJÖ</t>
        </is>
      </c>
      <c r="H286" t="inlineStr">
        <is>
          <t>Kyrkan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46216</v>
      </c>
      <c r="F287" t="inlineStr">
        <is>
          <t>JÖNKÖPINGS LÄN</t>
        </is>
      </c>
      <c r="G287" t="inlineStr">
        <is>
          <t>EKSJÖ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4348-2026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46216</v>
      </c>
      <c r="F288" t="inlineStr">
        <is>
          <t>JÖNKÖPINGS LÄN</t>
        </is>
      </c>
      <c r="G288" t="inlineStr">
        <is>
          <t>EKSJÖ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52570-2025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46216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52571-2025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46216</v>
      </c>
      <c r="F290" t="inlineStr">
        <is>
          <t>JÖNKÖPINGS LÄN</t>
        </is>
      </c>
      <c r="G290" t="inlineStr">
        <is>
          <t>EKSJÖ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46216</v>
      </c>
      <c r="F291" t="inlineStr">
        <is>
          <t>JÖNKÖPINGS LÄN</t>
        </is>
      </c>
      <c r="G291" t="inlineStr">
        <is>
          <t>EKSJÖ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54292-2023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45232</v>
      </c>
      <c r="E292" s="1" t="n">
        <v>46216</v>
      </c>
      <c r="F292" t="inlineStr">
        <is>
          <t>JÖNKÖPINGS LÄN</t>
        </is>
      </c>
      <c r="G292" t="inlineStr">
        <is>
          <t>EKSJÖ</t>
        </is>
      </c>
      <c r="I292" t="n">
        <v>18.3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53479-2023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46216</v>
      </c>
      <c r="F293" t="inlineStr">
        <is>
          <t>JÖNKÖPINGS LÄN</t>
        </is>
      </c>
      <c r="G293" t="inlineStr">
        <is>
          <t>EKSJÖ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46918-2023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46216</v>
      </c>
      <c r="F294" t="inlineStr">
        <is>
          <t>JÖNKÖPINGS LÄN</t>
        </is>
      </c>
      <c r="G294" t="inlineStr">
        <is>
          <t>EKSJÖ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25262-2023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45086</v>
      </c>
      <c r="E295" s="1" t="n">
        <v>46216</v>
      </c>
      <c r="F295" t="inlineStr">
        <is>
          <t>JÖNKÖPINGS LÄN</t>
        </is>
      </c>
      <c r="G295" t="inlineStr">
        <is>
          <t>EKSJÖ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46216</v>
      </c>
      <c r="F296" t="inlineStr">
        <is>
          <t>JÖNKÖPINGS LÄN</t>
        </is>
      </c>
      <c r="G296" t="inlineStr">
        <is>
          <t>EKSJÖ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46216</v>
      </c>
      <c r="F297" t="inlineStr">
        <is>
          <t>JÖNKÖPINGS LÄN</t>
        </is>
      </c>
      <c r="G297" t="inlineStr">
        <is>
          <t>EKSJÖ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45334</v>
      </c>
      <c r="E298" s="1" t="n">
        <v>46216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16.1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45334</v>
      </c>
      <c r="E299" s="1" t="n">
        <v>46216</v>
      </c>
      <c r="F299" t="inlineStr">
        <is>
          <t>JÖNKÖPINGS LÄN</t>
        </is>
      </c>
      <c r="G299" t="inlineStr">
        <is>
          <t>EKSJÖ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10926-2023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44991</v>
      </c>
      <c r="E300" s="1" t="n">
        <v>46216</v>
      </c>
      <c r="F300" t="inlineStr">
        <is>
          <t>JÖNKÖPINGS LÄN</t>
        </is>
      </c>
      <c r="G300" t="inlineStr">
        <is>
          <t>EKSJÖ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10153-2024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45364</v>
      </c>
      <c r="E301" s="1" t="n">
        <v>46216</v>
      </c>
      <c r="F301" t="inlineStr">
        <is>
          <t>JÖNKÖPINGS LÄN</t>
        </is>
      </c>
      <c r="G301" t="inlineStr">
        <is>
          <t>EKSJÖ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2916-2023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46216</v>
      </c>
      <c r="F302" t="inlineStr">
        <is>
          <t>JÖNKÖPINGS LÄN</t>
        </is>
      </c>
      <c r="G302" t="inlineStr">
        <is>
          <t>EKSJÖ</t>
        </is>
      </c>
      <c r="H302" t="inlineStr">
        <is>
          <t>Övriga Aktiebolag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46216</v>
      </c>
      <c r="F303" t="inlineStr">
        <is>
          <t>JÖNKÖPINGS LÄN</t>
        </is>
      </c>
      <c r="G303" t="inlineStr">
        <is>
          <t>EKSJÖ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6455-2024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45338</v>
      </c>
      <c r="E304" s="1" t="n">
        <v>46216</v>
      </c>
      <c r="F304" t="inlineStr">
        <is>
          <t>JÖNKÖPINGS LÄN</t>
        </is>
      </c>
      <c r="G304" t="inlineStr">
        <is>
          <t>EKSJÖ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55628-2025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46216</v>
      </c>
      <c r="F305" t="inlineStr">
        <is>
          <t>JÖNKÖPINGS LÄN</t>
        </is>
      </c>
      <c r="G305" t="inlineStr">
        <is>
          <t>EKSJÖ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46216</v>
      </c>
      <c r="F306" t="inlineStr">
        <is>
          <t>JÖNKÖPINGS LÄN</t>
        </is>
      </c>
      <c r="G306" t="inlineStr">
        <is>
          <t>EKSJÖ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46216</v>
      </c>
      <c r="F307" t="inlineStr">
        <is>
          <t>JÖNKÖPINGS LÄN</t>
        </is>
      </c>
      <c r="G307" t="inlineStr">
        <is>
          <t>EKSJÖ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51527-2023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46216</v>
      </c>
      <c r="F308" t="inlineStr">
        <is>
          <t>JÖNKÖPINGS LÄN</t>
        </is>
      </c>
      <c r="G308" t="inlineStr">
        <is>
          <t>EKSJÖ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51541-2023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45222</v>
      </c>
      <c r="E309" s="1" t="n">
        <v>46216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56491-2025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46216</v>
      </c>
      <c r="F310" t="inlineStr">
        <is>
          <t>JÖNKÖPINGS LÄN</t>
        </is>
      </c>
      <c r="G310" t="inlineStr">
        <is>
          <t>EKSJÖ</t>
        </is>
      </c>
      <c r="H310" t="inlineStr">
        <is>
          <t>Kyrkan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56490-2025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46216</v>
      </c>
      <c r="F311" t="inlineStr">
        <is>
          <t>JÖNKÖPINGS LÄN</t>
        </is>
      </c>
      <c r="G311" t="inlineStr">
        <is>
          <t>EKSJÖ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13892-2024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46216</v>
      </c>
      <c r="F312" t="inlineStr">
        <is>
          <t>JÖNKÖPINGS LÄN</t>
        </is>
      </c>
      <c r="G312" t="inlineStr">
        <is>
          <t>EKSJÖ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45334</v>
      </c>
      <c r="E313" s="1" t="n">
        <v>46216</v>
      </c>
      <c r="F313" t="inlineStr">
        <is>
          <t>JÖNKÖPINGS LÄN</t>
        </is>
      </c>
      <c r="G313" t="inlineStr">
        <is>
          <t>EKSJÖ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36302-2021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44390</v>
      </c>
      <c r="E314" s="1" t="n">
        <v>46216</v>
      </c>
      <c r="F314" t="inlineStr">
        <is>
          <t>JÖNKÖPINGS LÄN</t>
        </is>
      </c>
      <c r="G314" t="inlineStr">
        <is>
          <t>EKSJÖ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6596-2026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46216</v>
      </c>
      <c r="F315" t="inlineStr">
        <is>
          <t>JÖNKÖPINGS LÄN</t>
        </is>
      </c>
      <c r="G315" t="inlineStr">
        <is>
          <t>EKSJÖ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57802-2025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46216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46216</v>
      </c>
      <c r="F317" t="inlineStr">
        <is>
          <t>JÖNKÖPINGS LÄN</t>
        </is>
      </c>
      <c r="G317" t="inlineStr">
        <is>
          <t>EKSJÖ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5634-2024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46216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58307-2025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45985</v>
      </c>
      <c r="E319" s="1" t="n">
        <v>46216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28261-2022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46216</v>
      </c>
      <c r="F320" t="inlineStr">
        <is>
          <t>JÖNKÖPINGS LÄN</t>
        </is>
      </c>
      <c r="G320" t="inlineStr">
        <is>
          <t>EKSJÖ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45912-2023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46216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45913-2023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46216</v>
      </c>
      <c r="F322" t="inlineStr">
        <is>
          <t>JÖNKÖPINGS LÄN</t>
        </is>
      </c>
      <c r="G322" t="inlineStr">
        <is>
          <t>EKSJÖ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43100-2021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44431</v>
      </c>
      <c r="E323" s="1" t="n">
        <v>46216</v>
      </c>
      <c r="F323" t="inlineStr">
        <is>
          <t>JÖNKÖPINGS LÄN</t>
        </is>
      </c>
      <c r="G323" t="inlineStr">
        <is>
          <t>EKSJÖ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58308-2025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46216</v>
      </c>
      <c r="F324" t="inlineStr">
        <is>
          <t>JÖNKÖPINGS LÄN</t>
        </is>
      </c>
      <c r="G324" t="inlineStr">
        <is>
          <t>EKSJÖ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44928</v>
      </c>
      <c r="E325" s="1" t="n">
        <v>46216</v>
      </c>
      <c r="F325" t="inlineStr">
        <is>
          <t>JÖNKÖPINGS LÄN</t>
        </is>
      </c>
      <c r="G325" t="inlineStr">
        <is>
          <t>EKSJÖ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22491-2023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46216</v>
      </c>
      <c r="F326" t="inlineStr">
        <is>
          <t>JÖNKÖPINGS LÄN</t>
        </is>
      </c>
      <c r="G326" t="inlineStr">
        <is>
          <t>EKSJÖ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41030-2023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45173</v>
      </c>
      <c r="E327" s="1" t="n">
        <v>46216</v>
      </c>
      <c r="F327" t="inlineStr">
        <is>
          <t>JÖNKÖPINGS LÄN</t>
        </is>
      </c>
      <c r="G327" t="inlineStr">
        <is>
          <t>EKSJÖ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46216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8984-2026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46216</v>
      </c>
      <c r="F329" t="inlineStr">
        <is>
          <t>JÖNKÖPINGS LÄN</t>
        </is>
      </c>
      <c r="G329" t="inlineStr">
        <is>
          <t>EKSJÖ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59655-2025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46216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38201-2023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45161</v>
      </c>
      <c r="E331" s="1" t="n">
        <v>46216</v>
      </c>
      <c r="F331" t="inlineStr">
        <is>
          <t>JÖNKÖPINGS LÄN</t>
        </is>
      </c>
      <c r="G331" t="inlineStr">
        <is>
          <t>EKSJÖ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59564-2025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45991</v>
      </c>
      <c r="E332" s="1" t="n">
        <v>46216</v>
      </c>
      <c r="F332" t="inlineStr">
        <is>
          <t>JÖNKÖPINGS LÄN</t>
        </is>
      </c>
      <c r="G332" t="inlineStr">
        <is>
          <t>EKSJÖ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59673-2025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46216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27775-2024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45475</v>
      </c>
      <c r="E334" s="1" t="n">
        <v>46216</v>
      </c>
      <c r="F334" t="inlineStr">
        <is>
          <t>JÖNKÖPINGS LÄN</t>
        </is>
      </c>
      <c r="G334" t="inlineStr">
        <is>
          <t>EKSJÖ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45334</v>
      </c>
      <c r="E335" s="1" t="n">
        <v>46216</v>
      </c>
      <c r="F335" t="inlineStr">
        <is>
          <t>JÖNKÖPINGS LÄN</t>
        </is>
      </c>
      <c r="G335" t="inlineStr">
        <is>
          <t>EKSJÖ</t>
        </is>
      </c>
      <c r="H335" t="inlineStr">
        <is>
          <t>Kommuner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25608-2024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45463</v>
      </c>
      <c r="E336" s="1" t="n">
        <v>46216</v>
      </c>
      <c r="F336" t="inlineStr">
        <is>
          <t>JÖNKÖPINGS LÄN</t>
        </is>
      </c>
      <c r="G336" t="inlineStr">
        <is>
          <t>EKSJÖ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11723-2024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45373</v>
      </c>
      <c r="E337" s="1" t="n">
        <v>46216</v>
      </c>
      <c r="F337" t="inlineStr">
        <is>
          <t>JÖNKÖPINGS LÄN</t>
        </is>
      </c>
      <c r="G337" t="inlineStr">
        <is>
          <t>EKSJÖ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46216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9388-2026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46216</v>
      </c>
      <c r="F339" t="inlineStr">
        <is>
          <t>JÖNKÖPINGS LÄN</t>
        </is>
      </c>
      <c r="G339" t="inlineStr">
        <is>
          <t>EKSJÖ</t>
        </is>
      </c>
      <c r="H339" t="inlineStr">
        <is>
          <t>Kommuner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10464-2023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46216</v>
      </c>
      <c r="F340" t="inlineStr">
        <is>
          <t>JÖNKÖPINGS LÄN</t>
        </is>
      </c>
      <c r="G340" t="inlineStr">
        <is>
          <t>EKSJÖ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56469-2021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44480</v>
      </c>
      <c r="E341" s="1" t="n">
        <v>46216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46216</v>
      </c>
      <c r="F342" t="inlineStr">
        <is>
          <t>JÖNKÖPINGS LÄN</t>
        </is>
      </c>
      <c r="G342" t="inlineStr">
        <is>
          <t>EKSJÖ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45666</v>
      </c>
      <c r="E343" s="1" t="n">
        <v>46216</v>
      </c>
      <c r="F343" t="inlineStr">
        <is>
          <t>JÖNKÖPINGS LÄN</t>
        </is>
      </c>
      <c r="G343" t="inlineStr">
        <is>
          <t>EKSJÖ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3496-2025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45680</v>
      </c>
      <c r="E344" s="1" t="n">
        <v>46216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62958-2025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46216</v>
      </c>
      <c r="F345" t="inlineStr">
        <is>
          <t>JÖNKÖPINGS LÄN</t>
        </is>
      </c>
      <c r="G345" t="inlineStr">
        <is>
          <t>EKSJÖ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11381-2022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44630</v>
      </c>
      <c r="E346" s="1" t="n">
        <v>46216</v>
      </c>
      <c r="F346" t="inlineStr">
        <is>
          <t>JÖNKÖPINGS LÄN</t>
        </is>
      </c>
      <c r="G346" t="inlineStr">
        <is>
          <t>EKSJÖ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64993-2023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45286</v>
      </c>
      <c r="E347" s="1" t="n">
        <v>46216</v>
      </c>
      <c r="F347" t="inlineStr">
        <is>
          <t>JÖNKÖPINGS LÄN</t>
        </is>
      </c>
      <c r="G347" t="inlineStr">
        <is>
          <t>EKSJÖ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62892-2025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46216</v>
      </c>
      <c r="F348" t="inlineStr">
        <is>
          <t>JÖNKÖPINGS LÄN</t>
        </is>
      </c>
      <c r="G348" t="inlineStr">
        <is>
          <t>EKSJÖ</t>
        </is>
      </c>
      <c r="H348" t="inlineStr">
        <is>
          <t>Kommuner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32344-2024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45512</v>
      </c>
      <c r="E349" s="1" t="n">
        <v>46216</v>
      </c>
      <c r="F349" t="inlineStr">
        <is>
          <t>JÖNKÖPINGS LÄN</t>
        </is>
      </c>
      <c r="G349" t="inlineStr">
        <is>
          <t>EKSJÖ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25140-2023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45086</v>
      </c>
      <c r="E350" s="1" t="n">
        <v>46216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63438-2025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46216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64106-2025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46013</v>
      </c>
      <c r="E352" s="1" t="n">
        <v>46216</v>
      </c>
      <c r="F352" t="inlineStr">
        <is>
          <t>JÖNKÖPINGS LÄN</t>
        </is>
      </c>
      <c r="G352" t="inlineStr">
        <is>
          <t>EKSJÖ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46014</v>
      </c>
      <c r="E353" s="1" t="n">
        <v>46216</v>
      </c>
      <c r="F353" t="inlineStr">
        <is>
          <t>JÖNKÖPINGS LÄN</t>
        </is>
      </c>
      <c r="G353" t="inlineStr">
        <is>
          <t>EKSJÖ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12821-2024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45384</v>
      </c>
      <c r="E354" s="1" t="n">
        <v>46216</v>
      </c>
      <c r="F354" t="inlineStr">
        <is>
          <t>JÖNKÖPINGS LÄN</t>
        </is>
      </c>
      <c r="G354" t="inlineStr">
        <is>
          <t>EKSJÖ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46216</v>
      </c>
      <c r="F355" t="inlineStr">
        <is>
          <t>JÖNKÖPINGS LÄN</t>
        </is>
      </c>
      <c r="G355" t="inlineStr">
        <is>
          <t>EKSJÖ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41016-2023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45173</v>
      </c>
      <c r="E356" s="1" t="n">
        <v>46216</v>
      </c>
      <c r="F356" t="inlineStr">
        <is>
          <t>JÖNKÖPINGS LÄN</t>
        </is>
      </c>
      <c r="G356" t="inlineStr">
        <is>
          <t>EKSJÖ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14424-2025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45741</v>
      </c>
      <c r="E357" s="1" t="n">
        <v>46216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32601-2024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45513</v>
      </c>
      <c r="E358" s="1" t="n">
        <v>46216</v>
      </c>
      <c r="F358" t="inlineStr">
        <is>
          <t>JÖNKÖPINGS LÄN</t>
        </is>
      </c>
      <c r="G358" t="inlineStr">
        <is>
          <t>EKSJÖ</t>
        </is>
      </c>
      <c r="H358" t="inlineStr">
        <is>
          <t>Kyrkan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54470-2024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46216</v>
      </c>
      <c r="F359" t="inlineStr">
        <is>
          <t>JÖNKÖPINGS LÄN</t>
        </is>
      </c>
      <c r="G359" t="inlineStr">
        <is>
          <t>EKSJÖ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7729-2025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46216</v>
      </c>
      <c r="F360" t="inlineStr">
        <is>
          <t>JÖNKÖPINGS LÄN</t>
        </is>
      </c>
      <c r="G360" t="inlineStr">
        <is>
          <t>EKSJÖ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65554-2021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44516</v>
      </c>
      <c r="E361" s="1" t="n">
        <v>46216</v>
      </c>
      <c r="F361" t="inlineStr">
        <is>
          <t>JÖNKÖPINGS LÄN</t>
        </is>
      </c>
      <c r="G361" t="inlineStr">
        <is>
          <t>EKSJÖ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45370-2024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45576</v>
      </c>
      <c r="E362" s="1" t="n">
        <v>46216</v>
      </c>
      <c r="F362" t="inlineStr">
        <is>
          <t>JÖNKÖPINGS LÄN</t>
        </is>
      </c>
      <c r="G362" t="inlineStr">
        <is>
          <t>EKSJÖ</t>
        </is>
      </c>
      <c r="H362" t="inlineStr">
        <is>
          <t>Övriga Aktiebolag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61913-2022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46216</v>
      </c>
      <c r="F363" t="inlineStr">
        <is>
          <t>JÖNKÖPINGS LÄN</t>
        </is>
      </c>
      <c r="G363" t="inlineStr">
        <is>
          <t>EKSJÖ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46012-2022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44846</v>
      </c>
      <c r="E364" s="1" t="n">
        <v>46216</v>
      </c>
      <c r="F364" t="inlineStr">
        <is>
          <t>JÖNKÖPINGS LÄN</t>
        </is>
      </c>
      <c r="G364" t="inlineStr">
        <is>
          <t>EKSJÖ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46017-2022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46216</v>
      </c>
      <c r="F365" t="inlineStr">
        <is>
          <t>JÖNKÖPINGS LÄN</t>
        </is>
      </c>
      <c r="G365" t="inlineStr">
        <is>
          <t>EKSJÖ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10309-2024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45365</v>
      </c>
      <c r="E366" s="1" t="n">
        <v>46216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13881-2026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46216</v>
      </c>
      <c r="F367" t="inlineStr">
        <is>
          <t>JÖNKÖPINGS LÄN</t>
        </is>
      </c>
      <c r="G367" t="inlineStr">
        <is>
          <t>EKSJÖ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44925</v>
      </c>
      <c r="E368" s="1" t="n">
        <v>46216</v>
      </c>
      <c r="F368" t="inlineStr">
        <is>
          <t>JÖNKÖPINGS LÄN</t>
        </is>
      </c>
      <c r="G368" t="inlineStr">
        <is>
          <t>EKSJÖ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14344-2026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46216</v>
      </c>
      <c r="F369" t="inlineStr">
        <is>
          <t>JÖNKÖPINGS LÄN</t>
        </is>
      </c>
      <c r="G369" t="inlineStr">
        <is>
          <t>EKSJÖ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55808-2023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46216</v>
      </c>
      <c r="F370" t="inlineStr">
        <is>
          <t>JÖNKÖPINGS LÄN</t>
        </is>
      </c>
      <c r="G370" t="inlineStr">
        <is>
          <t>EKSJÖ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31307-2023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45114</v>
      </c>
      <c r="E371" s="1" t="n">
        <v>46216</v>
      </c>
      <c r="F371" t="inlineStr">
        <is>
          <t>JÖNKÖPINGS LÄN</t>
        </is>
      </c>
      <c r="G371" t="inlineStr">
        <is>
          <t>EKSJÖ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15619-2024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45402</v>
      </c>
      <c r="E372" s="1" t="n">
        <v>46216</v>
      </c>
      <c r="F372" t="inlineStr">
        <is>
          <t>JÖNKÖPINGS LÄN</t>
        </is>
      </c>
      <c r="G372" t="inlineStr">
        <is>
          <t>EKSJÖ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8923-2025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46216</v>
      </c>
      <c r="F373" t="inlineStr">
        <is>
          <t>JÖNKÖPINGS LÄN</t>
        </is>
      </c>
      <c r="G373" t="inlineStr">
        <is>
          <t>EKSJÖ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41739-2023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45176</v>
      </c>
      <c r="E374" s="1" t="n">
        <v>46216</v>
      </c>
      <c r="F374" t="inlineStr">
        <is>
          <t>JÖNKÖPINGS LÄN</t>
        </is>
      </c>
      <c r="G374" t="inlineStr">
        <is>
          <t>EKSJÖ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15403-2026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46216</v>
      </c>
      <c r="F375" t="inlineStr">
        <is>
          <t>JÖNKÖPINGS LÄN</t>
        </is>
      </c>
      <c r="G375" t="inlineStr">
        <is>
          <t>EKSJÖ</t>
        </is>
      </c>
      <c r="H375" t="inlineStr">
        <is>
          <t>Kommuner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15411-2026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46216</v>
      </c>
      <c r="F376" t="inlineStr">
        <is>
          <t>JÖNKÖPINGS LÄN</t>
        </is>
      </c>
      <c r="G376" t="inlineStr">
        <is>
          <t>EKSJÖ</t>
        </is>
      </c>
      <c r="H376" t="inlineStr">
        <is>
          <t>Kommuner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2670-2024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45314</v>
      </c>
      <c r="E377" s="1" t="n">
        <v>46216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2690-2024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46216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15755-2026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46107</v>
      </c>
      <c r="E379" s="1" t="n">
        <v>46216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15763-2026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46107</v>
      </c>
      <c r="E380" s="1" t="n">
        <v>46216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15767-2026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46216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15965-2026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46216</v>
      </c>
      <c r="F382" t="inlineStr">
        <is>
          <t>JÖNKÖPINGS LÄN</t>
        </is>
      </c>
      <c r="G382" t="inlineStr">
        <is>
          <t>EKSJÖ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26054-2023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46216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15754-2026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46216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15750-2026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46216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46528-2023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45197</v>
      </c>
      <c r="E386" s="1" t="n">
        <v>46216</v>
      </c>
      <c r="F386" t="inlineStr">
        <is>
          <t>JÖNKÖPINGS LÄN</t>
        </is>
      </c>
      <c r="G386" t="inlineStr">
        <is>
          <t>EKSJÖ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45659</v>
      </c>
      <c r="E387" s="1" t="n">
        <v>46216</v>
      </c>
      <c r="F387" t="inlineStr">
        <is>
          <t>JÖNKÖPINGS LÄN</t>
        </is>
      </c>
      <c r="G387" t="inlineStr">
        <is>
          <t>EKSJÖ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34772-2023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45141</v>
      </c>
      <c r="E388" s="1" t="n">
        <v>46216</v>
      </c>
      <c r="F388" t="inlineStr">
        <is>
          <t>JÖNKÖPINGS LÄN</t>
        </is>
      </c>
      <c r="G388" t="inlineStr">
        <is>
          <t>EKSJÖ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16573-2026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46216</v>
      </c>
      <c r="F389" t="inlineStr">
        <is>
          <t>JÖNKÖPINGS LÄN</t>
        </is>
      </c>
      <c r="G389" t="inlineStr">
        <is>
          <t>EKSJÖ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16847-2026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46216</v>
      </c>
      <c r="F390" t="inlineStr">
        <is>
          <t>JÖNKÖPINGS LÄN</t>
        </is>
      </c>
      <c r="G390" t="inlineStr">
        <is>
          <t>EKSJÖ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16885-2026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46216</v>
      </c>
      <c r="F391" t="inlineStr">
        <is>
          <t>JÖNKÖPINGS LÄN</t>
        </is>
      </c>
      <c r="G391" t="inlineStr">
        <is>
          <t>EKSJÖ</t>
        </is>
      </c>
      <c r="H391" t="inlineStr">
        <is>
          <t>Övriga Aktiebolag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16894-2026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46216</v>
      </c>
      <c r="F392" t="inlineStr">
        <is>
          <t>JÖNKÖPINGS LÄN</t>
        </is>
      </c>
      <c r="G392" t="inlineStr">
        <is>
          <t>EKSJÖ</t>
        </is>
      </c>
      <c r="H392" t="inlineStr">
        <is>
          <t>Övriga Aktiebolag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54255-2023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45232</v>
      </c>
      <c r="E393" s="1" t="n">
        <v>46216</v>
      </c>
      <c r="F393" t="inlineStr">
        <is>
          <t>JÖNKÖPINGS LÄN</t>
        </is>
      </c>
      <c r="G393" t="inlineStr">
        <is>
          <t>EKSJÖ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42467-2023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45175</v>
      </c>
      <c r="E394" s="1" t="n">
        <v>46216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25141-2023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45086</v>
      </c>
      <c r="E395" s="1" t="n">
        <v>46216</v>
      </c>
      <c r="F395" t="inlineStr">
        <is>
          <t>JÖNKÖPINGS LÄN</t>
        </is>
      </c>
      <c r="G395" t="inlineStr">
        <is>
          <t>EKSJÖ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55553-2023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46216</v>
      </c>
      <c r="F396" t="inlineStr">
        <is>
          <t>JÖNKÖPINGS LÄN</t>
        </is>
      </c>
      <c r="G396" t="inlineStr">
        <is>
          <t>EKSJÖ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18520-2026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46127</v>
      </c>
      <c r="E397" s="1" t="n">
        <v>46216</v>
      </c>
      <c r="F397" t="inlineStr">
        <is>
          <t>JÖNKÖPINGS LÄN</t>
        </is>
      </c>
      <c r="G397" t="inlineStr">
        <is>
          <t>EKSJÖ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14428-2025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45741</v>
      </c>
      <c r="E398" s="1" t="n">
        <v>46216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36070-2024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46216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32623-2022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44783</v>
      </c>
      <c r="E400" s="1" t="n">
        <v>46216</v>
      </c>
      <c r="F400" t="inlineStr">
        <is>
          <t>JÖNKÖPINGS LÄN</t>
        </is>
      </c>
      <c r="G400" t="inlineStr">
        <is>
          <t>EKSJÖ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25132-2026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46216</v>
      </c>
      <c r="F401" t="inlineStr">
        <is>
          <t>JÖNKÖPINGS LÄN</t>
        </is>
      </c>
      <c r="G401" t="inlineStr">
        <is>
          <t>EKSJÖ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36069-2024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45533</v>
      </c>
      <c r="E402" s="1" t="n">
        <v>46216</v>
      </c>
      <c r="F402" t="inlineStr">
        <is>
          <t>JÖNKÖPINGS LÄN</t>
        </is>
      </c>
      <c r="G402" t="inlineStr">
        <is>
          <t>EKSJÖ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20068-2023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45054</v>
      </c>
      <c r="E403" s="1" t="n">
        <v>46216</v>
      </c>
      <c r="F403" t="inlineStr">
        <is>
          <t>JÖNKÖPINGS LÄN</t>
        </is>
      </c>
      <c r="G403" t="inlineStr">
        <is>
          <t>EKSJÖ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19095-2026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46216</v>
      </c>
      <c r="F404" t="inlineStr">
        <is>
          <t>JÖNKÖPINGS LÄN</t>
        </is>
      </c>
      <c r="G404" t="inlineStr">
        <is>
          <t>EKSJÖ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25140-2026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46216</v>
      </c>
      <c r="F405" t="inlineStr">
        <is>
          <t>JÖNKÖPINGS LÄN</t>
        </is>
      </c>
      <c r="G405" t="inlineStr">
        <is>
          <t>EKSJÖ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56805-2024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45628</v>
      </c>
      <c r="E406" s="1" t="n">
        <v>46216</v>
      </c>
      <c r="F406" t="inlineStr">
        <is>
          <t>JÖNKÖPINGS LÄN</t>
        </is>
      </c>
      <c r="G406" t="inlineStr">
        <is>
          <t>EKSJÖ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25066-2026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46216</v>
      </c>
      <c r="F407" t="inlineStr">
        <is>
          <t>JÖNKÖPINGS LÄN</t>
        </is>
      </c>
      <c r="G407" t="inlineStr">
        <is>
          <t>EKSJÖ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26706-2022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44739</v>
      </c>
      <c r="E408" s="1" t="n">
        <v>46216</v>
      </c>
      <c r="F408" t="inlineStr">
        <is>
          <t>JÖNKÖPINGS LÄN</t>
        </is>
      </c>
      <c r="G408" t="inlineStr">
        <is>
          <t>EKSJÖ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30931-2023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45113</v>
      </c>
      <c r="E409" s="1" t="n">
        <v>46216</v>
      </c>
      <c r="F409" t="inlineStr">
        <is>
          <t>JÖNKÖPINGS LÄN</t>
        </is>
      </c>
      <c r="G409" t="inlineStr">
        <is>
          <t>EKSJÖ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34021-2024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45523</v>
      </c>
      <c r="E410" s="1" t="n">
        <v>46216</v>
      </c>
      <c r="F410" t="inlineStr">
        <is>
          <t>JÖNKÖPINGS LÄN</t>
        </is>
      </c>
      <c r="G410" t="inlineStr">
        <is>
          <t>EKSJÖ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34045-2024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46216</v>
      </c>
      <c r="F411" t="inlineStr">
        <is>
          <t>JÖNKÖPINGS LÄN</t>
        </is>
      </c>
      <c r="G411" t="inlineStr">
        <is>
          <t>EKSJÖ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50287-2024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45600</v>
      </c>
      <c r="E412" s="1" t="n">
        <v>46216</v>
      </c>
      <c r="F412" t="inlineStr">
        <is>
          <t>JÖNKÖPINGS LÄN</t>
        </is>
      </c>
      <c r="G412" t="inlineStr">
        <is>
          <t>EKSJÖ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36042-2024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45533</v>
      </c>
      <c r="E413" s="1" t="n">
        <v>46216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19468-2023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45049</v>
      </c>
      <c r="E414" s="1" t="n">
        <v>46216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47390-2022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46216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9283-2025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45714</v>
      </c>
      <c r="E416" s="1" t="n">
        <v>46216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9287-2025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45714</v>
      </c>
      <c r="E417" s="1" t="n">
        <v>46216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44925</v>
      </c>
      <c r="E418" s="1" t="n">
        <v>46216</v>
      </c>
      <c r="F418" t="inlineStr">
        <is>
          <t>JÖNKÖPINGS LÄN</t>
        </is>
      </c>
      <c r="G418" t="inlineStr">
        <is>
          <t>EKSJÖ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49681-2023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45212</v>
      </c>
      <c r="E419" s="1" t="n">
        <v>46216</v>
      </c>
      <c r="F419" t="inlineStr">
        <is>
          <t>JÖNKÖPINGS LÄN</t>
        </is>
      </c>
      <c r="G419" t="inlineStr">
        <is>
          <t>EKSJÖ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22860-2023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45072</v>
      </c>
      <c r="E420" s="1" t="n">
        <v>46216</v>
      </c>
      <c r="F420" t="inlineStr">
        <is>
          <t>JÖNKÖPINGS LÄN</t>
        </is>
      </c>
      <c r="G420" t="inlineStr">
        <is>
          <t>EKSJÖ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40094-2025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45894</v>
      </c>
      <c r="E421" s="1" t="n">
        <v>46216</v>
      </c>
      <c r="F421" t="inlineStr">
        <is>
          <t>JÖNKÖPINGS LÄN</t>
        </is>
      </c>
      <c r="G421" t="inlineStr">
        <is>
          <t>EKSJÖ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8070-2023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44974</v>
      </c>
      <c r="E422" s="1" t="n">
        <v>46216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28276-2025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46216</v>
      </c>
      <c r="F423" t="inlineStr">
        <is>
          <t>JÖNKÖPINGS LÄN</t>
        </is>
      </c>
      <c r="G423" t="inlineStr">
        <is>
          <t>EKSJÖ</t>
        </is>
      </c>
      <c r="H423" t="inlineStr">
        <is>
          <t>Övriga Aktiebolag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46029</v>
      </c>
      <c r="E424" s="1" t="n">
        <v>46216</v>
      </c>
      <c r="F424" t="inlineStr">
        <is>
          <t>JÖNKÖPINGS LÄN</t>
        </is>
      </c>
      <c r="G424" t="inlineStr">
        <is>
          <t>EKSJÖ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18324-2022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44685</v>
      </c>
      <c r="E425" s="1" t="n">
        <v>46216</v>
      </c>
      <c r="F425" t="inlineStr">
        <is>
          <t>JÖNKÖPINGS LÄN</t>
        </is>
      </c>
      <c r="G425" t="inlineStr">
        <is>
          <t>EKSJÖ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46019-2022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46216</v>
      </c>
      <c r="F426" t="inlineStr">
        <is>
          <t>JÖNKÖPINGS LÄN</t>
        </is>
      </c>
      <c r="G426" t="inlineStr">
        <is>
          <t>EKSJÖ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38592-2022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44813</v>
      </c>
      <c r="E427" s="1" t="n">
        <v>46216</v>
      </c>
      <c r="F427" t="inlineStr">
        <is>
          <t>JÖNKÖPINGS LÄN</t>
        </is>
      </c>
      <c r="G427" t="inlineStr">
        <is>
          <t>EKSJÖ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18062-2024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45420</v>
      </c>
      <c r="E428" s="1" t="n">
        <v>46216</v>
      </c>
      <c r="F428" t="inlineStr">
        <is>
          <t>JÖNKÖPINGS LÄN</t>
        </is>
      </c>
      <c r="G428" t="inlineStr">
        <is>
          <t>EKSJÖ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18695-2024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45426</v>
      </c>
      <c r="E429" s="1" t="n">
        <v>46216</v>
      </c>
      <c r="F429" t="inlineStr">
        <is>
          <t>JÖNKÖPINGS LÄN</t>
        </is>
      </c>
      <c r="G429" t="inlineStr">
        <is>
          <t>EKSJÖ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36355-2022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44803</v>
      </c>
      <c r="E430" s="1" t="n">
        <v>46216</v>
      </c>
      <c r="F430" t="inlineStr">
        <is>
          <t>JÖNKÖPINGS LÄN</t>
        </is>
      </c>
      <c r="G430" t="inlineStr">
        <is>
          <t>EKSJÖ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58632-2023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45251</v>
      </c>
      <c r="E431" s="1" t="n">
        <v>46216</v>
      </c>
      <c r="F431" t="inlineStr">
        <is>
          <t>JÖNKÖPINGS LÄN</t>
        </is>
      </c>
      <c r="G431" t="inlineStr">
        <is>
          <t>EKSJÖ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45677</v>
      </c>
      <c r="E432" s="1" t="n">
        <v>46216</v>
      </c>
      <c r="F432" t="inlineStr">
        <is>
          <t>JÖNKÖPINGS LÄN</t>
        </is>
      </c>
      <c r="G432" t="inlineStr">
        <is>
          <t>EKSJÖ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23156-2023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45075</v>
      </c>
      <c r="E433" s="1" t="n">
        <v>46216</v>
      </c>
      <c r="F433" t="inlineStr">
        <is>
          <t>JÖNKÖPINGS LÄN</t>
        </is>
      </c>
      <c r="G433" t="inlineStr">
        <is>
          <t>EKSJÖ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8172-2023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46216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46013-2022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44846</v>
      </c>
      <c r="E435" s="1" t="n">
        <v>46216</v>
      </c>
      <c r="F435" t="inlineStr">
        <is>
          <t>JÖNKÖPINGS LÄN</t>
        </is>
      </c>
      <c r="G435" t="inlineStr">
        <is>
          <t>EKSJÖ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46014-2022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46216</v>
      </c>
      <c r="F436" t="inlineStr">
        <is>
          <t>JÖNKÖPINGS LÄN</t>
        </is>
      </c>
      <c r="G436" t="inlineStr">
        <is>
          <t>EKSJÖ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26222-2024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45468</v>
      </c>
      <c r="E437" s="1" t="n">
        <v>46216</v>
      </c>
      <c r="F437" t="inlineStr">
        <is>
          <t>JÖNKÖPINGS LÄN</t>
        </is>
      </c>
      <c r="G437" t="inlineStr">
        <is>
          <t>EKSJÖ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33969-2025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45842</v>
      </c>
      <c r="E438" s="1" t="n">
        <v>46216</v>
      </c>
      <c r="F438" t="inlineStr">
        <is>
          <t>JÖNKÖPINGS LÄN</t>
        </is>
      </c>
      <c r="G438" t="inlineStr">
        <is>
          <t>EKSJÖ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22456-2022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44713</v>
      </c>
      <c r="E439" s="1" t="n">
        <v>46216</v>
      </c>
      <c r="F439" t="inlineStr">
        <is>
          <t>JÖNKÖPINGS LÄN</t>
        </is>
      </c>
      <c r="G439" t="inlineStr">
        <is>
          <t>EKSJÖ</t>
        </is>
      </c>
      <c r="H439" t="inlineStr">
        <is>
          <t>Kyrkan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1919-2024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45308</v>
      </c>
      <c r="E440" s="1" t="n">
        <v>46216</v>
      </c>
      <c r="F440" t="inlineStr">
        <is>
          <t>JÖNKÖPINGS LÄN</t>
        </is>
      </c>
      <c r="G440" t="inlineStr">
        <is>
          <t>EKSJÖ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17635-2025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45758</v>
      </c>
      <c r="E441" s="1" t="n">
        <v>46216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38102-2025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46216</v>
      </c>
      <c r="F442" t="inlineStr">
        <is>
          <t>JÖNKÖPINGS LÄN</t>
        </is>
      </c>
      <c r="G442" t="inlineStr">
        <is>
          <t>EKSJÖ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38106-2025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45882</v>
      </c>
      <c r="E443" s="1" t="n">
        <v>46216</v>
      </c>
      <c r="F443" t="inlineStr">
        <is>
          <t>JÖNKÖPINGS LÄN</t>
        </is>
      </c>
      <c r="G443" t="inlineStr">
        <is>
          <t>EKSJÖ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56804-2024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45628</v>
      </c>
      <c r="E444" s="1" t="n">
        <v>46216</v>
      </c>
      <c r="F444" t="inlineStr">
        <is>
          <t>JÖNKÖPINGS LÄN</t>
        </is>
      </c>
      <c r="G444" t="inlineStr">
        <is>
          <t>EKSJÖ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49403-2021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44454</v>
      </c>
      <c r="E445" s="1" t="n">
        <v>46216</v>
      </c>
      <c r="F445" t="inlineStr">
        <is>
          <t>JÖNKÖPINGS LÄN</t>
        </is>
      </c>
      <c r="G445" t="inlineStr">
        <is>
          <t>EKSJÖ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10972-2025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45723</v>
      </c>
      <c r="E446" s="1" t="n">
        <v>46216</v>
      </c>
      <c r="F446" t="inlineStr">
        <is>
          <t>JÖNKÖPINGS LÄN</t>
        </is>
      </c>
      <c r="G446" t="inlineStr">
        <is>
          <t>EKSJÖ</t>
        </is>
      </c>
      <c r="I446" t="n">
        <v>8.6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25654-2026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46216</v>
      </c>
      <c r="F447" t="inlineStr">
        <is>
          <t>JÖNKÖPINGS LÄN</t>
        </is>
      </c>
      <c r="G447" t="inlineStr">
        <is>
          <t>EKSJÖ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25783-2026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46216</v>
      </c>
      <c r="F448" t="inlineStr">
        <is>
          <t>JÖNKÖPINGS LÄN</t>
        </is>
      </c>
      <c r="G448" t="inlineStr">
        <is>
          <t>EKSJÖ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37144-2023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46216</v>
      </c>
      <c r="F449" t="inlineStr">
        <is>
          <t>JÖNKÖPINGS LÄN</t>
        </is>
      </c>
      <c r="G449" t="inlineStr">
        <is>
          <t>EKSJÖ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46216</v>
      </c>
      <c r="F450" t="inlineStr">
        <is>
          <t>JÖNKÖPINGS LÄN</t>
        </is>
      </c>
      <c r="G450" t="inlineStr">
        <is>
          <t>EKSJÖ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20480-2026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46216</v>
      </c>
      <c r="F451" t="inlineStr">
        <is>
          <t>JÖNKÖPINGS LÄN</t>
        </is>
      </c>
      <c r="G451" t="inlineStr">
        <is>
          <t>EKSJÖ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59734-2022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46216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58631-2023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45251</v>
      </c>
      <c r="E453" s="1" t="n">
        <v>46216</v>
      </c>
      <c r="F453" t="inlineStr">
        <is>
          <t>JÖNKÖPINGS LÄN</t>
        </is>
      </c>
      <c r="G453" t="inlineStr">
        <is>
          <t>EKSJÖ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26179-2026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46216</v>
      </c>
      <c r="F454" t="inlineStr">
        <is>
          <t>JÖNKÖPINGS LÄN</t>
        </is>
      </c>
      <c r="G454" t="inlineStr">
        <is>
          <t>EKSJÖ</t>
        </is>
      </c>
      <c r="H454" t="inlineStr">
        <is>
          <t>Kyrkan</t>
        </is>
      </c>
      <c r="I454" t="n">
        <v>15.2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9058-2022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44615</v>
      </c>
      <c r="E455" s="1" t="n">
        <v>46216</v>
      </c>
      <c r="F455" t="inlineStr">
        <is>
          <t>JÖNKÖPINGS LÄN</t>
        </is>
      </c>
      <c r="G455" t="inlineStr">
        <is>
          <t>EKSJÖ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50516-2025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45945</v>
      </c>
      <c r="E456" s="1" t="n">
        <v>46216</v>
      </c>
      <c r="F456" t="inlineStr">
        <is>
          <t>JÖNKÖPINGS LÄN</t>
        </is>
      </c>
      <c r="G456" t="inlineStr">
        <is>
          <t>EKSJÖ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59955-2022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44909</v>
      </c>
      <c r="E457" s="1" t="n">
        <v>46216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53053-2021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44467</v>
      </c>
      <c r="E458" s="1" t="n">
        <v>46216</v>
      </c>
      <c r="F458" t="inlineStr">
        <is>
          <t>JÖNKÖPINGS LÄN</t>
        </is>
      </c>
      <c r="G458" t="inlineStr">
        <is>
          <t>EKSJÖ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38337-2023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46216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11446-2023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44991</v>
      </c>
      <c r="E460" s="1" t="n">
        <v>46216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52200-2023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45224</v>
      </c>
      <c r="E461" s="1" t="n">
        <v>46216</v>
      </c>
      <c r="F461" t="inlineStr">
        <is>
          <t>JÖNKÖPINGS LÄN</t>
        </is>
      </c>
      <c r="G461" t="inlineStr">
        <is>
          <t>EKSJÖ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56689-2021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44481</v>
      </c>
      <c r="E462" s="1" t="n">
        <v>46216</v>
      </c>
      <c r="F462" t="inlineStr">
        <is>
          <t>JÖNKÖPINGS LÄN</t>
        </is>
      </c>
      <c r="G462" t="inlineStr">
        <is>
          <t>EKSJÖ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36873-2023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45154</v>
      </c>
      <c r="E463" s="1" t="n">
        <v>46216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26405-2026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46183</v>
      </c>
      <c r="E464" s="1" t="n">
        <v>46216</v>
      </c>
      <c r="F464" t="inlineStr">
        <is>
          <t>JÖNKÖPINGS LÄN</t>
        </is>
      </c>
      <c r="G464" t="inlineStr">
        <is>
          <t>EKSJÖ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7728-2025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45706</v>
      </c>
      <c r="E465" s="1" t="n">
        <v>46216</v>
      </c>
      <c r="F465" t="inlineStr">
        <is>
          <t>JÖNKÖPINGS LÄN</t>
        </is>
      </c>
      <c r="G465" t="inlineStr">
        <is>
          <t>EKSJÖ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10169-2025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45719</v>
      </c>
      <c r="E466" s="1" t="n">
        <v>46216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26649-2026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46216</v>
      </c>
      <c r="F467" t="inlineStr">
        <is>
          <t>JÖNKÖPINGS LÄN</t>
        </is>
      </c>
      <c r="G467" t="inlineStr">
        <is>
          <t>EKSJÖ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26648-2026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46184</v>
      </c>
      <c r="E468" s="1" t="n">
        <v>46216</v>
      </c>
      <c r="F468" t="inlineStr">
        <is>
          <t>JÖNKÖPINGS LÄN</t>
        </is>
      </c>
      <c r="G468" t="inlineStr">
        <is>
          <t>EKSJÖ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26650-2026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46184</v>
      </c>
      <c r="E469" s="1" t="n">
        <v>46216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26644-2026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46184</v>
      </c>
      <c r="E470" s="1" t="n">
        <v>46216</v>
      </c>
      <c r="F470" t="inlineStr">
        <is>
          <t>JÖNKÖPINGS LÄN</t>
        </is>
      </c>
      <c r="G470" t="inlineStr">
        <is>
          <t>EKSJÖ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20897-2022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44701</v>
      </c>
      <c r="E471" s="1" t="n">
        <v>46216</v>
      </c>
      <c r="F471" t="inlineStr">
        <is>
          <t>JÖNKÖPINGS LÄN</t>
        </is>
      </c>
      <c r="G471" t="inlineStr">
        <is>
          <t>EKSJÖ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38340-2023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46216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24556-2023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46216</v>
      </c>
      <c r="F473" t="inlineStr">
        <is>
          <t>JÖNKÖPINGS LÄN</t>
        </is>
      </c>
      <c r="G473" t="inlineStr">
        <is>
          <t>EKSJÖ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61850-2024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45649</v>
      </c>
      <c r="E474" s="1" t="n">
        <v>46216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27077-2023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45096</v>
      </c>
      <c r="E475" s="1" t="n">
        <v>46216</v>
      </c>
      <c r="F475" t="inlineStr">
        <is>
          <t>JÖNKÖPINGS LÄN</t>
        </is>
      </c>
      <c r="G475" t="inlineStr">
        <is>
          <t>EKSJÖ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21073-2026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46216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27220-2026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46216</v>
      </c>
      <c r="F477" t="inlineStr">
        <is>
          <t>JÖNKÖPINGS LÄN</t>
        </is>
      </c>
      <c r="G477" t="inlineStr">
        <is>
          <t>EKSJÖ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54916-2023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45236</v>
      </c>
      <c r="E478" s="1" t="n">
        <v>46216</v>
      </c>
      <c r="F478" t="inlineStr">
        <is>
          <t>JÖNKÖPINGS LÄN</t>
        </is>
      </c>
      <c r="G478" t="inlineStr">
        <is>
          <t>EKSJÖ</t>
        </is>
      </c>
      <c r="H478" t="inlineStr">
        <is>
          <t>Övriga Aktiebolag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36505-2024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45537</v>
      </c>
      <c r="E479" s="1" t="n">
        <v>46216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63959-2023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46216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6526-2023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44966</v>
      </c>
      <c r="E481" s="1" t="n">
        <v>46216</v>
      </c>
      <c r="F481" t="inlineStr">
        <is>
          <t>JÖNKÖPINGS LÄN</t>
        </is>
      </c>
      <c r="G481" t="inlineStr">
        <is>
          <t>EKSJÖ</t>
        </is>
      </c>
      <c r="H481" t="inlineStr">
        <is>
          <t>Kyrkan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45160</v>
      </c>
      <c r="E482" s="1" t="n">
        <v>46216</v>
      </c>
      <c r="F482" t="inlineStr">
        <is>
          <t>JÖNKÖPINGS LÄN</t>
        </is>
      </c>
      <c r="G482" t="inlineStr">
        <is>
          <t>EKSJÖ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11007-2024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45370</v>
      </c>
      <c r="E483" s="1" t="n">
        <v>46216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21883-2023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45068</v>
      </c>
      <c r="E484" s="1" t="n">
        <v>46216</v>
      </c>
      <c r="F484" t="inlineStr">
        <is>
          <t>JÖNKÖPINGS LÄN</t>
        </is>
      </c>
      <c r="G484" t="inlineStr">
        <is>
          <t>EKSJÖ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71313-2021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44539</v>
      </c>
      <c r="E485" s="1" t="n">
        <v>46216</v>
      </c>
      <c r="F485" t="inlineStr">
        <is>
          <t>JÖNKÖPINGS LÄN</t>
        </is>
      </c>
      <c r="G485" t="inlineStr">
        <is>
          <t>EKSJÖ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46037</v>
      </c>
      <c r="E486" s="1" t="n">
        <v>46216</v>
      </c>
      <c r="F486" t="inlineStr">
        <is>
          <t>JÖNKÖPINGS LÄN</t>
        </is>
      </c>
      <c r="G486" t="inlineStr">
        <is>
          <t>EKSJÖ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28401-2026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46216</v>
      </c>
      <c r="F487" t="inlineStr">
        <is>
          <t>JÖNKÖPINGS LÄN</t>
        </is>
      </c>
      <c r="G487" t="inlineStr">
        <is>
          <t>EKSJÖ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28402-2026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46216</v>
      </c>
      <c r="F488" t="inlineStr">
        <is>
          <t>JÖNKÖPINGS LÄN</t>
        </is>
      </c>
      <c r="G488" t="inlineStr">
        <is>
          <t>EKSJÖ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63439-2025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46013</v>
      </c>
      <c r="E489" s="1" t="n">
        <v>46216</v>
      </c>
      <c r="F489" t="inlineStr">
        <is>
          <t>JÖNKÖPINGS LÄN</t>
        </is>
      </c>
      <c r="G489" t="inlineStr">
        <is>
          <t>EKSJÖ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28486-2026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46197</v>
      </c>
      <c r="E490" s="1" t="n">
        <v>46216</v>
      </c>
      <c r="F490" t="inlineStr">
        <is>
          <t>JÖNKÖPINGS LÄN</t>
        </is>
      </c>
      <c r="G490" t="inlineStr">
        <is>
          <t>EKSJÖ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59254-2023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45253</v>
      </c>
      <c r="E491" s="1" t="n">
        <v>46216</v>
      </c>
      <c r="F491" t="inlineStr">
        <is>
          <t>JÖNKÖPINGS LÄN</t>
        </is>
      </c>
      <c r="G491" t="inlineStr">
        <is>
          <t>EKSJÖ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45493-2022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44845</v>
      </c>
      <c r="E492" s="1" t="n">
        <v>46216</v>
      </c>
      <c r="F492" t="inlineStr">
        <is>
          <t>JÖNKÖPINGS LÄN</t>
        </is>
      </c>
      <c r="G492" t="inlineStr">
        <is>
          <t>EKSJÖ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33644-2022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44789</v>
      </c>
      <c r="E493" s="1" t="n">
        <v>46216</v>
      </c>
      <c r="F493" t="inlineStr">
        <is>
          <t>JÖNKÖPINGS LÄN</t>
        </is>
      </c>
      <c r="G493" t="inlineStr">
        <is>
          <t>EKSJÖ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28371-2026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46216</v>
      </c>
      <c r="F494" t="inlineStr">
        <is>
          <t>JÖNKÖPINGS LÄN</t>
        </is>
      </c>
      <c r="G494" t="inlineStr">
        <is>
          <t>EKSJÖ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55817-2023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45239</v>
      </c>
      <c r="E495" s="1" t="n">
        <v>46216</v>
      </c>
      <c r="F495" t="inlineStr">
        <is>
          <t>JÖNKÖPINGS LÄN</t>
        </is>
      </c>
      <c r="G495" t="inlineStr">
        <is>
          <t>EKSJÖ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11022-2024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45370</v>
      </c>
      <c r="E496" s="1" t="n">
        <v>46216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45334</v>
      </c>
      <c r="E497" s="1" t="n">
        <v>46216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5587-2024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46216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50165-2022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44865</v>
      </c>
      <c r="E499" s="1" t="n">
        <v>46216</v>
      </c>
      <c r="F499" t="inlineStr">
        <is>
          <t>JÖNKÖPINGS LÄN</t>
        </is>
      </c>
      <c r="G499" t="inlineStr">
        <is>
          <t>EKSJÖ</t>
        </is>
      </c>
      <c r="H499" t="inlineStr">
        <is>
          <t>Övriga Aktiebolag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29043-2026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46216</v>
      </c>
      <c r="F500" t="inlineStr">
        <is>
          <t>JÖNKÖPINGS LÄN</t>
        </is>
      </c>
      <c r="G500" t="inlineStr">
        <is>
          <t>EKSJÖ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29878-2023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45107</v>
      </c>
      <c r="E501" s="1" t="n">
        <v>46216</v>
      </c>
      <c r="F501" t="inlineStr">
        <is>
          <t>JÖNKÖPINGS LÄN</t>
        </is>
      </c>
      <c r="G501" t="inlineStr">
        <is>
          <t>EKSJÖ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47806-2023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46216</v>
      </c>
      <c r="F502" t="inlineStr">
        <is>
          <t>JÖNKÖPINGS LÄN</t>
        </is>
      </c>
      <c r="G502" t="inlineStr">
        <is>
          <t>EKSJÖ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9294-2025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45714</v>
      </c>
      <c r="E503" s="1" t="n">
        <v>46216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28624-2026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46216</v>
      </c>
      <c r="F504" t="inlineStr">
        <is>
          <t>JÖNKÖPINGS LÄN</t>
        </is>
      </c>
      <c r="G504" t="inlineStr">
        <is>
          <t>EKSJÖ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8183-2023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44974</v>
      </c>
      <c r="E505" s="1" t="n">
        <v>46216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41397-2024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45560</v>
      </c>
      <c r="E506" s="1" t="n">
        <v>46216</v>
      </c>
      <c r="F506" t="inlineStr">
        <is>
          <t>JÖNKÖPINGS LÄN</t>
        </is>
      </c>
      <c r="G506" t="inlineStr">
        <is>
          <t>EKSJÖ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45367-2024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45576</v>
      </c>
      <c r="E507" s="1" t="n">
        <v>46216</v>
      </c>
      <c r="F507" t="inlineStr">
        <is>
          <t>JÖNKÖPINGS LÄN</t>
        </is>
      </c>
      <c r="G507" t="inlineStr">
        <is>
          <t>EKSJÖ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59050-2021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44490</v>
      </c>
      <c r="E508" s="1" t="n">
        <v>46216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23535-2023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45076</v>
      </c>
      <c r="E509" s="1" t="n">
        <v>46216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27395-2023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45096</v>
      </c>
      <c r="E510" s="1" t="n">
        <v>46216</v>
      </c>
      <c r="F510" t="inlineStr">
        <is>
          <t>JÖNKÖPINGS LÄN</t>
        </is>
      </c>
      <c r="G510" t="inlineStr">
        <is>
          <t>EKSJÖ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11474-2024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46216</v>
      </c>
      <c r="F511" t="inlineStr">
        <is>
          <t>JÖNKÖPINGS LÄN</t>
        </is>
      </c>
      <c r="G511" t="inlineStr">
        <is>
          <t>EKSJÖ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10345-2022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44623</v>
      </c>
      <c r="E512" s="1" t="n">
        <v>46216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37753-2023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45156</v>
      </c>
      <c r="E513" s="1" t="n">
        <v>46216</v>
      </c>
      <c r="F513" t="inlineStr">
        <is>
          <t>JÖNKÖPINGS LÄN</t>
        </is>
      </c>
      <c r="G513" t="inlineStr">
        <is>
          <t>EKSJÖ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22670-2023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45071</v>
      </c>
      <c r="E514" s="1" t="n">
        <v>46216</v>
      </c>
      <c r="F514" t="inlineStr">
        <is>
          <t>JÖNKÖPINGS LÄN</t>
        </is>
      </c>
      <c r="G514" t="inlineStr">
        <is>
          <t>EKSJÖ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59905-2022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44908</v>
      </c>
      <c r="E515" s="1" t="n">
        <v>46216</v>
      </c>
      <c r="F515" t="inlineStr">
        <is>
          <t>JÖNKÖPINGS LÄN</t>
        </is>
      </c>
      <c r="G515" t="inlineStr">
        <is>
          <t>EKSJÖ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45391</v>
      </c>
      <c r="E516" s="1" t="n">
        <v>46216</v>
      </c>
      <c r="F516" t="inlineStr">
        <is>
          <t>JÖNKÖPINGS LÄN</t>
        </is>
      </c>
      <c r="G516" t="inlineStr">
        <is>
          <t>EKSJÖ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2819-2022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46216</v>
      </c>
      <c r="F517" t="inlineStr">
        <is>
          <t>JÖNKÖPINGS LÄN</t>
        </is>
      </c>
      <c r="G517" t="inlineStr">
        <is>
          <t>EKSJÖ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29193-2026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46216</v>
      </c>
      <c r="F518" t="inlineStr">
        <is>
          <t>JÖNKÖPINGS LÄN</t>
        </is>
      </c>
      <c r="G518" t="inlineStr">
        <is>
          <t>EKSJÖ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60920-2025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45996</v>
      </c>
      <c r="E519" s="1" t="n">
        <v>46216</v>
      </c>
      <c r="F519" t="inlineStr">
        <is>
          <t>JÖNKÖPINGS LÄN</t>
        </is>
      </c>
      <c r="G519" t="inlineStr">
        <is>
          <t>EKSJÖ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30527-2023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46216</v>
      </c>
      <c r="F520" t="inlineStr">
        <is>
          <t>JÖNKÖPINGS LÄN</t>
        </is>
      </c>
      <c r="G520" t="inlineStr">
        <is>
          <t>EKSJÖ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23309-2026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46216</v>
      </c>
      <c r="F521" t="inlineStr">
        <is>
          <t>JÖNKÖPINGS LÄN</t>
        </is>
      </c>
      <c r="G521" t="inlineStr">
        <is>
          <t>EKSJÖ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23573-2026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46216</v>
      </c>
      <c r="F522" t="inlineStr">
        <is>
          <t>JÖNKÖPINGS LÄN</t>
        </is>
      </c>
      <c r="G522" t="inlineStr">
        <is>
          <t>EKSJÖ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23451-2026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46216</v>
      </c>
      <c r="F523" t="inlineStr">
        <is>
          <t>JÖNKÖPINGS LÄN</t>
        </is>
      </c>
      <c r="G523" t="inlineStr">
        <is>
          <t>EKSJÖ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6236-2022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44600</v>
      </c>
      <c r="E524" s="1" t="n">
        <v>46216</v>
      </c>
      <c r="F524" t="inlineStr">
        <is>
          <t>JÖNKÖPINGS LÄN</t>
        </is>
      </c>
      <c r="G524" t="inlineStr">
        <is>
          <t>EKSJÖ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9363-2025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45715</v>
      </c>
      <c r="E525" s="1" t="n">
        <v>46216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10946-2026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46216</v>
      </c>
      <c r="F526" t="inlineStr">
        <is>
          <t>JÖNKÖPINGS LÄN</t>
        </is>
      </c>
      <c r="G526" t="inlineStr">
        <is>
          <t>EKSJÖ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17030-2024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45411</v>
      </c>
      <c r="E527" s="1" t="n">
        <v>46216</v>
      </c>
      <c r="F527" t="inlineStr">
        <is>
          <t>JÖNKÖPINGS LÄN</t>
        </is>
      </c>
      <c r="G527" t="inlineStr">
        <is>
          <t>EKSJÖ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23535-2026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46216</v>
      </c>
      <c r="F528" t="inlineStr">
        <is>
          <t>JÖNKÖPINGS LÄN</t>
        </is>
      </c>
      <c r="G528" t="inlineStr">
        <is>
          <t>EKSJÖ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49919-2023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45214</v>
      </c>
      <c r="E529" s="1" t="n">
        <v>46216</v>
      </c>
      <c r="F529" t="inlineStr">
        <is>
          <t>JÖNKÖPINGS LÄN</t>
        </is>
      </c>
      <c r="G529" t="inlineStr">
        <is>
          <t>EKSJÖ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23575-2026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46216</v>
      </c>
      <c r="F530" t="inlineStr">
        <is>
          <t>JÖNKÖPINGS LÄN</t>
        </is>
      </c>
      <c r="G530" t="inlineStr">
        <is>
          <t>EKSJÖ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46216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28024-2022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44746</v>
      </c>
      <c r="E532" s="1" t="n">
        <v>46216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23533-2026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46163</v>
      </c>
      <c r="E533" s="1" t="n">
        <v>46216</v>
      </c>
      <c r="F533" t="inlineStr">
        <is>
          <t>JÖNKÖPINGS LÄN</t>
        </is>
      </c>
      <c r="G533" t="inlineStr">
        <is>
          <t>EKSJÖ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23488-2026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46216</v>
      </c>
      <c r="F534" t="inlineStr">
        <is>
          <t>JÖNKÖPINGS LÄN</t>
        </is>
      </c>
      <c r="G534" t="inlineStr">
        <is>
          <t>EKSJÖ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23572-2026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46216</v>
      </c>
      <c r="F535" t="inlineStr">
        <is>
          <t>JÖNKÖPINGS LÄN</t>
        </is>
      </c>
      <c r="G535" t="inlineStr">
        <is>
          <t>EKSJÖ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795-2024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46216</v>
      </c>
      <c r="F536" t="inlineStr">
        <is>
          <t>JÖNKÖPINGS LÄN</t>
        </is>
      </c>
      <c r="G536" t="inlineStr">
        <is>
          <t>EKSJÖ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58095-2024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46216</v>
      </c>
      <c r="F537" t="inlineStr">
        <is>
          <t>JÖNKÖPINGS LÄN</t>
        </is>
      </c>
      <c r="G537" t="inlineStr">
        <is>
          <t>EKSJÖ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48740-2023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45208</v>
      </c>
      <c r="E538" s="1" t="n">
        <v>46216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51020-2023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45218</v>
      </c>
      <c r="E539" s="1" t="n">
        <v>46216</v>
      </c>
      <c r="F539" t="inlineStr">
        <is>
          <t>JÖNKÖPINGS LÄN</t>
        </is>
      </c>
      <c r="G539" t="inlineStr">
        <is>
          <t>EKSJÖ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5638-2024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45334</v>
      </c>
      <c r="E540" s="1" t="n">
        <v>46216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46577-2022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44848</v>
      </c>
      <c r="E541" s="1" t="n">
        <v>46216</v>
      </c>
      <c r="F541" t="inlineStr">
        <is>
          <t>JÖNKÖPINGS LÄN</t>
        </is>
      </c>
      <c r="G541" t="inlineStr">
        <is>
          <t>EKSJÖ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36503-2024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45537</v>
      </c>
      <c r="E542" s="1" t="n">
        <v>46216</v>
      </c>
      <c r="F542" t="inlineStr">
        <is>
          <t>JÖNKÖPINGS LÄN</t>
        </is>
      </c>
      <c r="G542" t="inlineStr">
        <is>
          <t>EKSJÖ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44293-2025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45916</v>
      </c>
      <c r="E543" s="1" t="n">
        <v>46216</v>
      </c>
      <c r="F543" t="inlineStr">
        <is>
          <t>JÖNKÖPINGS LÄN</t>
        </is>
      </c>
      <c r="G543" t="inlineStr">
        <is>
          <t>EKSJÖ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9292-2025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45714</v>
      </c>
      <c r="E544" s="1" t="n">
        <v>46216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9300-2025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46216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9364-2025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46216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9400-2025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46216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9404-2025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45715</v>
      </c>
      <c r="E548" s="1" t="n">
        <v>46216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47204-2022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44851</v>
      </c>
      <c r="E549" s="1" t="n">
        <v>46216</v>
      </c>
      <c r="F549" t="inlineStr">
        <is>
          <t>JÖNKÖPINGS LÄN</t>
        </is>
      </c>
      <c r="G549" t="inlineStr">
        <is>
          <t>EKSJÖ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30394-2026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46216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8056-2025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45707</v>
      </c>
      <c r="E551" s="1" t="n">
        <v>46216</v>
      </c>
      <c r="F551" t="inlineStr">
        <is>
          <t>JÖNKÖPINGS LÄN</t>
        </is>
      </c>
      <c r="G551" t="inlineStr">
        <is>
          <t>EKSJÖ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30363-2026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46216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30362-2026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46209</v>
      </c>
      <c r="E553" s="1" t="n">
        <v>46216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6.9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30392-2026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46209</v>
      </c>
      <c r="E554" s="1" t="n">
        <v>46216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4929-2024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45329</v>
      </c>
      <c r="E555" s="1" t="n">
        <v>46216</v>
      </c>
      <c r="F555" t="inlineStr">
        <is>
          <t>JÖNKÖPINGS LÄN</t>
        </is>
      </c>
      <c r="G555" t="inlineStr">
        <is>
          <t>EKSJÖ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58490-2024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45635</v>
      </c>
      <c r="E556" s="1" t="n">
        <v>46216</v>
      </c>
      <c r="F556" t="inlineStr">
        <is>
          <t>JÖNKÖPINGS LÄN</t>
        </is>
      </c>
      <c r="G556" t="inlineStr">
        <is>
          <t>EKSJÖ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5627-2024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45334</v>
      </c>
      <c r="E557" s="1" t="n">
        <v>46216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5640-2024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45334</v>
      </c>
      <c r="E558" s="1" t="n">
        <v>46216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44939</v>
      </c>
      <c r="E559" s="1" t="n">
        <v>46216</v>
      </c>
      <c r="F559" t="inlineStr">
        <is>
          <t>JÖNKÖPINGS LÄN</t>
        </is>
      </c>
      <c r="G559" t="inlineStr">
        <is>
          <t>EKSJÖ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41816-2024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45561</v>
      </c>
      <c r="E560" s="1" t="n">
        <v>46216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23183-2022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44719</v>
      </c>
      <c r="E561" s="1" t="n">
        <v>46216</v>
      </c>
      <c r="F561" t="inlineStr">
        <is>
          <t>JÖNKÖPINGS LÄN</t>
        </is>
      </c>
      <c r="G561" t="inlineStr">
        <is>
          <t>EKSJÖ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18337-2025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45762</v>
      </c>
      <c r="E562" s="1" t="n">
        <v>46216</v>
      </c>
      <c r="F562" t="inlineStr">
        <is>
          <t>JÖNKÖPINGS LÄN</t>
        </is>
      </c>
      <c r="G562" t="inlineStr">
        <is>
          <t>EKSJÖ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45671</v>
      </c>
      <c r="E563" s="1" t="n">
        <v>46216</v>
      </c>
      <c r="F563" t="inlineStr">
        <is>
          <t>JÖNKÖPINGS LÄN</t>
        </is>
      </c>
      <c r="G563" t="inlineStr">
        <is>
          <t>EKSJÖ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8165-2022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44609</v>
      </c>
      <c r="E564" s="1" t="n">
        <v>46216</v>
      </c>
      <c r="F564" t="inlineStr">
        <is>
          <t>JÖNKÖPINGS LÄN</t>
        </is>
      </c>
      <c r="G564" t="inlineStr">
        <is>
          <t>EKSJÖ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12399-2023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46216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12409-2023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44999</v>
      </c>
      <c r="E566" s="1" t="n">
        <v>46216</v>
      </c>
      <c r="F566" t="inlineStr">
        <is>
          <t>JÖNKÖPINGS LÄN</t>
        </is>
      </c>
      <c r="G566" t="inlineStr">
        <is>
          <t>EKSJÖ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50275-2023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46216</v>
      </c>
      <c r="F567" t="inlineStr">
        <is>
          <t>JÖNKÖPINGS LÄN</t>
        </is>
      </c>
      <c r="G567" t="inlineStr">
        <is>
          <t>EKSJÖ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19497-2025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46216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20960-2025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45777</v>
      </c>
      <c r="E569" s="1" t="n">
        <v>46216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20986-2025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46216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9.6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21224-2025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45779</v>
      </c>
      <c r="E571" s="1" t="n">
        <v>46216</v>
      </c>
      <c r="F571" t="inlineStr">
        <is>
          <t>JÖNKÖPINGS LÄN</t>
        </is>
      </c>
      <c r="G571" t="inlineStr">
        <is>
          <t>EKSJÖ</t>
        </is>
      </c>
      <c r="H571" t="inlineStr">
        <is>
          <t>Kommuner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59234-2024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45637</v>
      </c>
      <c r="E572" s="1" t="n">
        <v>46216</v>
      </c>
      <c r="F572" t="inlineStr">
        <is>
          <t>JÖNKÖPINGS LÄN</t>
        </is>
      </c>
      <c r="G572" t="inlineStr">
        <is>
          <t>EKSJÖ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7723-2025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45706</v>
      </c>
      <c r="E573" s="1" t="n">
        <v>46216</v>
      </c>
      <c r="F573" t="inlineStr">
        <is>
          <t>JÖNKÖPINGS LÄN</t>
        </is>
      </c>
      <c r="G573" t="inlineStr">
        <is>
          <t>EKSJÖ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22574-2025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45786</v>
      </c>
      <c r="E574" s="1" t="n">
        <v>46216</v>
      </c>
      <c r="F574" t="inlineStr">
        <is>
          <t>JÖNKÖPINGS LÄN</t>
        </is>
      </c>
      <c r="G574" t="inlineStr">
        <is>
          <t>EKSJÖ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7585-2025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45705</v>
      </c>
      <c r="E575" s="1" t="n">
        <v>46216</v>
      </c>
      <c r="F575" t="inlineStr">
        <is>
          <t>JÖNKÖPINGS LÄN</t>
        </is>
      </c>
      <c r="G575" t="inlineStr">
        <is>
          <t>EKSJÖ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42469-2023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45175</v>
      </c>
      <c r="E576" s="1" t="n">
        <v>46216</v>
      </c>
      <c r="F576" t="inlineStr">
        <is>
          <t>JÖNKÖPINGS LÄN</t>
        </is>
      </c>
      <c r="G576" t="inlineStr">
        <is>
          <t>EKSJÖ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35253-2024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45530</v>
      </c>
      <c r="E577" s="1" t="n">
        <v>46216</v>
      </c>
      <c r="F577" t="inlineStr">
        <is>
          <t>JÖNKÖPINGS LÄN</t>
        </is>
      </c>
      <c r="G577" t="inlineStr">
        <is>
          <t>EKSJÖ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22987-2025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45790</v>
      </c>
      <c r="E578" s="1" t="n">
        <v>46216</v>
      </c>
      <c r="F578" t="inlineStr">
        <is>
          <t>JÖNKÖPINGS LÄN</t>
        </is>
      </c>
      <c r="G578" t="inlineStr">
        <is>
          <t>EKSJÖ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45743-2024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45579</v>
      </c>
      <c r="E579" s="1" t="n">
        <v>46216</v>
      </c>
      <c r="F579" t="inlineStr">
        <is>
          <t>JÖNKÖPINGS LÄN</t>
        </is>
      </c>
      <c r="G579" t="inlineStr">
        <is>
          <t>EKSJÖ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23387-2025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46216</v>
      </c>
      <c r="F580" t="inlineStr">
        <is>
          <t>JÖNKÖPINGS LÄN</t>
        </is>
      </c>
      <c r="G580" t="inlineStr">
        <is>
          <t>EKSJÖ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23386-2025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46216</v>
      </c>
      <c r="F581" t="inlineStr">
        <is>
          <t>JÖNKÖPINGS LÄN</t>
        </is>
      </c>
      <c r="G581" t="inlineStr">
        <is>
          <t>EKSJÖ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14817-2025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46216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46216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14813-2025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45743</v>
      </c>
      <c r="E584" s="1" t="n">
        <v>46216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14382-2025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45741</v>
      </c>
      <c r="E585" s="1" t="n">
        <v>46216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11345-2025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46216</v>
      </c>
      <c r="F586" t="inlineStr">
        <is>
          <t>JÖNKÖPINGS LÄN</t>
        </is>
      </c>
      <c r="G586" t="inlineStr">
        <is>
          <t>EKSJÖ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46216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46216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46216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46216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46216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46216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46216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46216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46216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46216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46216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46216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46216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46216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46216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46216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46216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46216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46216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46216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46216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46216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46216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46216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46216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1412-2026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46154</v>
      </c>
      <c r="E612" s="1" t="n">
        <v>46216</v>
      </c>
      <c r="F612" t="inlineStr">
        <is>
          <t>JÖNKÖPINGS LÄN</t>
        </is>
      </c>
      <c r="G612" t="inlineStr">
        <is>
          <t>EKSJÖ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46216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46216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46216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2026-07-13T14:47:52Z</dcterms:created>
  <dcterms:modified xmlns:dcterms="http://purl.org/dc/terms/" xmlns:xsi="http://www.w3.org/2001/XMLSchema-instance" xsi:type="dcterms:W3CDTF">2026-07-13T14:47:53Z</dcterms:modified>
</cp:coreProperties>
</file>