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45813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45813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45813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30131-2023</t>
        </is>
      </c>
      <c r="B5" s="1" t="n">
        <v>45110</v>
      </c>
      <c r="C5" s="1" t="n">
        <v>45813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7.2</v>
      </c>
      <c r="H5" t="n">
        <v>1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Tallticka
Vedtrappmossa
Blomkålssvamp
Grönpyrola</t>
        </is>
      </c>
      <c r="S5">
        <f>HYPERLINK("https://klasma.github.io/Logging_0686/artfynd/A 30131-2023 artfynd.xlsx", "A 30131-2023")</f>
        <v/>
      </c>
      <c r="T5">
        <f>HYPERLINK("https://klasma.github.io/Logging_0686/kartor/A 30131-2023 karta.png", "A 30131-2023")</f>
        <v/>
      </c>
      <c r="U5">
        <f>HYPERLINK("https://klasma.github.io/Logging_0686/knärot/A 30131-2023 karta knärot.png", "A 30131-2023")</f>
        <v/>
      </c>
      <c r="V5">
        <f>HYPERLINK("https://klasma.github.io/Logging_0686/klagomål/A 30131-2023 FSC-klagomål.docx", "A 30131-2023")</f>
        <v/>
      </c>
      <c r="W5">
        <f>HYPERLINK("https://klasma.github.io/Logging_0686/klagomålsmail/A 30131-2023 FSC-klagomål mail.docx", "A 30131-2023")</f>
        <v/>
      </c>
      <c r="X5">
        <f>HYPERLINK("https://klasma.github.io/Logging_0686/tillsyn/A 30131-2023 tillsynsbegäran.docx", "A 30131-2023")</f>
        <v/>
      </c>
      <c r="Y5">
        <f>HYPERLINK("https://klasma.github.io/Logging_0686/tillsynsmail/A 30131-2023 tillsynsbegäran mail.docx", "A 30131-2023")</f>
        <v/>
      </c>
    </row>
    <row r="6" ht="15" customHeight="1">
      <c r="A6" t="inlineStr">
        <is>
          <t>A 27874-2024</t>
        </is>
      </c>
      <c r="B6" s="1" t="n">
        <v>45475</v>
      </c>
      <c r="C6" s="1" t="n">
        <v>45813</v>
      </c>
      <c r="D6" t="inlineStr">
        <is>
          <t>JÖNKÖPINGS LÄN</t>
        </is>
      </c>
      <c r="E6" t="inlineStr">
        <is>
          <t>EKSJÖ</t>
        </is>
      </c>
      <c r="G6" t="n">
        <v>17.2</v>
      </c>
      <c r="H6" t="n">
        <v>0</v>
      </c>
      <c r="I6" t="n">
        <v>0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4</v>
      </c>
      <c r="P6" t="n">
        <v>3</v>
      </c>
      <c r="Q6" t="n">
        <v>4</v>
      </c>
      <c r="R6" s="2" t="inlineStr">
        <is>
          <t>Ask
Almlav
Blek kraterlav
Brödmärgsticka</t>
        </is>
      </c>
      <c r="S6">
        <f>HYPERLINK("https://klasma.github.io/Logging_0686/artfynd/A 27874-2024 artfynd.xlsx", "A 27874-2024")</f>
        <v/>
      </c>
      <c r="T6">
        <f>HYPERLINK("https://klasma.github.io/Logging_0686/kartor/A 27874-2024 karta.png", "A 27874-2024")</f>
        <v/>
      </c>
      <c r="V6">
        <f>HYPERLINK("https://klasma.github.io/Logging_0686/klagomål/A 27874-2024 FSC-klagomål.docx", "A 27874-2024")</f>
        <v/>
      </c>
      <c r="W6">
        <f>HYPERLINK("https://klasma.github.io/Logging_0686/klagomålsmail/A 27874-2024 FSC-klagomål mail.docx", "A 27874-2024")</f>
        <v/>
      </c>
      <c r="X6">
        <f>HYPERLINK("https://klasma.github.io/Logging_0686/tillsyn/A 27874-2024 tillsynsbegäran.docx", "A 27874-2024")</f>
        <v/>
      </c>
      <c r="Y6">
        <f>HYPERLINK("https://klasma.github.io/Logging_0686/tillsynsmail/A 27874-2024 tillsynsbegäran mail.docx", "A 27874-2024")</f>
        <v/>
      </c>
    </row>
    <row r="7" ht="15" customHeight="1">
      <c r="A7" t="inlineStr">
        <is>
          <t>A 24622-2024</t>
        </is>
      </c>
      <c r="B7" s="1" t="n">
        <v>45460</v>
      </c>
      <c r="C7" s="1" t="n">
        <v>45813</v>
      </c>
      <c r="D7" t="inlineStr">
        <is>
          <t>JÖNKÖPINGS LÄN</t>
        </is>
      </c>
      <c r="E7" t="inlineStr">
        <is>
          <t>EKSJÖ</t>
        </is>
      </c>
      <c r="G7" t="n">
        <v>1.8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Svart trolldruva</t>
        </is>
      </c>
      <c r="S7">
        <f>HYPERLINK("https://klasma.github.io/Logging_0686/artfynd/A 24622-2024 artfynd.xlsx", "A 24622-2024")</f>
        <v/>
      </c>
      <c r="T7">
        <f>HYPERLINK("https://klasma.github.io/Logging_0686/kartor/A 24622-2024 karta.png", "A 24622-2024")</f>
        <v/>
      </c>
      <c r="U7">
        <f>HYPERLINK("https://klasma.github.io/Logging_0686/knärot/A 24622-2024 karta knärot.png", "A 24622-2024")</f>
        <v/>
      </c>
      <c r="V7">
        <f>HYPERLINK("https://klasma.github.io/Logging_0686/klagomål/A 24622-2024 FSC-klagomål.docx", "A 24622-2024")</f>
        <v/>
      </c>
      <c r="W7">
        <f>HYPERLINK("https://klasma.github.io/Logging_0686/klagomålsmail/A 24622-2024 FSC-klagomål mail.docx", "A 24622-2024")</f>
        <v/>
      </c>
      <c r="X7">
        <f>HYPERLINK("https://klasma.github.io/Logging_0686/tillsyn/A 24622-2024 tillsynsbegäran.docx", "A 24622-2024")</f>
        <v/>
      </c>
      <c r="Y7">
        <f>HYPERLINK("https://klasma.github.io/Logging_0686/tillsynsmail/A 24622-2024 tillsynsbegäran mail.docx", "A 24622-2024")</f>
        <v/>
      </c>
    </row>
    <row r="8" ht="15" customHeight="1">
      <c r="A8" t="inlineStr">
        <is>
          <t>A 34468-2024</t>
        </is>
      </c>
      <c r="B8" s="1" t="n">
        <v>45525</v>
      </c>
      <c r="C8" s="1" t="n">
        <v>45813</v>
      </c>
      <c r="D8" t="inlineStr">
        <is>
          <t>JÖNKÖPINGS LÄN</t>
        </is>
      </c>
      <c r="E8" t="inlineStr">
        <is>
          <t>EKSJÖ</t>
        </is>
      </c>
      <c r="F8" t="inlineStr">
        <is>
          <t>Övriga Aktiebolag</t>
        </is>
      </c>
      <c r="G8" t="n">
        <v>13.6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Gul taggsvamp
Sparvuggla</t>
        </is>
      </c>
      <c r="S8">
        <f>HYPERLINK("https://klasma.github.io/Logging_0686/artfynd/A 34468-2024 artfynd.xlsx", "A 34468-2024")</f>
        <v/>
      </c>
      <c r="T8">
        <f>HYPERLINK("https://klasma.github.io/Logging_0686/kartor/A 34468-2024 karta.png", "A 34468-2024")</f>
        <v/>
      </c>
      <c r="U8">
        <f>HYPERLINK("https://klasma.github.io/Logging_0686/knärot/A 34468-2024 karta knärot.png", "A 34468-2024")</f>
        <v/>
      </c>
      <c r="V8">
        <f>HYPERLINK("https://klasma.github.io/Logging_0686/klagomål/A 34468-2024 FSC-klagomål.docx", "A 34468-2024")</f>
        <v/>
      </c>
      <c r="W8">
        <f>HYPERLINK("https://klasma.github.io/Logging_0686/klagomålsmail/A 34468-2024 FSC-klagomål mail.docx", "A 34468-2024")</f>
        <v/>
      </c>
      <c r="X8">
        <f>HYPERLINK("https://klasma.github.io/Logging_0686/tillsyn/A 34468-2024 tillsynsbegäran.docx", "A 34468-2024")</f>
        <v/>
      </c>
      <c r="Y8">
        <f>HYPERLINK("https://klasma.github.io/Logging_0686/tillsynsmail/A 34468-2024 tillsynsbegäran mail.docx", "A 34468-2024")</f>
        <v/>
      </c>
      <c r="Z8">
        <f>HYPERLINK("https://klasma.github.io/Logging_0686/fåglar/A 34468-2024 prioriterade fågelarter.docx", "A 34468-2024")</f>
        <v/>
      </c>
    </row>
    <row r="9" ht="15" customHeight="1">
      <c r="A9" t="inlineStr">
        <is>
          <t>A 62662-2019</t>
        </is>
      </c>
      <c r="B9" s="1" t="n">
        <v>43789</v>
      </c>
      <c r="C9" s="1" t="n">
        <v>45813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0.9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Brunlångöra
Nordfladdermus</t>
        </is>
      </c>
      <c r="S9">
        <f>HYPERLINK("https://klasma.github.io/Logging_0686/artfynd/A 62662-2019 artfynd.xlsx", "A 62662-2019")</f>
        <v/>
      </c>
      <c r="T9">
        <f>HYPERLINK("https://klasma.github.io/Logging_0686/kartor/A 62662-2019 karta.png", "A 62662-2019")</f>
        <v/>
      </c>
      <c r="V9">
        <f>HYPERLINK("https://klasma.github.io/Logging_0686/klagomål/A 62662-2019 FSC-klagomål.docx", "A 62662-2019")</f>
        <v/>
      </c>
      <c r="W9">
        <f>HYPERLINK("https://klasma.github.io/Logging_0686/klagomålsmail/A 62662-2019 FSC-klagomål mail.docx", "A 62662-2019")</f>
        <v/>
      </c>
      <c r="X9">
        <f>HYPERLINK("https://klasma.github.io/Logging_0686/tillsyn/A 62662-2019 tillsynsbegäran.docx", "A 62662-2019")</f>
        <v/>
      </c>
      <c r="Y9">
        <f>HYPERLINK("https://klasma.github.io/Logging_0686/tillsynsmail/A 62662-2019 tillsynsbegäran mail.docx", "A 62662-2019")</f>
        <v/>
      </c>
    </row>
    <row r="10" ht="15" customHeight="1">
      <c r="A10" t="inlineStr">
        <is>
          <t>A 30125-2023</t>
        </is>
      </c>
      <c r="B10" s="1" t="n">
        <v>45110</v>
      </c>
      <c r="C10" s="1" t="n">
        <v>45813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14.3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Revlummer</t>
        </is>
      </c>
      <c r="S10">
        <f>HYPERLINK("https://klasma.github.io/Logging_0686/artfynd/A 30125-2023 artfynd.xlsx", "A 30125-2023")</f>
        <v/>
      </c>
      <c r="T10">
        <f>HYPERLINK("https://klasma.github.io/Logging_0686/kartor/A 30125-2023 karta.png", "A 30125-2023")</f>
        <v/>
      </c>
      <c r="V10">
        <f>HYPERLINK("https://klasma.github.io/Logging_0686/klagomål/A 30125-2023 FSC-klagomål.docx", "A 30125-2023")</f>
        <v/>
      </c>
      <c r="W10">
        <f>HYPERLINK("https://klasma.github.io/Logging_0686/klagomålsmail/A 30125-2023 FSC-klagomål mail.docx", "A 30125-2023")</f>
        <v/>
      </c>
      <c r="X10">
        <f>HYPERLINK("https://klasma.github.io/Logging_0686/tillsyn/A 30125-2023 tillsynsbegäran.docx", "A 30125-2023")</f>
        <v/>
      </c>
      <c r="Y10">
        <f>HYPERLINK("https://klasma.github.io/Logging_0686/tillsynsmail/A 30125-2023 tillsynsbegäran mail.docx", "A 30125-2023")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45813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45813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45813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45813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45813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45813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45813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45813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45813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45813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45813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45813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45813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45813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45813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45813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45813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45813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45813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45813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45813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45813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45813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45813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45813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45813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45813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45813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45813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45813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45813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45813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45813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45813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45813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45813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45813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45813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45813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45813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45813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45813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45813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45813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45813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45813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45813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45813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45813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45813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45813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45813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45813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45813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45813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45813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45813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45813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45813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45813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45813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45813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45813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45813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45813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45813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45813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45813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45813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45813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45813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45813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45813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45813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45813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45813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45813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45813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45813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45813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45813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45813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45813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45813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45813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45813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45813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45813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45813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45813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45813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45813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45813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45813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45813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45813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45813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45813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45813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45813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45813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45813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45813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45813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45813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45813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45813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45813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45813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45813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45813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45813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45813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45813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45813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45813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45813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45813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45813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45813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45813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45813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45813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45813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45813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45813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45813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45813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45813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45813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45813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45813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45813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45813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45813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45813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45813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45813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45813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45813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45813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45813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45813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45813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45813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45813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45813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45813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45813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45813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45813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45813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45813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45813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45813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45813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45813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45813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45813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45813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45813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45813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45813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45813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45813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45813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45813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45813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45813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45813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45813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45813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45813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45813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45813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45813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45813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45813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45813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45813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45813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45813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45813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45813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45813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45813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45813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45813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45813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45813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45813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45813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45813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45813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45813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45813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45813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45813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45813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45813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45813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45813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45813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45813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45813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45813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45813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45813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45813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45813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45813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45813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45813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45813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45813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45813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45813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45813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45813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45813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45813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45813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45813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45813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45813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45813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45813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45813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45813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45813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45813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45813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45813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45813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45813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45813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45813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45813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45813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45813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45813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45813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45813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45813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45813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45813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45813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45813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45813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45813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45813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45813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45813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45813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45813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45813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45813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45813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45813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45813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45813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45813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45813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45813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45813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45813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45813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45813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45813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45813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45813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45813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45813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45813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45813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45813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45813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45813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45813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45813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45813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45813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45813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45813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45813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45813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45813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45813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45813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45813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45813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45813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45813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45813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45813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45813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45813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45813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45813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45813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45813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45813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45813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45813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45813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45813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45813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45813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45813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45813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45813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45813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45813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45813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45813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45813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45813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45813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45813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45813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45813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45813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45813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45813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45813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45813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45813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45813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45813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45813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45813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45813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45813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45813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45813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45813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45813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45813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45813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45813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45813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45813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45813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45813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45813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45813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45813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45813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45813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45813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45813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45813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45813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45813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45813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45813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45813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45813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45813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45813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45813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45813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45813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45813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45813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45813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45813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45813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45813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45813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45813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45813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45813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45813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45813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45813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45813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45813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45813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45813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45813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45813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45813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45813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45813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45813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45813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45813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45813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45813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45813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45813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45813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45813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45813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45813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45813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45813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45813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45813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45813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45813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45813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45813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45813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45813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45813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45813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45813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45813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45813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45813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45813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45813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45813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45813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45813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45813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45813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45813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45813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45813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45813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45813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45813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45813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45813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45813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45813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45813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45813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45813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45813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45813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45813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45813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45813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45813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45813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45813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45813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45813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45813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45813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45813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45813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45813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45813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45813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45813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45813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45813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45813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45813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45813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45813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45813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45813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45813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45813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45813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45813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45813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45813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45813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45813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45813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45813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45813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45813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45813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45813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45813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45813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45813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45813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45813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45813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45813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45813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45813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45813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45813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45813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45813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45813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45813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45813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45813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45813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45813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45813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45813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45813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45813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45813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45813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45813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45813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45813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45813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45813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45813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45813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45813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45813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45813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45813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45813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45813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45813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45813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45813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45813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45813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45813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45813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45813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45813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45813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45813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45813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45813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45813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45813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45813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45813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45813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45813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45813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45813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45813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45813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45813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45813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45813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45813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45813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45813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45813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45813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45813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45813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45813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45813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45813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45813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45813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45813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45813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45813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45813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45813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45813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45813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45813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45813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45813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45813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45813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45813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45813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45813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45813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45813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45813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45813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45813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45813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45813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45813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45813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45813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45813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45813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45813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45813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45813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45813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45813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45813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45813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45813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45813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45813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45813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45813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45813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45813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45813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45813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45813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45813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45813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45813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45813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45813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45813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45813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45813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45813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45813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45813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45813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45813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45813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45813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45813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45813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45813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45813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45813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45813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45813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45813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45813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45813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45813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45813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45813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45813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45813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45813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45813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45813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45813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45813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45813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45813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45813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45813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45813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45813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45813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45813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45813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45813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45813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45813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45813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45813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45813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45813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45813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45813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45813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45813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45813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45813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45813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45813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45813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45813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45813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45813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45813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45813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45813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45813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45813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45813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45813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45813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45813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45813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45813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45813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45813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45813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45813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45813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45813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45813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45813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45813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45813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45813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45813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45813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45813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45813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45813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45813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45813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45813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45813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45813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45813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45813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45813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45813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45813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45813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45813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45813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45813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45813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45813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45813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45813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45813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45813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45813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45813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45813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45813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45813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45813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45813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45813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45813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45813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45813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45813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45813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45813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45813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45813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45813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45813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45813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45813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45813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45813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45813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45813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45813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45813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45813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45813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45813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45813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45813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45813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45813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45813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45813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45813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45813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45813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45813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45813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45813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45813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45813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45813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45813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45813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45813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45813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45813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45813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45813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45813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45813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45813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45813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45813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45813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45813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45813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45813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45813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45813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45813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45813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45813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45813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45813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45813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45813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45813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45813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45813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45813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45813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45813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45813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45813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45813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45813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45813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45813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45813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45813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45813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45813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45813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45813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45813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45813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45813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45813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45813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45813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45813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45813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45813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45813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45813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45813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45813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45813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45813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45813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45813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45813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45813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45813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45813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45813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45813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45813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45813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45813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45813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45813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45813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45813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45813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45813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45813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45813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45813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45813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45813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45813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45813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45813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45813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45813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45813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45813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45813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45813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45813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45813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45813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45813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45813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45813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45813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45813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45813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45813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45813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45813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45813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45813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45813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45813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45813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45813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45813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45813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45813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45813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45813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45813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45813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45813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45813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45813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45813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45813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45813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45813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45813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45813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45813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45813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45813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45813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45813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45813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45813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45813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45813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45813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45813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45813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45813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45813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45813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45813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45813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45813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45813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45813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45813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45813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45813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45813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45813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45813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45813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45813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45813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45813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45813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45813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45813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45813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45813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45813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45813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45813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45813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45813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45813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45813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45813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45813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45813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45813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45813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45813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45813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45813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45813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45813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45813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45813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45813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45813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45813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45813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45813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45813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45813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45813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45813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45813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45813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45813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45813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45813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45813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45813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45813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45813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45813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45813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45813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45813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45813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45813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45813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45813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45813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45813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45813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45813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45813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45813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45813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45813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45813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45813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45813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45813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45813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45813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45813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45813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45813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45813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45813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45813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45813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45813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45813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45813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45813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45813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45813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45813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45813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45813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45813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45813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45813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45813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45813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45813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45813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45813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45813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45813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45813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45813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45813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45813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45813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45813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45813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45813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45813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45813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45813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45813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45813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45813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45813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45813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45813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45813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45813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45813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45813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45813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45813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45813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45813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45813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45813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45813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45813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45813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45813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45813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45813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45813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45813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45813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45813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45813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45813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45813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45813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45813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45813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45813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45813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45813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45813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45813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45813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7728-2025</t>
        </is>
      </c>
      <c r="B1049" s="1" t="n">
        <v>45706</v>
      </c>
      <c r="C1049" s="1" t="n">
        <v>45813</v>
      </c>
      <c r="D1049" t="inlineStr">
        <is>
          <t>JÖNKÖPINGS LÄN</t>
        </is>
      </c>
      <c r="E1049" t="inlineStr">
        <is>
          <t>EKSJÖ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7729-2025</t>
        </is>
      </c>
      <c r="B1050" s="1" t="n">
        <v>45706</v>
      </c>
      <c r="C1050" s="1" t="n">
        <v>45813</v>
      </c>
      <c r="D1050" t="inlineStr">
        <is>
          <t>JÖNKÖPINGS LÄN</t>
        </is>
      </c>
      <c r="E1050" t="inlineStr">
        <is>
          <t>EKSJÖ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7690-2025</t>
        </is>
      </c>
      <c r="B1051" s="1" t="n">
        <v>45706</v>
      </c>
      <c r="C1051" s="1" t="n">
        <v>45813</v>
      </c>
      <c r="D1051" t="inlineStr">
        <is>
          <t>JÖNKÖPINGS LÄN</t>
        </is>
      </c>
      <c r="E1051" t="inlineStr">
        <is>
          <t>EKSJÖ</t>
        </is>
      </c>
      <c r="G1051" t="n">
        <v>9.1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7723-2025</t>
        </is>
      </c>
      <c r="B1052" s="1" t="n">
        <v>45706</v>
      </c>
      <c r="C1052" s="1" t="n">
        <v>45813</v>
      </c>
      <c r="D1052" t="inlineStr">
        <is>
          <t>JÖNKÖPINGS LÄN</t>
        </is>
      </c>
      <c r="E1052" t="inlineStr">
        <is>
          <t>EKSJÖ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7740-2025</t>
        </is>
      </c>
      <c r="B1053" s="1" t="n">
        <v>45706</v>
      </c>
      <c r="C1053" s="1" t="n">
        <v>45813</v>
      </c>
      <c r="D1053" t="inlineStr">
        <is>
          <t>JÖNKÖPINGS LÄN</t>
        </is>
      </c>
      <c r="E1053" t="inlineStr">
        <is>
          <t>EKSJÖ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7737-2025</t>
        </is>
      </c>
      <c r="B1054" s="1" t="n">
        <v>45706</v>
      </c>
      <c r="C1054" s="1" t="n">
        <v>45813</v>
      </c>
      <c r="D1054" t="inlineStr">
        <is>
          <t>JÖNKÖPINGS LÄN</t>
        </is>
      </c>
      <c r="E1054" t="inlineStr">
        <is>
          <t>EKSJÖ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8056-2025</t>
        </is>
      </c>
      <c r="B1055" s="1" t="n">
        <v>45707</v>
      </c>
      <c r="C1055" s="1" t="n">
        <v>45813</v>
      </c>
      <c r="D1055" t="inlineStr">
        <is>
          <t>JÖNKÖPINGS LÄN</t>
        </is>
      </c>
      <c r="E1055" t="inlineStr">
        <is>
          <t>EKSJÖ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8015-2025</t>
        </is>
      </c>
      <c r="B1056" s="1" t="n">
        <v>45707</v>
      </c>
      <c r="C1056" s="1" t="n">
        <v>45813</v>
      </c>
      <c r="D1056" t="inlineStr">
        <is>
          <t>JÖNKÖPINGS LÄN</t>
        </is>
      </c>
      <c r="E1056" t="inlineStr">
        <is>
          <t>EKSJÖ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45813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9283-2025</t>
        </is>
      </c>
      <c r="B1058" s="1" t="n">
        <v>45714</v>
      </c>
      <c r="C1058" s="1" t="n">
        <v>45813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9287-2025</t>
        </is>
      </c>
      <c r="B1059" s="1" t="n">
        <v>45714</v>
      </c>
      <c r="C1059" s="1" t="n">
        <v>45813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9294-2025</t>
        </is>
      </c>
      <c r="B1060" s="1" t="n">
        <v>45714</v>
      </c>
      <c r="C1060" s="1" t="n">
        <v>45813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9297-2025</t>
        </is>
      </c>
      <c r="B1061" s="1" t="n">
        <v>45714</v>
      </c>
      <c r="C1061" s="1" t="n">
        <v>45813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9292-2025</t>
        </is>
      </c>
      <c r="B1062" s="1" t="n">
        <v>45714</v>
      </c>
      <c r="C1062" s="1" t="n">
        <v>45813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9300-2025</t>
        </is>
      </c>
      <c r="B1063" s="1" t="n">
        <v>45714</v>
      </c>
      <c r="C1063" s="1" t="n">
        <v>45813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9385-2025</t>
        </is>
      </c>
      <c r="B1064" s="1" t="n">
        <v>45715</v>
      </c>
      <c r="C1064" s="1" t="n">
        <v>45813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9404-2025</t>
        </is>
      </c>
      <c r="B1065" s="1" t="n">
        <v>45715</v>
      </c>
      <c r="C1065" s="1" t="n">
        <v>45813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9364-2025</t>
        </is>
      </c>
      <c r="B1066" s="1" t="n">
        <v>45715</v>
      </c>
      <c r="C1066" s="1" t="n">
        <v>45813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9429-2025</t>
        </is>
      </c>
      <c r="B1067" s="1" t="n">
        <v>45715</v>
      </c>
      <c r="C1067" s="1" t="n">
        <v>45813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9400-2025</t>
        </is>
      </c>
      <c r="B1068" s="1" t="n">
        <v>45715</v>
      </c>
      <c r="C1068" s="1" t="n">
        <v>45813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9363-2025</t>
        </is>
      </c>
      <c r="B1069" s="1" t="n">
        <v>45715</v>
      </c>
      <c r="C1069" s="1" t="n">
        <v>45813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9735-2025</t>
        </is>
      </c>
      <c r="B1070" s="1" t="n">
        <v>45716</v>
      </c>
      <c r="C1070" s="1" t="n">
        <v>45813</v>
      </c>
      <c r="D1070" t="inlineStr">
        <is>
          <t>JÖNKÖPINGS LÄN</t>
        </is>
      </c>
      <c r="E1070" t="inlineStr">
        <is>
          <t>EKSJÖ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9730-2025</t>
        </is>
      </c>
      <c r="B1071" s="1" t="n">
        <v>45716</v>
      </c>
      <c r="C1071" s="1" t="n">
        <v>45813</v>
      </c>
      <c r="D1071" t="inlineStr">
        <is>
          <t>JÖNKÖPINGS LÄN</t>
        </is>
      </c>
      <c r="E1071" t="inlineStr">
        <is>
          <t>EKSJÖ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9845-2025</t>
        </is>
      </c>
      <c r="B1072" s="1" t="n">
        <v>45716</v>
      </c>
      <c r="C1072" s="1" t="n">
        <v>45813</v>
      </c>
      <c r="D1072" t="inlineStr">
        <is>
          <t>JÖNKÖPINGS LÄN</t>
        </is>
      </c>
      <c r="E1072" t="inlineStr">
        <is>
          <t>EKSJÖ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10169-2025</t>
        </is>
      </c>
      <c r="B1073" s="1" t="n">
        <v>45719</v>
      </c>
      <c r="C1073" s="1" t="n">
        <v>45813</v>
      </c>
      <c r="D1073" t="inlineStr">
        <is>
          <t>JÖNKÖPINGS LÄN</t>
        </is>
      </c>
      <c r="E1073" t="inlineStr">
        <is>
          <t>EKSJÖ</t>
        </is>
      </c>
      <c r="F1073" t="inlineStr">
        <is>
          <t>Sveaskog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10045-2025</t>
        </is>
      </c>
      <c r="B1074" s="1" t="n">
        <v>45719</v>
      </c>
      <c r="C1074" s="1" t="n">
        <v>45813</v>
      </c>
      <c r="D1074" t="inlineStr">
        <is>
          <t>JÖNKÖPINGS LÄN</t>
        </is>
      </c>
      <c r="E1074" t="inlineStr">
        <is>
          <t>EKSJÖ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10039-2025</t>
        </is>
      </c>
      <c r="B1075" s="1" t="n">
        <v>45719</v>
      </c>
      <c r="C1075" s="1" t="n">
        <v>45813</v>
      </c>
      <c r="D1075" t="inlineStr">
        <is>
          <t>JÖNKÖPINGS LÄN</t>
        </is>
      </c>
      <c r="E1075" t="inlineStr">
        <is>
          <t>EKSJÖ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10334-2025</t>
        </is>
      </c>
      <c r="B1076" s="1" t="n">
        <v>45720</v>
      </c>
      <c r="C1076" s="1" t="n">
        <v>45813</v>
      </c>
      <c r="D1076" t="inlineStr">
        <is>
          <t>JÖNKÖPINGS LÄN</t>
        </is>
      </c>
      <c r="E1076" t="inlineStr">
        <is>
          <t>EKSJÖ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10972-2025</t>
        </is>
      </c>
      <c r="B1077" s="1" t="n">
        <v>45723</v>
      </c>
      <c r="C1077" s="1" t="n">
        <v>45813</v>
      </c>
      <c r="D1077" t="inlineStr">
        <is>
          <t>JÖNKÖPINGS LÄN</t>
        </is>
      </c>
      <c r="E1077" t="inlineStr">
        <is>
          <t>EKSJÖ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11369-2025</t>
        </is>
      </c>
      <c r="B1078" s="1" t="n">
        <v>45726</v>
      </c>
      <c r="C1078" s="1" t="n">
        <v>45813</v>
      </c>
      <c r="D1078" t="inlineStr">
        <is>
          <t>JÖNKÖPINGS LÄN</t>
        </is>
      </c>
      <c r="E1078" t="inlineStr">
        <is>
          <t>EKSJÖ</t>
        </is>
      </c>
      <c r="F1078" t="inlineStr">
        <is>
          <t>Sveaskog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11345-2025</t>
        </is>
      </c>
      <c r="B1079" s="1" t="n">
        <v>45726</v>
      </c>
      <c r="C1079" s="1" t="n">
        <v>45813</v>
      </c>
      <c r="D1079" t="inlineStr">
        <is>
          <t>JÖNKÖPINGS LÄN</t>
        </is>
      </c>
      <c r="E1079" t="inlineStr">
        <is>
          <t>EKSJÖ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11669-2025</t>
        </is>
      </c>
      <c r="B1080" s="1" t="n">
        <v>45727</v>
      </c>
      <c r="C1080" s="1" t="n">
        <v>45813</v>
      </c>
      <c r="D1080" t="inlineStr">
        <is>
          <t>JÖNKÖPINGS LÄN</t>
        </is>
      </c>
      <c r="E1080" t="inlineStr">
        <is>
          <t>EKSJÖ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11957-2025</t>
        </is>
      </c>
      <c r="B1081" s="1" t="n">
        <v>45728</v>
      </c>
      <c r="C1081" s="1" t="n">
        <v>45813</v>
      </c>
      <c r="D1081" t="inlineStr">
        <is>
          <t>JÖNKÖPINGS LÄN</t>
        </is>
      </c>
      <c r="E1081" t="inlineStr">
        <is>
          <t>EKSJÖ</t>
        </is>
      </c>
      <c r="F1081" t="inlineStr">
        <is>
          <t>Sveaskog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11863-2025</t>
        </is>
      </c>
      <c r="B1082" s="1" t="n">
        <v>45728</v>
      </c>
      <c r="C1082" s="1" t="n">
        <v>45813</v>
      </c>
      <c r="D1082" t="inlineStr">
        <is>
          <t>JÖNKÖPINGS LÄN</t>
        </is>
      </c>
      <c r="E1082" t="inlineStr">
        <is>
          <t>EKSJÖ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11959-2025</t>
        </is>
      </c>
      <c r="B1083" s="1" t="n">
        <v>45728</v>
      </c>
      <c r="C1083" s="1" t="n">
        <v>45813</v>
      </c>
      <c r="D1083" t="inlineStr">
        <is>
          <t>JÖNKÖPINGS LÄN</t>
        </is>
      </c>
      <c r="E1083" t="inlineStr">
        <is>
          <t>EKSJÖ</t>
        </is>
      </c>
      <c r="F1083" t="inlineStr">
        <is>
          <t>Sveaskog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12277-2025</t>
        </is>
      </c>
      <c r="B1084" s="1" t="n">
        <v>45729</v>
      </c>
      <c r="C1084" s="1" t="n">
        <v>45813</v>
      </c>
      <c r="D1084" t="inlineStr">
        <is>
          <t>JÖNKÖPINGS LÄN</t>
        </is>
      </c>
      <c r="E1084" t="inlineStr">
        <is>
          <t>EKSJÖ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12665-2025</t>
        </is>
      </c>
      <c r="B1085" s="1" t="n">
        <v>45733</v>
      </c>
      <c r="C1085" s="1" t="n">
        <v>45813</v>
      </c>
      <c r="D1085" t="inlineStr">
        <is>
          <t>JÖNKÖPINGS LÄN</t>
        </is>
      </c>
      <c r="E1085" t="inlineStr">
        <is>
          <t>EKSJÖ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13735-2025</t>
        </is>
      </c>
      <c r="B1086" s="1" t="n">
        <v>45737</v>
      </c>
      <c r="C1086" s="1" t="n">
        <v>45813</v>
      </c>
      <c r="D1086" t="inlineStr">
        <is>
          <t>JÖNKÖPINGS LÄN</t>
        </is>
      </c>
      <c r="E1086" t="inlineStr">
        <is>
          <t>EKSJÖ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13741-2025</t>
        </is>
      </c>
      <c r="B1087" s="1" t="n">
        <v>45737</v>
      </c>
      <c r="C1087" s="1" t="n">
        <v>45813</v>
      </c>
      <c r="D1087" t="inlineStr">
        <is>
          <t>JÖNKÖPINGS LÄN</t>
        </is>
      </c>
      <c r="E1087" t="inlineStr">
        <is>
          <t>EKSJÖ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14355-2025</t>
        </is>
      </c>
      <c r="B1088" s="1" t="n">
        <v>45741</v>
      </c>
      <c r="C1088" s="1" t="n">
        <v>45813</v>
      </c>
      <c r="D1088" t="inlineStr">
        <is>
          <t>JÖNKÖPINGS LÄN</t>
        </is>
      </c>
      <c r="E1088" t="inlineStr">
        <is>
          <t>EKSJÖ</t>
        </is>
      </c>
      <c r="F1088" t="inlineStr">
        <is>
          <t>Sveaskog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14376-2025</t>
        </is>
      </c>
      <c r="B1089" s="1" t="n">
        <v>45741</v>
      </c>
      <c r="C1089" s="1" t="n">
        <v>45813</v>
      </c>
      <c r="D1089" t="inlineStr">
        <is>
          <t>JÖNKÖPINGS LÄN</t>
        </is>
      </c>
      <c r="E1089" t="inlineStr">
        <is>
          <t>EKSJÖ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14417-2025</t>
        </is>
      </c>
      <c r="B1090" s="1" t="n">
        <v>45741</v>
      </c>
      <c r="C1090" s="1" t="n">
        <v>45813</v>
      </c>
      <c r="D1090" t="inlineStr">
        <is>
          <t>JÖNKÖPINGS LÄN</t>
        </is>
      </c>
      <c r="E1090" t="inlineStr">
        <is>
          <t>EKSJÖ</t>
        </is>
      </c>
      <c r="F1090" t="inlineStr">
        <is>
          <t>Sveaskog</t>
        </is>
      </c>
      <c r="G1090" t="n">
        <v>11.9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14424-2025</t>
        </is>
      </c>
      <c r="B1091" s="1" t="n">
        <v>45741</v>
      </c>
      <c r="C1091" s="1" t="n">
        <v>45813</v>
      </c>
      <c r="D1091" t="inlineStr">
        <is>
          <t>JÖNKÖPINGS LÄN</t>
        </is>
      </c>
      <c r="E1091" t="inlineStr">
        <is>
          <t>EKSJÖ</t>
        </is>
      </c>
      <c r="F1091" t="inlineStr">
        <is>
          <t>Sveaskog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14427-2025</t>
        </is>
      </c>
      <c r="B1092" s="1" t="n">
        <v>45741</v>
      </c>
      <c r="C1092" s="1" t="n">
        <v>45813</v>
      </c>
      <c r="D1092" t="inlineStr">
        <is>
          <t>JÖNKÖPINGS LÄN</t>
        </is>
      </c>
      <c r="E1092" t="inlineStr">
        <is>
          <t>EKSJÖ</t>
        </is>
      </c>
      <c r="F1092" t="inlineStr">
        <is>
          <t>Sveaskog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14361-2025</t>
        </is>
      </c>
      <c r="B1093" s="1" t="n">
        <v>45741</v>
      </c>
      <c r="C1093" s="1" t="n">
        <v>45813</v>
      </c>
      <c r="D1093" t="inlineStr">
        <is>
          <t>JÖNKÖPINGS LÄN</t>
        </is>
      </c>
      <c r="E1093" t="inlineStr">
        <is>
          <t>EKSJÖ</t>
        </is>
      </c>
      <c r="F1093" t="inlineStr">
        <is>
          <t>Sveaskog</t>
        </is>
      </c>
      <c r="G1093" t="n">
        <v>13.1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14362-2025</t>
        </is>
      </c>
      <c r="B1094" s="1" t="n">
        <v>45741</v>
      </c>
      <c r="C1094" s="1" t="n">
        <v>45813</v>
      </c>
      <c r="D1094" t="inlineStr">
        <is>
          <t>JÖNKÖPINGS LÄN</t>
        </is>
      </c>
      <c r="E1094" t="inlineStr">
        <is>
          <t>EKSJÖ</t>
        </is>
      </c>
      <c r="F1094" t="inlineStr">
        <is>
          <t>Sveaskog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14420-2025</t>
        </is>
      </c>
      <c r="B1095" s="1" t="n">
        <v>45741</v>
      </c>
      <c r="C1095" s="1" t="n">
        <v>45813</v>
      </c>
      <c r="D1095" t="inlineStr">
        <is>
          <t>JÖNKÖPINGS LÄN</t>
        </is>
      </c>
      <c r="E1095" t="inlineStr">
        <is>
          <t>EKSJÖ</t>
        </is>
      </c>
      <c r="F1095" t="inlineStr">
        <is>
          <t>Sveaskog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14428-2025</t>
        </is>
      </c>
      <c r="B1096" s="1" t="n">
        <v>45741</v>
      </c>
      <c r="C1096" s="1" t="n">
        <v>45813</v>
      </c>
      <c r="D1096" t="inlineStr">
        <is>
          <t>JÖNKÖPINGS LÄN</t>
        </is>
      </c>
      <c r="E1096" t="inlineStr">
        <is>
          <t>EKSJÖ</t>
        </is>
      </c>
      <c r="F1096" t="inlineStr">
        <is>
          <t>Sveaskog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14350-2025</t>
        </is>
      </c>
      <c r="B1097" s="1" t="n">
        <v>45741</v>
      </c>
      <c r="C1097" s="1" t="n">
        <v>45813</v>
      </c>
      <c r="D1097" t="inlineStr">
        <is>
          <t>JÖNKÖPINGS LÄN</t>
        </is>
      </c>
      <c r="E1097" t="inlineStr">
        <is>
          <t>EKSJÖ</t>
        </is>
      </c>
      <c r="F1097" t="inlineStr">
        <is>
          <t>Sveaskog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14414-2025</t>
        </is>
      </c>
      <c r="B1098" s="1" t="n">
        <v>45741</v>
      </c>
      <c r="C1098" s="1" t="n">
        <v>45813</v>
      </c>
      <c r="D1098" t="inlineStr">
        <is>
          <t>JÖNKÖPINGS LÄN</t>
        </is>
      </c>
      <c r="E1098" t="inlineStr">
        <is>
          <t>EKSJÖ</t>
        </is>
      </c>
      <c r="F1098" t="inlineStr">
        <is>
          <t>Sveaskog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14366-2025</t>
        </is>
      </c>
      <c r="B1099" s="1" t="n">
        <v>45741</v>
      </c>
      <c r="C1099" s="1" t="n">
        <v>45813</v>
      </c>
      <c r="D1099" t="inlineStr">
        <is>
          <t>JÖNKÖPINGS LÄN</t>
        </is>
      </c>
      <c r="E1099" t="inlineStr">
        <is>
          <t>EKSJÖ</t>
        </is>
      </c>
      <c r="F1099" t="inlineStr">
        <is>
          <t>Sveaskog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14382-2025</t>
        </is>
      </c>
      <c r="B1100" s="1" t="n">
        <v>45741</v>
      </c>
      <c r="C1100" s="1" t="n">
        <v>45813</v>
      </c>
      <c r="D1100" t="inlineStr">
        <is>
          <t>JÖNKÖPINGS LÄN</t>
        </is>
      </c>
      <c r="E1100" t="inlineStr">
        <is>
          <t>EKSJÖ</t>
        </is>
      </c>
      <c r="F1100" t="inlineStr">
        <is>
          <t>Sveaskog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14748-2025</t>
        </is>
      </c>
      <c r="B1101" s="1" t="n">
        <v>45742</v>
      </c>
      <c r="C1101" s="1" t="n">
        <v>45813</v>
      </c>
      <c r="D1101" t="inlineStr">
        <is>
          <t>JÖNKÖPINGS LÄN</t>
        </is>
      </c>
      <c r="E1101" t="inlineStr">
        <is>
          <t>EKSJÖ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14813-2025</t>
        </is>
      </c>
      <c r="B1102" s="1" t="n">
        <v>45743</v>
      </c>
      <c r="C1102" s="1" t="n">
        <v>45813</v>
      </c>
      <c r="D1102" t="inlineStr">
        <is>
          <t>JÖNKÖPINGS LÄN</t>
        </is>
      </c>
      <c r="E1102" t="inlineStr">
        <is>
          <t>EKSJÖ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14817-2025</t>
        </is>
      </c>
      <c r="B1103" s="1" t="n">
        <v>45743</v>
      </c>
      <c r="C1103" s="1" t="n">
        <v>45813</v>
      </c>
      <c r="D1103" t="inlineStr">
        <is>
          <t>JÖNKÖPINGS LÄN</t>
        </is>
      </c>
      <c r="E1103" t="inlineStr">
        <is>
          <t>EKSJÖ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17387-2025</t>
        </is>
      </c>
      <c r="B1104" s="1" t="n">
        <v>45757</v>
      </c>
      <c r="C1104" s="1" t="n">
        <v>45813</v>
      </c>
      <c r="D1104" t="inlineStr">
        <is>
          <t>JÖNKÖPINGS LÄN</t>
        </is>
      </c>
      <c r="E1104" t="inlineStr">
        <is>
          <t>EKSJÖ</t>
        </is>
      </c>
      <c r="G1104" t="n">
        <v>0.2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17386-2025</t>
        </is>
      </c>
      <c r="B1105" s="1" t="n">
        <v>45757</v>
      </c>
      <c r="C1105" s="1" t="n">
        <v>45813</v>
      </c>
      <c r="D1105" t="inlineStr">
        <is>
          <t>JÖNKÖPINGS LÄN</t>
        </is>
      </c>
      <c r="E1105" t="inlineStr">
        <is>
          <t>EKSJÖ</t>
        </is>
      </c>
      <c r="G1105" t="n">
        <v>11.3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17635-2025</t>
        </is>
      </c>
      <c r="B1106" s="1" t="n">
        <v>45758</v>
      </c>
      <c r="C1106" s="1" t="n">
        <v>45813</v>
      </c>
      <c r="D1106" t="inlineStr">
        <is>
          <t>JÖNKÖPINGS LÄN</t>
        </is>
      </c>
      <c r="E1106" t="inlineStr">
        <is>
          <t>EKSJÖ</t>
        </is>
      </c>
      <c r="F1106" t="inlineStr">
        <is>
          <t>Sveaskog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17634-2025</t>
        </is>
      </c>
      <c r="B1107" s="1" t="n">
        <v>45758</v>
      </c>
      <c r="C1107" s="1" t="n">
        <v>45813</v>
      </c>
      <c r="D1107" t="inlineStr">
        <is>
          <t>JÖNKÖPINGS LÄN</t>
        </is>
      </c>
      <c r="E1107" t="inlineStr">
        <is>
          <t>EKSJÖ</t>
        </is>
      </c>
      <c r="F1107" t="inlineStr">
        <is>
          <t>Sveaskog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17636-2025</t>
        </is>
      </c>
      <c r="B1108" s="1" t="n">
        <v>45758</v>
      </c>
      <c r="C1108" s="1" t="n">
        <v>45813</v>
      </c>
      <c r="D1108" t="inlineStr">
        <is>
          <t>JÖNKÖPINGS LÄN</t>
        </is>
      </c>
      <c r="E1108" t="inlineStr">
        <is>
          <t>EKSJÖ</t>
        </is>
      </c>
      <c r="F1108" t="inlineStr">
        <is>
          <t>Sveaskog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18086-2025</t>
        </is>
      </c>
      <c r="B1109" s="1" t="n">
        <v>45761</v>
      </c>
      <c r="C1109" s="1" t="n">
        <v>45813</v>
      </c>
      <c r="D1109" t="inlineStr">
        <is>
          <t>JÖNKÖPINGS LÄN</t>
        </is>
      </c>
      <c r="E1109" t="inlineStr">
        <is>
          <t>EKSJÖ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18087-2025</t>
        </is>
      </c>
      <c r="B1110" s="1" t="n">
        <v>45761</v>
      </c>
      <c r="C1110" s="1" t="n">
        <v>45813</v>
      </c>
      <c r="D1110" t="inlineStr">
        <is>
          <t>JÖNKÖPINGS LÄN</t>
        </is>
      </c>
      <c r="E1110" t="inlineStr">
        <is>
          <t>EKSJÖ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18336-2025</t>
        </is>
      </c>
      <c r="B1111" s="1" t="n">
        <v>45762</v>
      </c>
      <c r="C1111" s="1" t="n">
        <v>45813</v>
      </c>
      <c r="D1111" t="inlineStr">
        <is>
          <t>JÖNKÖPINGS LÄN</t>
        </is>
      </c>
      <c r="E1111" t="inlineStr">
        <is>
          <t>EKSJÖ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18344-2025</t>
        </is>
      </c>
      <c r="B1112" s="1" t="n">
        <v>45762</v>
      </c>
      <c r="C1112" s="1" t="n">
        <v>45813</v>
      </c>
      <c r="D1112" t="inlineStr">
        <is>
          <t>JÖNKÖPINGS LÄN</t>
        </is>
      </c>
      <c r="E1112" t="inlineStr">
        <is>
          <t>EKSJÖ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18337-2025</t>
        </is>
      </c>
      <c r="B1113" s="1" t="n">
        <v>45762</v>
      </c>
      <c r="C1113" s="1" t="n">
        <v>45813</v>
      </c>
      <c r="D1113" t="inlineStr">
        <is>
          <t>JÖNKÖPINGS LÄN</t>
        </is>
      </c>
      <c r="E1113" t="inlineStr">
        <is>
          <t>EKSJÖ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18413-2025</t>
        </is>
      </c>
      <c r="B1114" s="1" t="n">
        <v>45762</v>
      </c>
      <c r="C1114" s="1" t="n">
        <v>45813</v>
      </c>
      <c r="D1114" t="inlineStr">
        <is>
          <t>JÖNKÖPINGS LÄN</t>
        </is>
      </c>
      <c r="E1114" t="inlineStr">
        <is>
          <t>EKSJÖ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19135-2025</t>
        </is>
      </c>
      <c r="B1115" s="1" t="n">
        <v>45764</v>
      </c>
      <c r="C1115" s="1" t="n">
        <v>45813</v>
      </c>
      <c r="D1115" t="inlineStr">
        <is>
          <t>JÖNKÖPINGS LÄN</t>
        </is>
      </c>
      <c r="E1115" t="inlineStr">
        <is>
          <t>EKSJÖ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19497-2025</t>
        </is>
      </c>
      <c r="B1116" s="1" t="n">
        <v>45770</v>
      </c>
      <c r="C1116" s="1" t="n">
        <v>45813</v>
      </c>
      <c r="D1116" t="inlineStr">
        <is>
          <t>JÖNKÖPINGS LÄN</t>
        </is>
      </c>
      <c r="E1116" t="inlineStr">
        <is>
          <t>EKSJÖ</t>
        </is>
      </c>
      <c r="F1116" t="inlineStr">
        <is>
          <t>Sveaskog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19504-2025</t>
        </is>
      </c>
      <c r="B1117" s="1" t="n">
        <v>45770</v>
      </c>
      <c r="C1117" s="1" t="n">
        <v>45813</v>
      </c>
      <c r="D1117" t="inlineStr">
        <is>
          <t>JÖNKÖPINGS LÄN</t>
        </is>
      </c>
      <c r="E1117" t="inlineStr">
        <is>
          <t>EKSJÖ</t>
        </is>
      </c>
      <c r="F1117" t="inlineStr">
        <is>
          <t>Sveaskog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19507-2025</t>
        </is>
      </c>
      <c r="B1118" s="1" t="n">
        <v>45770</v>
      </c>
      <c r="C1118" s="1" t="n">
        <v>45813</v>
      </c>
      <c r="D1118" t="inlineStr">
        <is>
          <t>JÖNKÖPINGS LÄN</t>
        </is>
      </c>
      <c r="E1118" t="inlineStr">
        <is>
          <t>EKSJÖ</t>
        </is>
      </c>
      <c r="F1118" t="inlineStr">
        <is>
          <t>Sveaskog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19491-2025</t>
        </is>
      </c>
      <c r="B1119" s="1" t="n">
        <v>45770</v>
      </c>
      <c r="C1119" s="1" t="n">
        <v>45813</v>
      </c>
      <c r="D1119" t="inlineStr">
        <is>
          <t>JÖNKÖPINGS LÄN</t>
        </is>
      </c>
      <c r="E1119" t="inlineStr">
        <is>
          <t>EKSJÖ</t>
        </is>
      </c>
      <c r="F1119" t="inlineStr">
        <is>
          <t>Sveaskog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19511-2025</t>
        </is>
      </c>
      <c r="B1120" s="1" t="n">
        <v>45770</v>
      </c>
      <c r="C1120" s="1" t="n">
        <v>45813</v>
      </c>
      <c r="D1120" t="inlineStr">
        <is>
          <t>JÖNKÖPINGS LÄN</t>
        </is>
      </c>
      <c r="E1120" t="inlineStr">
        <is>
          <t>EKSJÖ</t>
        </is>
      </c>
      <c r="F1120" t="inlineStr">
        <is>
          <t>Sveaskog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19469-2025</t>
        </is>
      </c>
      <c r="B1121" s="1" t="n">
        <v>45770</v>
      </c>
      <c r="C1121" s="1" t="n">
        <v>45813</v>
      </c>
      <c r="D1121" t="inlineStr">
        <is>
          <t>JÖNKÖPINGS LÄN</t>
        </is>
      </c>
      <c r="E1121" t="inlineStr">
        <is>
          <t>EKSJÖ</t>
        </is>
      </c>
      <c r="F1121" t="inlineStr">
        <is>
          <t>Sveaskog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19912-2025</t>
        </is>
      </c>
      <c r="B1122" s="1" t="n">
        <v>45771</v>
      </c>
      <c r="C1122" s="1" t="n">
        <v>45813</v>
      </c>
      <c r="D1122" t="inlineStr">
        <is>
          <t>JÖNKÖPINGS LÄN</t>
        </is>
      </c>
      <c r="E1122" t="inlineStr">
        <is>
          <t>EKSJÖ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19856-2025</t>
        </is>
      </c>
      <c r="B1123" s="1" t="n">
        <v>45771</v>
      </c>
      <c r="C1123" s="1" t="n">
        <v>45813</v>
      </c>
      <c r="D1123" t="inlineStr">
        <is>
          <t>JÖNKÖPINGS LÄN</t>
        </is>
      </c>
      <c r="E1123" t="inlineStr">
        <is>
          <t>EKSJÖ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19861-2025</t>
        </is>
      </c>
      <c r="B1124" s="1" t="n">
        <v>45771</v>
      </c>
      <c r="C1124" s="1" t="n">
        <v>45813</v>
      </c>
      <c r="D1124" t="inlineStr">
        <is>
          <t>JÖNKÖPINGS LÄN</t>
        </is>
      </c>
      <c r="E1124" t="inlineStr">
        <is>
          <t>EKSJÖ</t>
        </is>
      </c>
      <c r="F1124" t="inlineStr">
        <is>
          <t>Kyrkan</t>
        </is>
      </c>
      <c r="G1124" t="n">
        <v>4.8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20960-2025</t>
        </is>
      </c>
      <c r="B1125" s="1" t="n">
        <v>45777</v>
      </c>
      <c r="C1125" s="1" t="n">
        <v>45813</v>
      </c>
      <c r="D1125" t="inlineStr">
        <is>
          <t>JÖNKÖPINGS LÄN</t>
        </is>
      </c>
      <c r="E1125" t="inlineStr">
        <is>
          <t>EKSJÖ</t>
        </is>
      </c>
      <c r="F1125" t="inlineStr">
        <is>
          <t>Kommuner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20986-2025</t>
        </is>
      </c>
      <c r="B1126" s="1" t="n">
        <v>45777</v>
      </c>
      <c r="C1126" s="1" t="n">
        <v>45813</v>
      </c>
      <c r="D1126" t="inlineStr">
        <is>
          <t>JÖNKÖPINGS LÄN</t>
        </is>
      </c>
      <c r="E1126" t="inlineStr">
        <is>
          <t>EKSJÖ</t>
        </is>
      </c>
      <c r="F1126" t="inlineStr">
        <is>
          <t>Kommuner</t>
        </is>
      </c>
      <c r="G1126" t="n">
        <v>9.6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21000-2025</t>
        </is>
      </c>
      <c r="B1127" s="1" t="n">
        <v>45777</v>
      </c>
      <c r="C1127" s="1" t="n">
        <v>45813</v>
      </c>
      <c r="D1127" t="inlineStr">
        <is>
          <t>JÖNKÖPINGS LÄN</t>
        </is>
      </c>
      <c r="E1127" t="inlineStr">
        <is>
          <t>EKSJÖ</t>
        </is>
      </c>
      <c r="F1127" t="inlineStr">
        <is>
          <t>Kommuner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21146-2025</t>
        </is>
      </c>
      <c r="B1128" s="1" t="n">
        <v>45779</v>
      </c>
      <c r="C1128" s="1" t="n">
        <v>45813</v>
      </c>
      <c r="D1128" t="inlineStr">
        <is>
          <t>JÖNKÖPINGS LÄN</t>
        </is>
      </c>
      <c r="E1128" t="inlineStr">
        <is>
          <t>EKSJÖ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21147-2025</t>
        </is>
      </c>
      <c r="B1129" s="1" t="n">
        <v>45779</v>
      </c>
      <c r="C1129" s="1" t="n">
        <v>45813</v>
      </c>
      <c r="D1129" t="inlineStr">
        <is>
          <t>JÖNKÖPINGS LÄN</t>
        </is>
      </c>
      <c r="E1129" t="inlineStr">
        <is>
          <t>EKSJÖ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21149-2025</t>
        </is>
      </c>
      <c r="B1130" s="1" t="n">
        <v>45779</v>
      </c>
      <c r="C1130" s="1" t="n">
        <v>45813</v>
      </c>
      <c r="D1130" t="inlineStr">
        <is>
          <t>JÖNKÖPINGS LÄN</t>
        </is>
      </c>
      <c r="E1130" t="inlineStr">
        <is>
          <t>EKSJÖ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21291-2025</t>
        </is>
      </c>
      <c r="B1131" s="1" t="n">
        <v>45779</v>
      </c>
      <c r="C1131" s="1" t="n">
        <v>45813</v>
      </c>
      <c r="D1131" t="inlineStr">
        <is>
          <t>JÖNKÖPINGS LÄN</t>
        </is>
      </c>
      <c r="E1131" t="inlineStr">
        <is>
          <t>EKSJÖ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21224-2025</t>
        </is>
      </c>
      <c r="B1132" s="1" t="n">
        <v>45779</v>
      </c>
      <c r="C1132" s="1" t="n">
        <v>45813</v>
      </c>
      <c r="D1132" t="inlineStr">
        <is>
          <t>JÖNKÖPINGS LÄN</t>
        </is>
      </c>
      <c r="E1132" t="inlineStr">
        <is>
          <t>EKSJÖ</t>
        </is>
      </c>
      <c r="F1132" t="inlineStr">
        <is>
          <t>Kommuner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21703-2025</t>
        </is>
      </c>
      <c r="B1133" s="1" t="n">
        <v>45783</v>
      </c>
      <c r="C1133" s="1" t="n">
        <v>45813</v>
      </c>
      <c r="D1133" t="inlineStr">
        <is>
          <t>JÖNKÖPINGS LÄN</t>
        </is>
      </c>
      <c r="E1133" t="inlineStr">
        <is>
          <t>EKSJÖ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22160-2025</t>
        </is>
      </c>
      <c r="B1134" s="1" t="n">
        <v>45785</v>
      </c>
      <c r="C1134" s="1" t="n">
        <v>45813</v>
      </c>
      <c r="D1134" t="inlineStr">
        <is>
          <t>JÖNKÖPINGS LÄN</t>
        </is>
      </c>
      <c r="E1134" t="inlineStr">
        <is>
          <t>EKSJÖ</t>
        </is>
      </c>
      <c r="G1134" t="n">
        <v>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22158-2025</t>
        </is>
      </c>
      <c r="B1135" s="1" t="n">
        <v>45785</v>
      </c>
      <c r="C1135" s="1" t="n">
        <v>45813</v>
      </c>
      <c r="D1135" t="inlineStr">
        <is>
          <t>JÖNKÖPINGS LÄN</t>
        </is>
      </c>
      <c r="E1135" t="inlineStr">
        <is>
          <t>EKSJÖ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22176-2025</t>
        </is>
      </c>
      <c r="B1136" s="1" t="n">
        <v>45785</v>
      </c>
      <c r="C1136" s="1" t="n">
        <v>45813</v>
      </c>
      <c r="D1136" t="inlineStr">
        <is>
          <t>JÖNKÖPINGS LÄN</t>
        </is>
      </c>
      <c r="E1136" t="inlineStr">
        <is>
          <t>EKSJÖ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22298-2025</t>
        </is>
      </c>
      <c r="B1137" s="1" t="n">
        <v>45786</v>
      </c>
      <c r="C1137" s="1" t="n">
        <v>45813</v>
      </c>
      <c r="D1137" t="inlineStr">
        <is>
          <t>JÖNKÖPINGS LÄN</t>
        </is>
      </c>
      <c r="E1137" t="inlineStr">
        <is>
          <t>EKSJÖ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22574-2025</t>
        </is>
      </c>
      <c r="B1138" s="1" t="n">
        <v>45786</v>
      </c>
      <c r="C1138" s="1" t="n">
        <v>45813</v>
      </c>
      <c r="D1138" t="inlineStr">
        <is>
          <t>JÖNKÖPINGS LÄN</t>
        </is>
      </c>
      <c r="E1138" t="inlineStr">
        <is>
          <t>EKSJÖ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22575-2025</t>
        </is>
      </c>
      <c r="B1139" s="1" t="n">
        <v>45786</v>
      </c>
      <c r="C1139" s="1" t="n">
        <v>45813</v>
      </c>
      <c r="D1139" t="inlineStr">
        <is>
          <t>JÖNKÖPINGS LÄN</t>
        </is>
      </c>
      <c r="E1139" t="inlineStr">
        <is>
          <t>EKSJÖ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22987-2025</t>
        </is>
      </c>
      <c r="B1140" s="1" t="n">
        <v>45790</v>
      </c>
      <c r="C1140" s="1" t="n">
        <v>45813</v>
      </c>
      <c r="D1140" t="inlineStr">
        <is>
          <t>JÖNKÖPINGS LÄN</t>
        </is>
      </c>
      <c r="E1140" t="inlineStr">
        <is>
          <t>EKSJÖ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23386-2025</t>
        </is>
      </c>
      <c r="B1141" s="1" t="n">
        <v>45791</v>
      </c>
      <c r="C1141" s="1" t="n">
        <v>45813</v>
      </c>
      <c r="D1141" t="inlineStr">
        <is>
          <t>JÖNKÖPINGS LÄN</t>
        </is>
      </c>
      <c r="E1141" t="inlineStr">
        <is>
          <t>EKSJÖ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23293-2025</t>
        </is>
      </c>
      <c r="B1142" s="1" t="n">
        <v>45791</v>
      </c>
      <c r="C1142" s="1" t="n">
        <v>45813</v>
      </c>
      <c r="D1142" t="inlineStr">
        <is>
          <t>JÖNKÖPINGS LÄN</t>
        </is>
      </c>
      <c r="E1142" t="inlineStr">
        <is>
          <t>EKSJÖ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23387-2025</t>
        </is>
      </c>
      <c r="B1143" s="1" t="n">
        <v>45791</v>
      </c>
      <c r="C1143" s="1" t="n">
        <v>45813</v>
      </c>
      <c r="D1143" t="inlineStr">
        <is>
          <t>JÖNKÖPINGS LÄN</t>
        </is>
      </c>
      <c r="E1143" t="inlineStr">
        <is>
          <t>EKSJÖ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24677-2025</t>
        </is>
      </c>
      <c r="B1144" s="1" t="n">
        <v>45798</v>
      </c>
      <c r="C1144" s="1" t="n">
        <v>45813</v>
      </c>
      <c r="D1144" t="inlineStr">
        <is>
          <t>JÖNKÖPINGS LÄN</t>
        </is>
      </c>
      <c r="E1144" t="inlineStr">
        <is>
          <t>EKSJÖ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27007-2025</t>
        </is>
      </c>
      <c r="B1145" s="1" t="n">
        <v>45811</v>
      </c>
      <c r="C1145" s="1" t="n">
        <v>45813</v>
      </c>
      <c r="D1145" t="inlineStr">
        <is>
          <t>JÖNKÖPINGS LÄN</t>
        </is>
      </c>
      <c r="E1145" t="inlineStr">
        <is>
          <t>EKSJÖ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>
      <c r="A1146" t="inlineStr">
        <is>
          <t>A 27089-2025</t>
        </is>
      </c>
      <c r="B1146" s="1" t="n">
        <v>45811</v>
      </c>
      <c r="C1146" s="1" t="n">
        <v>45813</v>
      </c>
      <c r="D1146" t="inlineStr">
        <is>
          <t>JÖNKÖPINGS LÄN</t>
        </is>
      </c>
      <c r="E1146" t="inlineStr">
        <is>
          <t>EKSJÖ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2025-06-05T18:24:34Z</dcterms:created>
  <dcterms:modified xmlns:dcterms="http://purl.org/dc/terms/" xmlns:xsi="http://www.w3.org/2001/XMLSchema-instance" xsi:type="dcterms:W3CDTF">2025-06-05T18:24:35Z</dcterms:modified>
</cp:coreProperties>
</file>