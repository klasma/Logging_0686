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46282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46282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46282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46282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46282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46282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46282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46282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46282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46282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46282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46282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46282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Tibast</t>
        </is>
      </c>
      <c r="W33">
        <f>HYPERLINK("https://klasma.github.io/Logging_0686/artfynd/A 47729-2022 artfynd.xlsx", "A 47729-2022")</f>
        <v/>
      </c>
      <c r="X33">
        <f>HYPERLINK("https://klasma.github.io/Logging_0686/kartor/A 47729-2022 karta.png", "A 47729-2022")</f>
        <v/>
      </c>
      <c r="Y33">
        <f>HYPERLINK("https://klasma.github.io/Logging_0686/kartor_geotiff/A 47729-2022 georefererad karta.tif", "A 47729-2022")</f>
        <v/>
      </c>
      <c r="AA33">
        <f>HYPERLINK("https://klasma.github.io/Logging_0686/klagomål/A 47729-2022 FSC-klagomål.docx", "A 47729-2022")</f>
        <v/>
      </c>
      <c r="AB33">
        <f>HYPERLINK("https://klasma.github.io/Logging_0686/klagomålsmail/A 47729-2022 FSC-klagomål mail.docx", "A 47729-2022")</f>
        <v/>
      </c>
      <c r="AC33">
        <f>HYPERLINK("https://klasma.github.io/Logging_0686/tillsyn/A 47729-2022 tillsynsbegäran.docx", "A 47729-2022")</f>
        <v/>
      </c>
      <c r="AD33">
        <f>HYPERLINK("https://klasma.github.io/Logging_0686/tillsynsmail/A 47729-2022 tillsynsbegäran mail.docx", "A 47729-2022")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46282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46282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46282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46282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46282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46282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46282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46282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46282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46282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46282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46282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S 3702-2024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45553</v>
      </c>
      <c r="E46" s="1" t="n">
        <v>46282</v>
      </c>
      <c r="F46" t="inlineStr">
        <is>
          <t>JÖNKÖPINGS LÄN</t>
        </is>
      </c>
      <c r="G46" t="inlineStr">
        <is>
          <t>EKSJÖ</t>
        </is>
      </c>
      <c r="I46" t="n">
        <v>3.6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Styvnate</t>
        </is>
      </c>
      <c r="W46">
        <f>HYPERLINK("https://klasma.github.io/Logging_0686/artfynd/S 3702-2024 artfynd.xlsx", "S 3702-2024")</f>
        <v/>
      </c>
      <c r="X46">
        <f>HYPERLINK("https://klasma.github.io/Logging_0686/kartor/S 3702-2024 karta.png", "S 3702-2024")</f>
        <v/>
      </c>
      <c r="Y46">
        <f>HYPERLINK("https://klasma.github.io/Logging_0686/kartor_geotiff/S 3702-2024 georefererad karta.tif", "S 3702-2024")</f>
        <v/>
      </c>
      <c r="AA46">
        <f>HYPERLINK("https://klasma.github.io/Logging_0686/klagomål/S 3702-2024 FSC-klagomål.docx", "S 3702-2024")</f>
        <v/>
      </c>
      <c r="AB46">
        <f>HYPERLINK("https://klasma.github.io/Logging_0686/klagomålsmail/S 3702-2024 FSC-klagomål mail.docx", "S 3702-2024")</f>
        <v/>
      </c>
      <c r="AC46">
        <f>HYPERLINK("https://klasma.github.io/Logging_0686/tillsyn/S 3702-2024 tillsynsbegäran.docx", "S 3702-2024")</f>
        <v/>
      </c>
      <c r="AD46">
        <f>HYPERLINK("https://klasma.github.io/Logging_0686/tillsynsmail/S 3702-2024 tillsynsbegäran mail.docx", "S 3702-2024")</f>
        <v/>
      </c>
    </row>
    <row r="47" ht="15" customHeight="1">
      <c r="A47" t="inlineStr">
        <is>
          <t>S 2100-2024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45453</v>
      </c>
      <c r="E47" s="1" t="n">
        <v>46282</v>
      </c>
      <c r="F47" t="inlineStr">
        <is>
          <t>JÖNKÖPINGS LÄN</t>
        </is>
      </c>
      <c r="G47" t="inlineStr">
        <is>
          <t>EKSJÖ</t>
        </is>
      </c>
      <c r="H47" t="inlineStr">
        <is>
          <t>Kyrkan</t>
        </is>
      </c>
      <c r="I47" t="n">
        <v>0.3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HYPERLINK("https://klasma.github.io/Logging_0686/artfynd/S 2100-2024 artfynd.xlsx", "S 2100-2024")</f>
        <v/>
      </c>
      <c r="X47">
        <f>HYPERLINK("https://klasma.github.io/Logging_0686/kartor/S 2100-2024 karta.png", "S 2100-2024")</f>
        <v/>
      </c>
      <c r="Y47">
        <f>HYPERLINK("https://klasma.github.io/Logging_0686/kartor_geotiff/S 2100-2024 georefererad karta.tif", "S 2100-2024")</f>
        <v/>
      </c>
      <c r="AA47">
        <f>HYPERLINK("https://klasma.github.io/Logging_0686/klagomål/S 2100-2024 FSC-klagomål.docx", "S 2100-2024")</f>
        <v/>
      </c>
      <c r="AB47">
        <f>HYPERLINK("https://klasma.github.io/Logging_0686/klagomålsmail/S 2100-2024 FSC-klagomål mail.docx", "S 2100-2024")</f>
        <v/>
      </c>
      <c r="AC47">
        <f>HYPERLINK("https://klasma.github.io/Logging_0686/tillsyn/S 2100-2024 tillsynsbegäran.docx", "S 2100-2024")</f>
        <v/>
      </c>
      <c r="AD47">
        <f>HYPERLINK("https://klasma.github.io/Logging_0686/tillsynsmail/S 2100-2024 tillsynsbegäran mail.docx", "S 2100-2024")</f>
        <v/>
      </c>
    </row>
    <row r="48" ht="15" customHeight="1">
      <c r="A48" t="inlineStr">
        <is>
          <t>S 3314-2023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45195</v>
      </c>
      <c r="E48" s="1" t="n">
        <v>46282</v>
      </c>
      <c r="F48" t="inlineStr">
        <is>
          <t>JÖNKÖPINGS LÄN</t>
        </is>
      </c>
      <c r="G48" t="inlineStr">
        <is>
          <t>EKSJÖ</t>
        </is>
      </c>
      <c r="I48" t="n">
        <v>16.3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Spindelört</t>
        </is>
      </c>
      <c r="W48">
        <f>HYPERLINK("https://klasma.github.io/Logging_0686/artfynd/S 3314-2023 artfynd.xlsx", "S 3314-2023")</f>
        <v/>
      </c>
      <c r="X48">
        <f>HYPERLINK("https://klasma.github.io/Logging_0686/kartor/S 3314-2023 karta.png", "S 3314-2023")</f>
        <v/>
      </c>
      <c r="Y48">
        <f>HYPERLINK("https://klasma.github.io/Logging_0686/kartor_geotiff/S 3314-2023 georefererad karta.tif", "S 3314-2023")</f>
        <v/>
      </c>
      <c r="AA48">
        <f>HYPERLINK("https://klasma.github.io/Logging_0686/klagomål/S 3314-2023 FSC-klagomål.docx", "S 3314-2023")</f>
        <v/>
      </c>
      <c r="AB48">
        <f>HYPERLINK("https://klasma.github.io/Logging_0686/klagomålsmail/S 3314-2023 FSC-klagomål mail.docx", "S 3314-2023")</f>
        <v/>
      </c>
      <c r="AC48">
        <f>HYPERLINK("https://klasma.github.io/Logging_0686/tillsyn/S 3314-2023 tillsynsbegäran.docx", "S 3314-2023")</f>
        <v/>
      </c>
      <c r="AD48">
        <f>HYPERLINK("https://klasma.github.io/Logging_0686/tillsynsmail/S 3314-2023 tillsynsbegäran mail.docx", "S 3314-2023")</f>
        <v/>
      </c>
    </row>
    <row r="49" ht="15" customHeight="1">
      <c r="A49" t="inlineStr">
        <is>
          <t>S 523-2025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45707</v>
      </c>
      <c r="E49" s="1" t="n">
        <v>46282</v>
      </c>
      <c r="F49" t="inlineStr">
        <is>
          <t>JÖNKÖPINGS LÄN</t>
        </is>
      </c>
      <c r="G49" t="inlineStr">
        <is>
          <t>EKSJÖ</t>
        </is>
      </c>
      <c r="I49" t="n">
        <v>22.9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523-2025 artfynd.xlsx", "S 523-2025")</f>
        <v/>
      </c>
      <c r="X49">
        <f>HYPERLINK("https://klasma.github.io/Logging_0686/kartor/S 523-2025 karta.png", "S 523-2025")</f>
        <v/>
      </c>
      <c r="Y49">
        <f>HYPERLINK("https://klasma.github.io/Logging_0686/kartor_geotiff/S 523-2025 georefererad karta.tif", "S 523-2025")</f>
        <v/>
      </c>
      <c r="AA49">
        <f>HYPERLINK("https://klasma.github.io/Logging_0686/klagomål/S 523-2025 FSC-klagomål.docx", "S 523-2025")</f>
        <v/>
      </c>
      <c r="AB49">
        <f>HYPERLINK("https://klasma.github.io/Logging_0686/klagomålsmail/S 523-2025 FSC-klagomål mail.docx", "S 523-2025")</f>
        <v/>
      </c>
      <c r="AC49">
        <f>HYPERLINK("https://klasma.github.io/Logging_0686/tillsyn/S 523-2025 tillsynsbegäran.docx", "S 523-2025")</f>
        <v/>
      </c>
      <c r="AD49">
        <f>HYPERLINK("https://klasma.github.io/Logging_0686/tillsynsmail/S 523-2025 tillsynsbegäran mail.docx", "S 523-2025")</f>
        <v/>
      </c>
    </row>
    <row r="50" ht="15" customHeight="1">
      <c r="A50" t="inlineStr">
        <is>
          <t>S 2968-2025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45954</v>
      </c>
      <c r="E50" s="1" t="n">
        <v>46282</v>
      </c>
      <c r="F50" t="inlineStr">
        <is>
          <t>JÖNKÖPINGS LÄN</t>
        </is>
      </c>
      <c r="G50" t="inlineStr">
        <is>
          <t>EKSJÖ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25</v>
      </c>
      <c r="U50" t="n">
        <v>0</v>
      </c>
      <c r="V50" s="2" t="inlineStr">
        <is>
          <t>Ask</t>
        </is>
      </c>
      <c r="W50">
        <f>HYPERLINK("https://klasma.github.io/Logging_0686/artfynd/S 2968-2025 artfynd.xlsx", "S 2968-2025")</f>
        <v/>
      </c>
      <c r="X50">
        <f>HYPERLINK("https://klasma.github.io/Logging_0686/kartor/S 2968-2025 karta.png", "S 2968-2025")</f>
        <v/>
      </c>
      <c r="Y50">
        <f>HYPERLINK("https://klasma.github.io/Logging_0686/kartor_geotiff/S 2968-2025 georefererad karta.tif", "S 2968-2025")</f>
        <v/>
      </c>
      <c r="AA50">
        <f>HYPERLINK("https://klasma.github.io/Logging_0686/klagomål/S 2968-2025 FSC-klagomål.docx", "S 2968-2025")</f>
        <v/>
      </c>
      <c r="AB50">
        <f>HYPERLINK("https://klasma.github.io/Logging_0686/klagomålsmail/S 2968-2025 FSC-klagomål mail.docx", "S 2968-2025")</f>
        <v/>
      </c>
      <c r="AC50">
        <f>HYPERLINK("https://klasma.github.io/Logging_0686/tillsyn/S 2968-2025 tillsynsbegäran.docx", "S 2968-2025")</f>
        <v/>
      </c>
      <c r="AD50">
        <f>HYPERLINK("https://klasma.github.io/Logging_0686/tillsynsmail/S 2968-2025 tillsynsbegäran mail.docx", "S 2968-2025")</f>
        <v/>
      </c>
    </row>
    <row r="51" ht="15" customHeight="1">
      <c r="A51" t="inlineStr">
        <is>
          <t>A 56005-2022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46282</v>
      </c>
      <c r="F51" t="inlineStr">
        <is>
          <t>JÖNKÖPINGS LÄN</t>
        </is>
      </c>
      <c r="G51" t="inlineStr">
        <is>
          <t>EKSJÖ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46282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46282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46282</v>
      </c>
      <c r="F54" t="inlineStr">
        <is>
          <t>JÖNKÖPINGS LÄN</t>
        </is>
      </c>
      <c r="G54" t="inlineStr">
        <is>
          <t>EKSJÖ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46282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46282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46282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46282</v>
      </c>
      <c r="F59" t="inlineStr">
        <is>
          <t>JÖNKÖPINGS LÄN</t>
        </is>
      </c>
      <c r="G59" t="inlineStr">
        <is>
          <t>EKSJÖ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46282</v>
      </c>
      <c r="F60" t="inlineStr">
        <is>
          <t>JÖNKÖPINGS LÄN</t>
        </is>
      </c>
      <c r="G60" t="inlineStr">
        <is>
          <t>EKSJÖ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46282</v>
      </c>
      <c r="F62" t="inlineStr">
        <is>
          <t>JÖNKÖPINGS LÄN</t>
        </is>
      </c>
      <c r="G62" t="inlineStr">
        <is>
          <t>EKSJÖ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46282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46282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46282</v>
      </c>
      <c r="F65" t="inlineStr">
        <is>
          <t>JÖNKÖPINGS LÄN</t>
        </is>
      </c>
      <c r="G65" t="inlineStr">
        <is>
          <t>EKSJÖ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46282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46282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46282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46282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46282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46282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46282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46282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46282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46282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46282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46282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46282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46282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46282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46282</v>
      </c>
      <c r="F81" t="inlineStr">
        <is>
          <t>JÖNKÖPINGS LÄN</t>
        </is>
      </c>
      <c r="G81" t="inlineStr">
        <is>
          <t>EKSJÖ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46282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46282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46282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46282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46282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46282</v>
      </c>
      <c r="F87" t="inlineStr">
        <is>
          <t>JÖNKÖPINGS LÄN</t>
        </is>
      </c>
      <c r="G87" t="inlineStr">
        <is>
          <t>EKSJÖ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44616</v>
      </c>
      <c r="E88" s="1" t="n">
        <v>46282</v>
      </c>
      <c r="F88" t="inlineStr">
        <is>
          <t>JÖNKÖPINGS LÄN</t>
        </is>
      </c>
      <c r="G88" t="inlineStr">
        <is>
          <t>EKSJÖ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44701</v>
      </c>
      <c r="E89" s="1" t="n">
        <v>46282</v>
      </c>
      <c r="F89" t="inlineStr">
        <is>
          <t>JÖNKÖPINGS LÄN</t>
        </is>
      </c>
      <c r="G89" t="inlineStr">
        <is>
          <t>EKSJÖ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46282</v>
      </c>
      <c r="F90" t="inlineStr">
        <is>
          <t>JÖNKÖPINGS LÄN</t>
        </is>
      </c>
      <c r="G90" t="inlineStr">
        <is>
          <t>EKSJÖ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46282</v>
      </c>
      <c r="F91" t="inlineStr">
        <is>
          <t>JÖNKÖPINGS LÄN</t>
        </is>
      </c>
      <c r="G91" t="inlineStr">
        <is>
          <t>EKSJÖ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44739</v>
      </c>
      <c r="E92" s="1" t="n">
        <v>46282</v>
      </c>
      <c r="F92" t="inlineStr">
        <is>
          <t>JÖNKÖPINGS LÄN</t>
        </is>
      </c>
      <c r="G92" t="inlineStr">
        <is>
          <t>EKSJÖ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46282</v>
      </c>
      <c r="F93" t="inlineStr">
        <is>
          <t>JÖNKÖPINGS LÄN</t>
        </is>
      </c>
      <c r="G93" t="inlineStr">
        <is>
          <t>EKSJÖ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67308-2021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46282</v>
      </c>
      <c r="F94" t="inlineStr">
        <is>
          <t>JÖNKÖPINGS LÄN</t>
        </is>
      </c>
      <c r="G94" t="inlineStr">
        <is>
          <t>EKSJÖ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46282</v>
      </c>
      <c r="F95" t="inlineStr">
        <is>
          <t>JÖNKÖPINGS LÄN</t>
        </is>
      </c>
      <c r="G95" t="inlineStr">
        <is>
          <t>EKSJÖ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44748</v>
      </c>
      <c r="E96" s="1" t="n">
        <v>46282</v>
      </c>
      <c r="F96" t="inlineStr">
        <is>
          <t>JÖNKÖPINGS LÄN</t>
        </is>
      </c>
      <c r="G96" t="inlineStr">
        <is>
          <t>EKSJÖ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46282</v>
      </c>
      <c r="F97" t="inlineStr">
        <is>
          <t>JÖNKÖPINGS LÄN</t>
        </is>
      </c>
      <c r="G97" t="inlineStr">
        <is>
          <t>EKSJÖ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66930-2021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44522</v>
      </c>
      <c r="E98" s="1" t="n">
        <v>46282</v>
      </c>
      <c r="F98" t="inlineStr">
        <is>
          <t>JÖNKÖPINGS LÄN</t>
        </is>
      </c>
      <c r="G98" t="inlineStr">
        <is>
          <t>EKSJÖ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44610</v>
      </c>
      <c r="E99" s="1" t="n">
        <v>46282</v>
      </c>
      <c r="F99" t="inlineStr">
        <is>
          <t>JÖNKÖPINGS LÄN</t>
        </is>
      </c>
      <c r="G99" t="inlineStr">
        <is>
          <t>EKSJÖ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46282</v>
      </c>
      <c r="F100" t="inlineStr">
        <is>
          <t>JÖNKÖPINGS LÄN</t>
        </is>
      </c>
      <c r="G100" t="inlineStr">
        <is>
          <t>EKSJÖ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46282</v>
      </c>
      <c r="F101" t="inlineStr">
        <is>
          <t>JÖNKÖPINGS LÄN</t>
        </is>
      </c>
      <c r="G101" t="inlineStr">
        <is>
          <t>EKSJÖ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44582</v>
      </c>
      <c r="E102" s="1" t="n">
        <v>46282</v>
      </c>
      <c r="F102" t="inlineStr">
        <is>
          <t>JÖNKÖPINGS LÄN</t>
        </is>
      </c>
      <c r="G102" t="inlineStr">
        <is>
          <t>EKSJÖ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46282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46282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44748</v>
      </c>
      <c r="E105" s="1" t="n">
        <v>46282</v>
      </c>
      <c r="F105" t="inlineStr">
        <is>
          <t>JÖNKÖPINGS LÄN</t>
        </is>
      </c>
      <c r="G105" t="inlineStr">
        <is>
          <t>EKSJÖ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46282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46282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46282</v>
      </c>
      <c r="F108" t="inlineStr">
        <is>
          <t>JÖNKÖPINGS LÄN</t>
        </is>
      </c>
      <c r="G108" t="inlineStr">
        <is>
          <t>EKSJÖ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44980</v>
      </c>
      <c r="E109" s="1" t="n">
        <v>46282</v>
      </c>
      <c r="F109" t="inlineStr">
        <is>
          <t>JÖNKÖPINGS LÄN</t>
        </is>
      </c>
      <c r="G109" t="inlineStr">
        <is>
          <t>EKSJÖ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45078</v>
      </c>
      <c r="E110" s="1" t="n">
        <v>46282</v>
      </c>
      <c r="F110" t="inlineStr">
        <is>
          <t>JÖNKÖPINGS LÄN</t>
        </is>
      </c>
      <c r="G110" t="inlineStr">
        <is>
          <t>EKSJÖ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46282</v>
      </c>
      <c r="F111" t="inlineStr">
        <is>
          <t>JÖNKÖPINGS LÄN</t>
        </is>
      </c>
      <c r="G111" t="inlineStr">
        <is>
          <t>EKSJÖ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46282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46282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13273-2023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45003</v>
      </c>
      <c r="E114" s="1" t="n">
        <v>46282</v>
      </c>
      <c r="F114" t="inlineStr">
        <is>
          <t>JÖNKÖPINGS LÄN</t>
        </is>
      </c>
      <c r="G114" t="inlineStr">
        <is>
          <t>EKSJÖ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46282</v>
      </c>
      <c r="F115" t="inlineStr">
        <is>
          <t>JÖNKÖPINGS LÄN</t>
        </is>
      </c>
      <c r="G115" t="inlineStr">
        <is>
          <t>EKSJÖ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46282</v>
      </c>
      <c r="F116" t="inlineStr">
        <is>
          <t>JÖNKÖPINGS LÄN</t>
        </is>
      </c>
      <c r="G116" t="inlineStr">
        <is>
          <t>EKSJÖ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46282</v>
      </c>
      <c r="F117" t="inlineStr">
        <is>
          <t>JÖNKÖPINGS LÄN</t>
        </is>
      </c>
      <c r="G117" t="inlineStr">
        <is>
          <t>EKSJÖ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44940</v>
      </c>
      <c r="E118" s="1" t="n">
        <v>46282</v>
      </c>
      <c r="F118" t="inlineStr">
        <is>
          <t>JÖNKÖPINGS LÄN</t>
        </is>
      </c>
      <c r="G118" t="inlineStr">
        <is>
          <t>EKSJÖ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44941</v>
      </c>
      <c r="E119" s="1" t="n">
        <v>46282</v>
      </c>
      <c r="F119" t="inlineStr">
        <is>
          <t>JÖNKÖPINGS LÄN</t>
        </is>
      </c>
      <c r="G119" t="inlineStr">
        <is>
          <t>EKSJÖ</t>
        </is>
      </c>
      <c r="H119" t="inlineStr">
        <is>
          <t>Övriga Aktiebolag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45057</v>
      </c>
      <c r="E120" s="1" t="n">
        <v>46282</v>
      </c>
      <c r="F120" t="inlineStr">
        <is>
          <t>JÖNKÖPINGS LÄN</t>
        </is>
      </c>
      <c r="G120" t="inlineStr">
        <is>
          <t>EKSJÖ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46282</v>
      </c>
      <c r="F121" t="inlineStr">
        <is>
          <t>JÖNKÖPINGS LÄN</t>
        </is>
      </c>
      <c r="G121" t="inlineStr">
        <is>
          <t>EKSJÖ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46282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46282</v>
      </c>
      <c r="F123" t="inlineStr">
        <is>
          <t>JÖNKÖPINGS LÄN</t>
        </is>
      </c>
      <c r="G123" t="inlineStr">
        <is>
          <t>EKSJÖ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45243</v>
      </c>
      <c r="E124" s="1" t="n">
        <v>46282</v>
      </c>
      <c r="F124" t="inlineStr">
        <is>
          <t>JÖNKÖPINGS LÄN</t>
        </is>
      </c>
      <c r="G124" t="inlineStr">
        <is>
          <t>EKSJÖ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46282</v>
      </c>
      <c r="F125" t="inlineStr">
        <is>
          <t>JÖNKÖPINGS LÄN</t>
        </is>
      </c>
      <c r="G125" t="inlineStr">
        <is>
          <t>EKSJÖ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45345</v>
      </c>
      <c r="E126" s="1" t="n">
        <v>46282</v>
      </c>
      <c r="F126" t="inlineStr">
        <is>
          <t>JÖNKÖPINGS LÄN</t>
        </is>
      </c>
      <c r="G126" t="inlineStr">
        <is>
          <t>EKSJÖ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46282</v>
      </c>
      <c r="F127" t="inlineStr">
        <is>
          <t>JÖNKÖPINGS LÄN</t>
        </is>
      </c>
      <c r="G127" t="inlineStr">
        <is>
          <t>EKSJÖ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45544</v>
      </c>
      <c r="E128" s="1" t="n">
        <v>46282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46282</v>
      </c>
      <c r="F129" t="inlineStr">
        <is>
          <t>JÖNKÖPINGS LÄN</t>
        </is>
      </c>
      <c r="G129" t="inlineStr">
        <is>
          <t>EKSJÖ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46282</v>
      </c>
      <c r="F130" t="inlineStr">
        <is>
          <t>JÖNKÖPINGS LÄN</t>
        </is>
      </c>
      <c r="G130" t="inlineStr">
        <is>
          <t>EKSJÖ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46282</v>
      </c>
      <c r="F131" t="inlineStr">
        <is>
          <t>JÖNKÖPINGS LÄN</t>
        </is>
      </c>
      <c r="G131" t="inlineStr">
        <is>
          <t>EKSJÖ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46282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46282</v>
      </c>
      <c r="F133" t="inlineStr">
        <is>
          <t>JÖNKÖPINGS LÄN</t>
        </is>
      </c>
      <c r="G133" t="inlineStr">
        <is>
          <t>EKSJÖ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46282</v>
      </c>
      <c r="F134" t="inlineStr">
        <is>
          <t>JÖNKÖPINGS LÄN</t>
        </is>
      </c>
      <c r="G134" t="inlineStr">
        <is>
          <t>EKSJÖ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45097</v>
      </c>
      <c r="E135" s="1" t="n">
        <v>46282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46282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46282</v>
      </c>
      <c r="F137" t="inlineStr">
        <is>
          <t>JÖNKÖPINGS LÄN</t>
        </is>
      </c>
      <c r="G137" t="inlineStr">
        <is>
          <t>EKSJÖ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46282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45533</v>
      </c>
      <c r="E139" s="1" t="n">
        <v>46282</v>
      </c>
      <c r="F139" t="inlineStr">
        <is>
          <t>JÖNKÖPINGS LÄN</t>
        </is>
      </c>
      <c r="G139" t="inlineStr">
        <is>
          <t>EKSJÖ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46282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46282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46282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46282</v>
      </c>
      <c r="F143" t="inlineStr">
        <is>
          <t>JÖNKÖPINGS LÄN</t>
        </is>
      </c>
      <c r="G143" t="inlineStr">
        <is>
          <t>EKSJÖ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46282</v>
      </c>
      <c r="F144" t="inlineStr">
        <is>
          <t>JÖNKÖPINGS LÄN</t>
        </is>
      </c>
      <c r="G144" t="inlineStr">
        <is>
          <t>EKSJÖ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46282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46282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46282</v>
      </c>
      <c r="F147" t="inlineStr">
        <is>
          <t>JÖNKÖPINGS LÄN</t>
        </is>
      </c>
      <c r="G147" t="inlineStr">
        <is>
          <t>EKSJÖ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46282</v>
      </c>
      <c r="F148" t="inlineStr">
        <is>
          <t>JÖNKÖPINGS LÄN</t>
        </is>
      </c>
      <c r="G148" t="inlineStr">
        <is>
          <t>EKSJÖ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14382-2025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45741</v>
      </c>
      <c r="E149" s="1" t="n">
        <v>46282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46282</v>
      </c>
      <c r="F150" t="inlineStr">
        <is>
          <t>JÖNKÖPINGS LÄN</t>
        </is>
      </c>
      <c r="G150" t="inlineStr">
        <is>
          <t>EKSJÖ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46282</v>
      </c>
      <c r="F151" t="inlineStr">
        <is>
          <t>JÖNKÖPINGS LÄN</t>
        </is>
      </c>
      <c r="G151" t="inlineStr">
        <is>
          <t>EKSJÖ</t>
        </is>
      </c>
      <c r="H151" t="inlineStr">
        <is>
          <t>Övriga Aktiebolag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46282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46282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46282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46282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46282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46282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46282</v>
      </c>
      <c r="F158" t="inlineStr">
        <is>
          <t>JÖNKÖPINGS LÄN</t>
        </is>
      </c>
      <c r="G158" t="inlineStr">
        <is>
          <t>EKSJÖ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46282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46282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46282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46282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46282</v>
      </c>
      <c r="F163" t="inlineStr">
        <is>
          <t>JÖNKÖPINGS LÄN</t>
        </is>
      </c>
      <c r="G163" t="inlineStr">
        <is>
          <t>EKSJÖ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46282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46282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46282</v>
      </c>
      <c r="F166" t="inlineStr">
        <is>
          <t>JÖNKÖPINGS LÄN</t>
        </is>
      </c>
      <c r="G166" t="inlineStr">
        <is>
          <t>EKSJÖ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46282</v>
      </c>
      <c r="F167" t="inlineStr">
        <is>
          <t>JÖNKÖPINGS LÄN</t>
        </is>
      </c>
      <c r="G167" t="inlineStr">
        <is>
          <t>EKSJÖ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46282</v>
      </c>
      <c r="F168" t="inlineStr">
        <is>
          <t>JÖNKÖPINGS LÄN</t>
        </is>
      </c>
      <c r="G168" t="inlineStr">
        <is>
          <t>EKSJÖ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46282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46282</v>
      </c>
      <c r="F170" t="inlineStr">
        <is>
          <t>JÖNKÖPINGS LÄN</t>
        </is>
      </c>
      <c r="G170" t="inlineStr">
        <is>
          <t>EKSJÖ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45716</v>
      </c>
      <c r="E171" s="1" t="n">
        <v>46282</v>
      </c>
      <c r="F171" t="inlineStr">
        <is>
          <t>JÖNKÖPINGS LÄN</t>
        </is>
      </c>
      <c r="G171" t="inlineStr">
        <is>
          <t>EKSJÖ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46282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46282</v>
      </c>
      <c r="F173" t="inlineStr">
        <is>
          <t>JÖNKÖPINGS LÄN</t>
        </is>
      </c>
      <c r="G173" t="inlineStr">
        <is>
          <t>EKSJÖ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46282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46282</v>
      </c>
      <c r="F175" t="inlineStr">
        <is>
          <t>JÖNKÖPINGS LÄN</t>
        </is>
      </c>
      <c r="G175" t="inlineStr">
        <is>
          <t>EKSJÖ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46282</v>
      </c>
      <c r="F176" t="inlineStr">
        <is>
          <t>JÖNKÖPINGS LÄN</t>
        </is>
      </c>
      <c r="G176" t="inlineStr">
        <is>
          <t>EKSJÖ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46282</v>
      </c>
      <c r="F177" t="inlineStr">
        <is>
          <t>JÖNKÖPINGS LÄN</t>
        </is>
      </c>
      <c r="G177" t="inlineStr">
        <is>
          <t>EKSJÖ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46282</v>
      </c>
      <c r="F178" t="inlineStr">
        <is>
          <t>JÖNKÖPINGS LÄN</t>
        </is>
      </c>
      <c r="G178" t="inlineStr">
        <is>
          <t>EKSJÖ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46282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46282</v>
      </c>
      <c r="F180" t="inlineStr">
        <is>
          <t>JÖNKÖPINGS LÄN</t>
        </is>
      </c>
      <c r="G180" t="inlineStr">
        <is>
          <t>EKSJÖ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45601</v>
      </c>
      <c r="E181" s="1" t="n">
        <v>46282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46282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45147</v>
      </c>
      <c r="E183" s="1" t="n">
        <v>46282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46282</v>
      </c>
      <c r="F184" t="inlineStr">
        <is>
          <t>JÖNKÖPINGS LÄN</t>
        </is>
      </c>
      <c r="G184" t="inlineStr">
        <is>
          <t>EKSJÖ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46282</v>
      </c>
      <c r="F185" t="inlineStr">
        <is>
          <t>JÖNKÖPINGS LÄN</t>
        </is>
      </c>
      <c r="G185" t="inlineStr">
        <is>
          <t>EKSJÖ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46282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46282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46282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45686</v>
      </c>
      <c r="E189" s="1" t="n">
        <v>46282</v>
      </c>
      <c r="F189" t="inlineStr">
        <is>
          <t>JÖNKÖPINGS LÄN</t>
        </is>
      </c>
      <c r="G189" t="inlineStr">
        <is>
          <t>EKSJÖ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46282</v>
      </c>
      <c r="F190" t="inlineStr">
        <is>
          <t>JÖNKÖPINGS LÄN</t>
        </is>
      </c>
      <c r="G190" t="inlineStr">
        <is>
          <t>EKSJÖ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46282</v>
      </c>
      <c r="F191" t="inlineStr">
        <is>
          <t>JÖNKÖPINGS LÄN</t>
        </is>
      </c>
      <c r="G191" t="inlineStr">
        <is>
          <t>EKSJÖ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46282</v>
      </c>
      <c r="F192" t="inlineStr">
        <is>
          <t>JÖNKÖPINGS LÄN</t>
        </is>
      </c>
      <c r="G192" t="inlineStr">
        <is>
          <t>EKSJÖ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46282</v>
      </c>
      <c r="F193" t="inlineStr">
        <is>
          <t>JÖNKÖPINGS LÄN</t>
        </is>
      </c>
      <c r="G193" t="inlineStr">
        <is>
          <t>EKSJÖ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46282</v>
      </c>
      <c r="F194" t="inlineStr">
        <is>
          <t>JÖNKÖPINGS LÄN</t>
        </is>
      </c>
      <c r="G194" t="inlineStr">
        <is>
          <t>EKSJÖ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46282</v>
      </c>
      <c r="F195" t="inlineStr">
        <is>
          <t>JÖNKÖPINGS LÄN</t>
        </is>
      </c>
      <c r="G195" t="inlineStr">
        <is>
          <t>EKSJÖ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46282</v>
      </c>
      <c r="F196" t="inlineStr">
        <is>
          <t>JÖNKÖPINGS LÄN</t>
        </is>
      </c>
      <c r="G196" t="inlineStr">
        <is>
          <t>EKSJÖ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46282</v>
      </c>
      <c r="F197" t="inlineStr">
        <is>
          <t>JÖNKÖPINGS LÄN</t>
        </is>
      </c>
      <c r="G197" t="inlineStr">
        <is>
          <t>EKSJÖ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46282</v>
      </c>
      <c r="F198" t="inlineStr">
        <is>
          <t>JÖNKÖPINGS LÄN</t>
        </is>
      </c>
      <c r="G198" t="inlineStr">
        <is>
          <t>EKSJÖ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45714</v>
      </c>
      <c r="E199" s="1" t="n">
        <v>46282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46282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45251</v>
      </c>
      <c r="E201" s="1" t="n">
        <v>46282</v>
      </c>
      <c r="F201" t="inlineStr">
        <is>
          <t>JÖNKÖPINGS LÄN</t>
        </is>
      </c>
      <c r="G201" t="inlineStr">
        <is>
          <t>EKSJÖ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46282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46282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46282</v>
      </c>
      <c r="F204" t="inlineStr">
        <is>
          <t>JÖNKÖPINGS LÄN</t>
        </is>
      </c>
      <c r="G204" t="inlineStr">
        <is>
          <t>EKSJÖ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46282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46282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43411-2022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44834</v>
      </c>
      <c r="E207" s="1" t="n">
        <v>46282</v>
      </c>
      <c r="F207" t="inlineStr">
        <is>
          <t>JÖNKÖPINGS LÄN</t>
        </is>
      </c>
      <c r="G207" t="inlineStr">
        <is>
          <t>EKSJÖ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46282</v>
      </c>
      <c r="F208" t="inlineStr">
        <is>
          <t>JÖNKÖPINGS LÄN</t>
        </is>
      </c>
      <c r="G208" t="inlineStr">
        <is>
          <t>EKSJÖ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41440-2024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45560</v>
      </c>
      <c r="E209" s="1" t="n">
        <v>46282</v>
      </c>
      <c r="F209" t="inlineStr">
        <is>
          <t>JÖNKÖPINGS LÄN</t>
        </is>
      </c>
      <c r="G209" t="inlineStr">
        <is>
          <t>EKSJÖ</t>
        </is>
      </c>
      <c r="H209" t="inlineStr">
        <is>
          <t>Kyrkan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46282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45485</v>
      </c>
      <c r="E211" s="1" t="n">
        <v>46282</v>
      </c>
      <c r="F211" t="inlineStr">
        <is>
          <t>JÖNKÖPINGS LÄN</t>
        </is>
      </c>
      <c r="G211" t="inlineStr">
        <is>
          <t>EKSJÖ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46282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45418</v>
      </c>
      <c r="E213" s="1" t="n">
        <v>46282</v>
      </c>
      <c r="F213" t="inlineStr">
        <is>
          <t>JÖNKÖPINGS LÄN</t>
        </is>
      </c>
      <c r="G213" t="inlineStr">
        <is>
          <t>EKSJÖ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44526-2025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45916</v>
      </c>
      <c r="E214" s="1" t="n">
        <v>46282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55656-2022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46282</v>
      </c>
      <c r="F215" t="inlineStr">
        <is>
          <t>JÖNKÖPINGS LÄN</t>
        </is>
      </c>
      <c r="G215" t="inlineStr">
        <is>
          <t>EKSJÖ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46282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46282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46282</v>
      </c>
      <c r="F218" t="inlineStr">
        <is>
          <t>JÖNKÖPINGS LÄN</t>
        </is>
      </c>
      <c r="G218" t="inlineStr">
        <is>
          <t>EKSJÖ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46282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46282</v>
      </c>
      <c r="F220" t="inlineStr">
        <is>
          <t>JÖNKÖPINGS LÄN</t>
        </is>
      </c>
      <c r="G220" t="inlineStr">
        <is>
          <t>EKSJÖ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46282</v>
      </c>
      <c r="F221" t="inlineStr">
        <is>
          <t>JÖNKÖPINGS LÄN</t>
        </is>
      </c>
      <c r="G221" t="inlineStr">
        <is>
          <t>EKSJÖ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46282</v>
      </c>
      <c r="F222" t="inlineStr">
        <is>
          <t>JÖNKÖPINGS LÄN</t>
        </is>
      </c>
      <c r="G222" t="inlineStr">
        <is>
          <t>EKSJÖ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46282</v>
      </c>
      <c r="F223" t="inlineStr">
        <is>
          <t>JÖNKÖPINGS LÄN</t>
        </is>
      </c>
      <c r="G223" t="inlineStr">
        <is>
          <t>EKSJÖ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46282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46282</v>
      </c>
      <c r="F225" t="inlineStr">
        <is>
          <t>JÖNKÖPINGS LÄN</t>
        </is>
      </c>
      <c r="G225" t="inlineStr">
        <is>
          <t>EKSJÖ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46282</v>
      </c>
      <c r="F226" t="inlineStr">
        <is>
          <t>JÖNKÖPINGS LÄN</t>
        </is>
      </c>
      <c r="G226" t="inlineStr">
        <is>
          <t>EKSJÖ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46282</v>
      </c>
      <c r="F227" t="inlineStr">
        <is>
          <t>JÖNKÖPINGS LÄN</t>
        </is>
      </c>
      <c r="G227" t="inlineStr">
        <is>
          <t>EKSJÖ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46282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45695</v>
      </c>
      <c r="E229" s="1" t="n">
        <v>46282</v>
      </c>
      <c r="F229" t="inlineStr">
        <is>
          <t>JÖNKÖPINGS LÄN</t>
        </is>
      </c>
      <c r="G229" t="inlineStr">
        <is>
          <t>EKSJÖ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46282</v>
      </c>
      <c r="F230" t="inlineStr">
        <is>
          <t>JÖNKÖPINGS LÄN</t>
        </is>
      </c>
      <c r="G230" t="inlineStr">
        <is>
          <t>EKSJÖ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45461</v>
      </c>
      <c r="E231" s="1" t="n">
        <v>46282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46282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46282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46282</v>
      </c>
      <c r="F234" t="inlineStr">
        <is>
          <t>JÖNKÖPINGS LÄN</t>
        </is>
      </c>
      <c r="G234" t="inlineStr">
        <is>
          <t>EKSJÖ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45860</v>
      </c>
      <c r="E235" s="1" t="n">
        <v>46282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45860</v>
      </c>
      <c r="E236" s="1" t="n">
        <v>46282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45631</v>
      </c>
      <c r="E237" s="1" t="n">
        <v>46282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46282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46282</v>
      </c>
      <c r="F239" t="inlineStr">
        <is>
          <t>JÖNKÖPINGS LÄN</t>
        </is>
      </c>
      <c r="G239" t="inlineStr">
        <is>
          <t>EKSJÖ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41744-2023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45176</v>
      </c>
      <c r="E240" s="1" t="n">
        <v>46282</v>
      </c>
      <c r="F240" t="inlineStr">
        <is>
          <t>JÖNKÖPINGS LÄN</t>
        </is>
      </c>
      <c r="G240" t="inlineStr">
        <is>
          <t>EKSJÖ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46282</v>
      </c>
      <c r="F241" t="inlineStr">
        <is>
          <t>JÖNKÖPINGS LÄN</t>
        </is>
      </c>
      <c r="G241" t="inlineStr">
        <is>
          <t>EKSJÖ</t>
        </is>
      </c>
      <c r="H241" t="inlineStr">
        <is>
          <t>Övriga Aktiebolag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46282</v>
      </c>
      <c r="F242" t="inlineStr">
        <is>
          <t>JÖNKÖPINGS LÄN</t>
        </is>
      </c>
      <c r="G242" t="inlineStr">
        <is>
          <t>EKSJÖ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46282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46282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46282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46282</v>
      </c>
      <c r="F246" t="inlineStr">
        <is>
          <t>JÖNKÖPINGS LÄN</t>
        </is>
      </c>
      <c r="G246" t="inlineStr">
        <is>
          <t>EKSJÖ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46282</v>
      </c>
      <c r="F247" t="inlineStr">
        <is>
          <t>JÖNKÖPINGS LÄN</t>
        </is>
      </c>
      <c r="G247" t="inlineStr">
        <is>
          <t>EKSJÖ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46282</v>
      </c>
      <c r="F248" t="inlineStr">
        <is>
          <t>JÖNKÖPINGS LÄN</t>
        </is>
      </c>
      <c r="G248" t="inlineStr">
        <is>
          <t>EKSJÖ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46282</v>
      </c>
      <c r="F249" t="inlineStr">
        <is>
          <t>JÖNKÖPINGS LÄN</t>
        </is>
      </c>
      <c r="G249" t="inlineStr">
        <is>
          <t>EKSJÖ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46282</v>
      </c>
      <c r="F250" t="inlineStr">
        <is>
          <t>JÖNKÖPINGS LÄN</t>
        </is>
      </c>
      <c r="G250" t="inlineStr">
        <is>
          <t>EKSJÖ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46282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45877</v>
      </c>
      <c r="E252" s="1" t="n">
        <v>46282</v>
      </c>
      <c r="F252" t="inlineStr">
        <is>
          <t>JÖNKÖPINGS LÄN</t>
        </is>
      </c>
      <c r="G252" t="inlineStr">
        <is>
          <t>EKSJÖ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46282</v>
      </c>
      <c r="F253" t="inlineStr">
        <is>
          <t>JÖNKÖPINGS LÄN</t>
        </is>
      </c>
      <c r="G253" t="inlineStr">
        <is>
          <t>EKSJÖ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46282</v>
      </c>
      <c r="F254" t="inlineStr">
        <is>
          <t>JÖNKÖPINGS LÄN</t>
        </is>
      </c>
      <c r="G254" t="inlineStr">
        <is>
          <t>EKSJÖ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46282</v>
      </c>
      <c r="F255" t="inlineStr">
        <is>
          <t>JÖNKÖPINGS LÄN</t>
        </is>
      </c>
      <c r="G255" t="inlineStr">
        <is>
          <t>EKSJÖ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46282</v>
      </c>
      <c r="F256" t="inlineStr">
        <is>
          <t>JÖNKÖPINGS LÄN</t>
        </is>
      </c>
      <c r="G256" t="inlineStr">
        <is>
          <t>EKSJÖ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46282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46282</v>
      </c>
      <c r="F258" t="inlineStr">
        <is>
          <t>JÖNKÖPINGS LÄN</t>
        </is>
      </c>
      <c r="G258" t="inlineStr">
        <is>
          <t>EKSJÖ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46282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46282</v>
      </c>
      <c r="F260" t="inlineStr">
        <is>
          <t>JÖNKÖPINGS LÄN</t>
        </is>
      </c>
      <c r="G260" t="inlineStr">
        <is>
          <t>EKSJÖ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46282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46282</v>
      </c>
      <c r="F262" t="inlineStr">
        <is>
          <t>JÖNKÖPINGS LÄN</t>
        </is>
      </c>
      <c r="G262" t="inlineStr">
        <is>
          <t>EKSJÖ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46282</v>
      </c>
      <c r="F263" t="inlineStr">
        <is>
          <t>JÖNKÖPINGS LÄN</t>
        </is>
      </c>
      <c r="G263" t="inlineStr">
        <is>
          <t>EKSJÖ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46282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46282</v>
      </c>
      <c r="F265" t="inlineStr">
        <is>
          <t>JÖNKÖPINGS LÄN</t>
        </is>
      </c>
      <c r="G265" t="inlineStr">
        <is>
          <t>EKSJÖ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46282</v>
      </c>
      <c r="F266" t="inlineStr">
        <is>
          <t>JÖNKÖPINGS LÄN</t>
        </is>
      </c>
      <c r="G266" t="inlineStr">
        <is>
          <t>EKSJÖ</t>
        </is>
      </c>
      <c r="H266" t="inlineStr">
        <is>
          <t>Kyrkan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54292-2023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45232</v>
      </c>
      <c r="E267" s="1" t="n">
        <v>46282</v>
      </c>
      <c r="F267" t="inlineStr">
        <is>
          <t>JÖNKÖPINGS LÄN</t>
        </is>
      </c>
      <c r="G267" t="inlineStr">
        <is>
          <t>EKSJÖ</t>
        </is>
      </c>
      <c r="I267" t="n">
        <v>18.3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45008</v>
      </c>
      <c r="E268" s="1" t="n">
        <v>46282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46282</v>
      </c>
      <c r="F269" t="inlineStr">
        <is>
          <t>JÖNKÖPINGS LÄN</t>
        </is>
      </c>
      <c r="G269" t="inlineStr">
        <is>
          <t>EKSJÖ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46282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6596-2026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46282</v>
      </c>
      <c r="F271" t="inlineStr">
        <is>
          <t>JÖNKÖPINGS LÄN</t>
        </is>
      </c>
      <c r="G271" t="inlineStr">
        <is>
          <t>EKSJÖ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56322-2021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44477</v>
      </c>
      <c r="E272" s="1" t="n">
        <v>46282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45741</v>
      </c>
      <c r="E273" s="1" t="n">
        <v>46282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14420-2025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45741</v>
      </c>
      <c r="E274" s="1" t="n">
        <v>46282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46282</v>
      </c>
      <c r="F275" t="inlineStr">
        <is>
          <t>JÖNKÖPINGS LÄN</t>
        </is>
      </c>
      <c r="G275" t="inlineStr">
        <is>
          <t>EKSJÖ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45036</v>
      </c>
      <c r="E276" s="1" t="n">
        <v>46282</v>
      </c>
      <c r="F276" t="inlineStr">
        <is>
          <t>JÖNKÖPINGS LÄN</t>
        </is>
      </c>
      <c r="G276" t="inlineStr">
        <is>
          <t>EKSJÖ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46282</v>
      </c>
      <c r="F277" t="inlineStr">
        <is>
          <t>JÖNKÖPINGS LÄN</t>
        </is>
      </c>
      <c r="G277" t="inlineStr">
        <is>
          <t>EKSJÖ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46282</v>
      </c>
      <c r="F278" t="inlineStr">
        <is>
          <t>JÖNKÖPINGS LÄN</t>
        </is>
      </c>
      <c r="G278" t="inlineStr">
        <is>
          <t>EKSJÖ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64419-2021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44511</v>
      </c>
      <c r="E279" s="1" t="n">
        <v>46282</v>
      </c>
      <c r="F279" t="inlineStr">
        <is>
          <t>JÖNKÖPINGS LÄN</t>
        </is>
      </c>
      <c r="G279" t="inlineStr">
        <is>
          <t>EKSJÖ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46282</v>
      </c>
      <c r="F280" t="inlineStr">
        <is>
          <t>JÖNKÖPINGS LÄN</t>
        </is>
      </c>
      <c r="G280" t="inlineStr">
        <is>
          <t>EKSJÖ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46282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46282</v>
      </c>
      <c r="F282" t="inlineStr">
        <is>
          <t>JÖNKÖPINGS LÄN</t>
        </is>
      </c>
      <c r="G282" t="inlineStr">
        <is>
          <t>EKSJÖ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46282</v>
      </c>
      <c r="F283" t="inlineStr">
        <is>
          <t>JÖNKÖPINGS LÄN</t>
        </is>
      </c>
      <c r="G283" t="inlineStr">
        <is>
          <t>EKSJÖ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46282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46282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44781</v>
      </c>
      <c r="E286" s="1" t="n">
        <v>46282</v>
      </c>
      <c r="F286" t="inlineStr">
        <is>
          <t>JÖNKÖPINGS LÄN</t>
        </is>
      </c>
      <c r="G286" t="inlineStr">
        <is>
          <t>EKSJÖ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32336-2022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44781</v>
      </c>
      <c r="E287" s="1" t="n">
        <v>46282</v>
      </c>
      <c r="F287" t="inlineStr">
        <is>
          <t>JÖNKÖPINGS LÄN</t>
        </is>
      </c>
      <c r="G287" t="inlineStr">
        <is>
          <t>EKSJÖ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46282</v>
      </c>
      <c r="F288" t="inlineStr">
        <is>
          <t>JÖNKÖPINGS LÄN</t>
        </is>
      </c>
      <c r="G288" t="inlineStr">
        <is>
          <t>EKSJÖ</t>
        </is>
      </c>
      <c r="H288" t="inlineStr">
        <is>
          <t>Kommuner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46282</v>
      </c>
      <c r="F289" t="inlineStr">
        <is>
          <t>JÖNKÖPINGS LÄN</t>
        </is>
      </c>
      <c r="G289" t="inlineStr">
        <is>
          <t>EKSJÖ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19469-2025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45770</v>
      </c>
      <c r="E290" s="1" t="n">
        <v>46282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46282</v>
      </c>
      <c r="F291" t="inlineStr">
        <is>
          <t>JÖNKÖPINGS LÄN</t>
        </is>
      </c>
      <c r="G291" t="inlineStr">
        <is>
          <t>EKSJÖ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46282</v>
      </c>
      <c r="F292" t="inlineStr">
        <is>
          <t>JÖNKÖPINGS LÄN</t>
        </is>
      </c>
      <c r="G292" t="inlineStr">
        <is>
          <t>EKSJÖ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54292-2023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45232</v>
      </c>
      <c r="E293" s="1" t="n">
        <v>46282</v>
      </c>
      <c r="F293" t="inlineStr">
        <is>
          <t>JÖNKÖPINGS LÄN</t>
        </is>
      </c>
      <c r="G293" t="inlineStr">
        <is>
          <t>EKSJÖ</t>
        </is>
      </c>
      <c r="I293" t="n">
        <v>18.3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46282</v>
      </c>
      <c r="F294" t="inlineStr">
        <is>
          <t>JÖNKÖPINGS LÄN</t>
        </is>
      </c>
      <c r="G294" t="inlineStr">
        <is>
          <t>EKSJÖ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46282</v>
      </c>
      <c r="F295" t="inlineStr">
        <is>
          <t>JÖNKÖPINGS LÄN</t>
        </is>
      </c>
      <c r="G295" t="inlineStr">
        <is>
          <t>EKSJÖ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46282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45086</v>
      </c>
      <c r="E297" s="1" t="n">
        <v>46282</v>
      </c>
      <c r="F297" t="inlineStr">
        <is>
          <t>JÖNKÖPINGS LÄN</t>
        </is>
      </c>
      <c r="G297" t="inlineStr">
        <is>
          <t>EKSJÖ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46282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45991</v>
      </c>
      <c r="E299" s="1" t="n">
        <v>46282</v>
      </c>
      <c r="F299" t="inlineStr">
        <is>
          <t>JÖNKÖPINGS LÄN</t>
        </is>
      </c>
      <c r="G299" t="inlineStr">
        <is>
          <t>EKSJÖ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46282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46282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16.1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45334</v>
      </c>
      <c r="E302" s="1" t="n">
        <v>46282</v>
      </c>
      <c r="F302" t="inlineStr">
        <is>
          <t>JÖNKÖPINGS LÄN</t>
        </is>
      </c>
      <c r="G302" t="inlineStr">
        <is>
          <t>EKSJÖ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44991</v>
      </c>
      <c r="E303" s="1" t="n">
        <v>46282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10153-2024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46282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46282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45338</v>
      </c>
      <c r="E306" s="1" t="n">
        <v>46282</v>
      </c>
      <c r="F306" t="inlineStr">
        <is>
          <t>JÖNKÖPINGS LÄN</t>
        </is>
      </c>
      <c r="G306" t="inlineStr">
        <is>
          <t>EKSJÖ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46282</v>
      </c>
      <c r="F307" t="inlineStr">
        <is>
          <t>JÖNKÖPINGS LÄN</t>
        </is>
      </c>
      <c r="G307" t="inlineStr">
        <is>
          <t>EKSJÖ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46282</v>
      </c>
      <c r="F308" t="inlineStr">
        <is>
          <t>JÖNKÖPINGS LÄN</t>
        </is>
      </c>
      <c r="G308" t="inlineStr">
        <is>
          <t>EKSJÖ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45222</v>
      </c>
      <c r="E309" s="1" t="n">
        <v>46282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45391</v>
      </c>
      <c r="E310" s="1" t="n">
        <v>46282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46282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46282</v>
      </c>
      <c r="F312" t="inlineStr">
        <is>
          <t>JÖNKÖPINGS LÄN</t>
        </is>
      </c>
      <c r="G312" t="inlineStr">
        <is>
          <t>EKSJÖ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46282</v>
      </c>
      <c r="F313" t="inlineStr">
        <is>
          <t>JÖNKÖPINGS LÄN</t>
        </is>
      </c>
      <c r="G313" t="inlineStr">
        <is>
          <t>EKSJÖ</t>
        </is>
      </c>
      <c r="H313" t="inlineStr">
        <is>
          <t>Kommuner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45334</v>
      </c>
      <c r="E314" s="1" t="n">
        <v>46282</v>
      </c>
      <c r="F314" t="inlineStr">
        <is>
          <t>JÖNKÖPINGS LÄN</t>
        </is>
      </c>
      <c r="G314" t="inlineStr">
        <is>
          <t>EKSJÖ</t>
        </is>
      </c>
      <c r="H314" t="inlineStr">
        <is>
          <t>Kommuner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46282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44746</v>
      </c>
      <c r="E316" s="1" t="n">
        <v>46282</v>
      </c>
      <c r="F316" t="inlineStr">
        <is>
          <t>JÖNKÖPINGS LÄN</t>
        </is>
      </c>
      <c r="G316" t="inlineStr">
        <is>
          <t>EKSJÖ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46282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46282</v>
      </c>
      <c r="F318" t="inlineStr">
        <is>
          <t>JÖNKÖPINGS LÄN</t>
        </is>
      </c>
      <c r="G318" t="inlineStr">
        <is>
          <t>EKSJÖ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44928</v>
      </c>
      <c r="E319" s="1" t="n">
        <v>46282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46282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45071</v>
      </c>
      <c r="E321" s="1" t="n">
        <v>46282</v>
      </c>
      <c r="F321" t="inlineStr">
        <is>
          <t>JÖNKÖPINGS LÄN</t>
        </is>
      </c>
      <c r="G321" t="inlineStr">
        <is>
          <t>EKSJÖ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46282</v>
      </c>
      <c r="F322" t="inlineStr">
        <is>
          <t>JÖNKÖPINGS LÄN</t>
        </is>
      </c>
      <c r="G322" t="inlineStr">
        <is>
          <t>EKSJÖ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46014</v>
      </c>
      <c r="E323" s="1" t="n">
        <v>46282</v>
      </c>
      <c r="F323" t="inlineStr">
        <is>
          <t>JÖNKÖPINGS LÄN</t>
        </is>
      </c>
      <c r="G323" t="inlineStr">
        <is>
          <t>EKSJÖ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46282</v>
      </c>
      <c r="F324" t="inlineStr">
        <is>
          <t>JÖNKÖPINGS LÄN</t>
        </is>
      </c>
      <c r="G324" t="inlineStr">
        <is>
          <t>EKSJÖ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46282</v>
      </c>
      <c r="F325" t="inlineStr">
        <is>
          <t>JÖNKÖPINGS LÄN</t>
        </is>
      </c>
      <c r="G325" t="inlineStr">
        <is>
          <t>EKSJÖ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38201-2023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46282</v>
      </c>
      <c r="F326" t="inlineStr">
        <is>
          <t>JÖNKÖPINGS LÄN</t>
        </is>
      </c>
      <c r="G326" t="inlineStr">
        <is>
          <t>EKSJÖ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45475</v>
      </c>
      <c r="E327" s="1" t="n">
        <v>46282</v>
      </c>
      <c r="F327" t="inlineStr">
        <is>
          <t>JÖNKÖPINGS LÄN</t>
        </is>
      </c>
      <c r="G327" t="inlineStr">
        <is>
          <t>EKSJÖ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46282</v>
      </c>
      <c r="F328" t="inlineStr">
        <is>
          <t>JÖNKÖPINGS LÄN</t>
        </is>
      </c>
      <c r="G328" t="inlineStr">
        <is>
          <t>EKSJÖ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45334</v>
      </c>
      <c r="E329" s="1" t="n">
        <v>46282</v>
      </c>
      <c r="F329" t="inlineStr">
        <is>
          <t>JÖNKÖPINGS LÄN</t>
        </is>
      </c>
      <c r="G329" t="inlineStr">
        <is>
          <t>EKSJÖ</t>
        </is>
      </c>
      <c r="H329" t="inlineStr">
        <is>
          <t>Kommuner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46282</v>
      </c>
      <c r="F330" t="inlineStr">
        <is>
          <t>JÖNKÖPINGS LÄN</t>
        </is>
      </c>
      <c r="G330" t="inlineStr">
        <is>
          <t>EKSJÖ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46282</v>
      </c>
      <c r="F331" t="inlineStr">
        <is>
          <t>JÖNKÖPINGS LÄN</t>
        </is>
      </c>
      <c r="G331" t="inlineStr">
        <is>
          <t>EKSJÖ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46282</v>
      </c>
      <c r="F332" t="inlineStr">
        <is>
          <t>JÖNKÖPINGS LÄN</t>
        </is>
      </c>
      <c r="G332" t="inlineStr">
        <is>
          <t>EKSJÖ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46282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56469-2021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46282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46282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46282</v>
      </c>
      <c r="F336" t="inlineStr">
        <is>
          <t>JÖNKÖPINGS LÄN</t>
        </is>
      </c>
      <c r="G336" t="inlineStr">
        <is>
          <t>EKSJÖ</t>
        </is>
      </c>
      <c r="H336" t="inlineStr">
        <is>
          <t>Kommuner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46282</v>
      </c>
      <c r="F337" t="inlineStr">
        <is>
          <t>JÖNKÖPINGS LÄN</t>
        </is>
      </c>
      <c r="G337" t="inlineStr">
        <is>
          <t>EKSJÖ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46282</v>
      </c>
      <c r="F338" t="inlineStr">
        <is>
          <t>JÖNKÖPINGS LÄN</t>
        </is>
      </c>
      <c r="G338" t="inlineStr">
        <is>
          <t>EKSJÖ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46282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46282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46282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46282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46282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46107</v>
      </c>
      <c r="E344" s="1" t="n">
        <v>46282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44630</v>
      </c>
      <c r="E345" s="1" t="n">
        <v>46282</v>
      </c>
      <c r="F345" t="inlineStr">
        <is>
          <t>JÖNKÖPINGS LÄN</t>
        </is>
      </c>
      <c r="G345" t="inlineStr">
        <is>
          <t>EKSJÖ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64993-2023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45286</v>
      </c>
      <c r="E346" s="1" t="n">
        <v>46282</v>
      </c>
      <c r="F346" t="inlineStr">
        <is>
          <t>JÖNKÖPINGS LÄN</t>
        </is>
      </c>
      <c r="G346" t="inlineStr">
        <is>
          <t>EKSJÖ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32344-2024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46282</v>
      </c>
      <c r="F347" t="inlineStr">
        <is>
          <t>JÖNKÖPINGS LÄN</t>
        </is>
      </c>
      <c r="G347" t="inlineStr">
        <is>
          <t>EKSJÖ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46282</v>
      </c>
      <c r="F348" t="inlineStr">
        <is>
          <t>JÖNKÖPINGS LÄN</t>
        </is>
      </c>
      <c r="G348" t="inlineStr">
        <is>
          <t>EKSJÖ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25140-2023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45086</v>
      </c>
      <c r="E349" s="1" t="n">
        <v>46282</v>
      </c>
      <c r="F349" t="inlineStr">
        <is>
          <t>JÖNKÖPINGS LÄN</t>
        </is>
      </c>
      <c r="G349" t="inlineStr">
        <is>
          <t>EKSJÖ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46282</v>
      </c>
      <c r="F350" t="inlineStr">
        <is>
          <t>JÖNKÖPINGS LÄN</t>
        </is>
      </c>
      <c r="G350" t="inlineStr">
        <is>
          <t>EKSJÖ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46282</v>
      </c>
      <c r="F351" t="inlineStr">
        <is>
          <t>JÖNKÖPINGS LÄN</t>
        </is>
      </c>
      <c r="G351" t="inlineStr">
        <is>
          <t>EKSJÖ</t>
        </is>
      </c>
      <c r="H351" t="inlineStr">
        <is>
          <t>Övriga Aktiebolag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46282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12821-2024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45384</v>
      </c>
      <c r="E353" s="1" t="n">
        <v>46282</v>
      </c>
      <c r="F353" t="inlineStr">
        <is>
          <t>JÖNKÖPINGS LÄN</t>
        </is>
      </c>
      <c r="G353" t="inlineStr">
        <is>
          <t>EKSJÖ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46282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46282</v>
      </c>
      <c r="F355" t="inlineStr">
        <is>
          <t>JÖNKÖPINGS LÄN</t>
        </is>
      </c>
      <c r="G355" t="inlineStr">
        <is>
          <t>EKSJÖ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45173</v>
      </c>
      <c r="E356" s="1" t="n">
        <v>46282</v>
      </c>
      <c r="F356" t="inlineStr">
        <is>
          <t>JÖNKÖPINGS LÄN</t>
        </is>
      </c>
      <c r="G356" t="inlineStr">
        <is>
          <t>EKSJÖ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45513</v>
      </c>
      <c r="E357" s="1" t="n">
        <v>46282</v>
      </c>
      <c r="F357" t="inlineStr">
        <is>
          <t>JÖNKÖPINGS LÄN</t>
        </is>
      </c>
      <c r="G357" t="inlineStr">
        <is>
          <t>EKSJÖ</t>
        </is>
      </c>
      <c r="H357" t="inlineStr">
        <is>
          <t>Kyrkan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46282</v>
      </c>
      <c r="F358" t="inlineStr">
        <is>
          <t>JÖNKÖPINGS LÄN</t>
        </is>
      </c>
      <c r="G358" t="inlineStr">
        <is>
          <t>EKSJÖ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46282</v>
      </c>
      <c r="F359" t="inlineStr">
        <is>
          <t>JÖNKÖPINGS LÄN</t>
        </is>
      </c>
      <c r="G359" t="inlineStr">
        <is>
          <t>EKSJÖ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46282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65554-2021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44516</v>
      </c>
      <c r="E361" s="1" t="n">
        <v>46282</v>
      </c>
      <c r="F361" t="inlineStr">
        <is>
          <t>JÖNKÖPINGS LÄN</t>
        </is>
      </c>
      <c r="G361" t="inlineStr">
        <is>
          <t>EKSJÖ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45370-2024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46282</v>
      </c>
      <c r="F362" t="inlineStr">
        <is>
          <t>JÖNKÖPINGS LÄN</t>
        </is>
      </c>
      <c r="G362" t="inlineStr">
        <is>
          <t>EKSJÖ</t>
        </is>
      </c>
      <c r="H362" t="inlineStr">
        <is>
          <t>Övriga Aktiebolag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46282</v>
      </c>
      <c r="F363" t="inlineStr">
        <is>
          <t>JÖNKÖPINGS LÄN</t>
        </is>
      </c>
      <c r="G363" t="inlineStr">
        <is>
          <t>EKSJÖ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46282</v>
      </c>
      <c r="F364" t="inlineStr">
        <is>
          <t>JÖNKÖPINGS LÄN</t>
        </is>
      </c>
      <c r="G364" t="inlineStr">
        <is>
          <t>EKSJÖ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46282</v>
      </c>
      <c r="F365" t="inlineStr">
        <is>
          <t>JÖNKÖPINGS LÄN</t>
        </is>
      </c>
      <c r="G365" t="inlineStr">
        <is>
          <t>EKSJÖ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46282</v>
      </c>
      <c r="F366" t="inlineStr">
        <is>
          <t>JÖNKÖPINGS LÄN</t>
        </is>
      </c>
      <c r="G366" t="inlineStr">
        <is>
          <t>EKSJÖ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10309-2024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45365</v>
      </c>
      <c r="E367" s="1" t="n">
        <v>46282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46282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46282</v>
      </c>
      <c r="F369" t="inlineStr">
        <is>
          <t>JÖNKÖPINGS LÄN</t>
        </is>
      </c>
      <c r="G369" t="inlineStr">
        <is>
          <t>EKSJÖ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44925</v>
      </c>
      <c r="E370" s="1" t="n">
        <v>46282</v>
      </c>
      <c r="F370" t="inlineStr">
        <is>
          <t>JÖNKÖPINGS LÄN</t>
        </is>
      </c>
      <c r="G370" t="inlineStr">
        <is>
          <t>EKSJÖ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45239</v>
      </c>
      <c r="E371" s="1" t="n">
        <v>46282</v>
      </c>
      <c r="F371" t="inlineStr">
        <is>
          <t>JÖNKÖPINGS LÄN</t>
        </is>
      </c>
      <c r="G371" t="inlineStr">
        <is>
          <t>EKSJÖ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45114</v>
      </c>
      <c r="E372" s="1" t="n">
        <v>46282</v>
      </c>
      <c r="F372" t="inlineStr">
        <is>
          <t>JÖNKÖPINGS LÄN</t>
        </is>
      </c>
      <c r="G372" t="inlineStr">
        <is>
          <t>EKSJÖ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45402</v>
      </c>
      <c r="E373" s="1" t="n">
        <v>46282</v>
      </c>
      <c r="F373" t="inlineStr">
        <is>
          <t>JÖNKÖPINGS LÄN</t>
        </is>
      </c>
      <c r="G373" t="inlineStr">
        <is>
          <t>EKSJÖ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46282</v>
      </c>
      <c r="F374" t="inlineStr">
        <is>
          <t>JÖNKÖPINGS LÄN</t>
        </is>
      </c>
      <c r="G374" t="inlineStr">
        <is>
          <t>EKSJÖ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46282</v>
      </c>
      <c r="F375" t="inlineStr">
        <is>
          <t>JÖNKÖPINGS LÄN</t>
        </is>
      </c>
      <c r="G375" t="inlineStr">
        <is>
          <t>EKSJÖ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46282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45314</v>
      </c>
      <c r="E377" s="1" t="n">
        <v>46282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46282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46282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45659</v>
      </c>
      <c r="E380" s="1" t="n">
        <v>46282</v>
      </c>
      <c r="F380" t="inlineStr">
        <is>
          <t>JÖNKÖPINGS LÄN</t>
        </is>
      </c>
      <c r="G380" t="inlineStr">
        <is>
          <t>EKSJÖ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34772-2023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45141</v>
      </c>
      <c r="E381" s="1" t="n">
        <v>46282</v>
      </c>
      <c r="F381" t="inlineStr">
        <is>
          <t>JÖNKÖPINGS LÄN</t>
        </is>
      </c>
      <c r="G381" t="inlineStr">
        <is>
          <t>EKSJÖ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46282</v>
      </c>
      <c r="F382" t="inlineStr">
        <is>
          <t>JÖNKÖPINGS LÄN</t>
        </is>
      </c>
      <c r="G382" t="inlineStr">
        <is>
          <t>EKSJÖ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45758</v>
      </c>
      <c r="E383" s="1" t="n">
        <v>46282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45882</v>
      </c>
      <c r="E384" s="1" t="n">
        <v>46282</v>
      </c>
      <c r="F384" t="inlineStr">
        <is>
          <t>JÖNKÖPINGS LÄN</t>
        </is>
      </c>
      <c r="G384" t="inlineStr">
        <is>
          <t>EKSJÖ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45882</v>
      </c>
      <c r="E385" s="1" t="n">
        <v>46282</v>
      </c>
      <c r="F385" t="inlineStr">
        <is>
          <t>JÖNKÖPINGS LÄN</t>
        </is>
      </c>
      <c r="G385" t="inlineStr">
        <is>
          <t>EKSJÖ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45628</v>
      </c>
      <c r="E386" s="1" t="n">
        <v>46282</v>
      </c>
      <c r="F386" t="inlineStr">
        <is>
          <t>JÖNKÖPINGS LÄN</t>
        </is>
      </c>
      <c r="G386" t="inlineStr">
        <is>
          <t>EKSJÖ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46282</v>
      </c>
      <c r="F387" t="inlineStr">
        <is>
          <t>JÖNKÖPINGS LÄN</t>
        </is>
      </c>
      <c r="G387" t="inlineStr">
        <is>
          <t>EKSJÖ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45232</v>
      </c>
      <c r="E388" s="1" t="n">
        <v>46282</v>
      </c>
      <c r="F388" t="inlineStr">
        <is>
          <t>JÖNKÖPINGS LÄN</t>
        </is>
      </c>
      <c r="G388" t="inlineStr">
        <is>
          <t>EKSJÖ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45175</v>
      </c>
      <c r="E389" s="1" t="n">
        <v>46282</v>
      </c>
      <c r="F389" t="inlineStr">
        <is>
          <t>JÖNKÖPINGS LÄN</t>
        </is>
      </c>
      <c r="G389" t="inlineStr">
        <is>
          <t>EKSJÖ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45251</v>
      </c>
      <c r="E390" s="1" t="n">
        <v>46282</v>
      </c>
      <c r="F390" t="inlineStr">
        <is>
          <t>JÖNKÖPINGS LÄN</t>
        </is>
      </c>
      <c r="G390" t="inlineStr">
        <is>
          <t>EKSJÖ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45086</v>
      </c>
      <c r="E391" s="1" t="n">
        <v>46282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46282</v>
      </c>
      <c r="F392" t="inlineStr">
        <is>
          <t>JÖNKÖPINGS LÄN</t>
        </is>
      </c>
      <c r="G392" t="inlineStr">
        <is>
          <t>EKSJÖ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44991</v>
      </c>
      <c r="E393" s="1" t="n">
        <v>46282</v>
      </c>
      <c r="F393" t="inlineStr">
        <is>
          <t>JÖNKÖPINGS LÄN</t>
        </is>
      </c>
      <c r="G393" t="inlineStr">
        <is>
          <t>EKSJÖ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45238</v>
      </c>
      <c r="E394" s="1" t="n">
        <v>46282</v>
      </c>
      <c r="F394" t="inlineStr">
        <is>
          <t>JÖNKÖPINGS LÄN</t>
        </is>
      </c>
      <c r="G394" t="inlineStr">
        <is>
          <t>EKSJÖ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45533</v>
      </c>
      <c r="E395" s="1" t="n">
        <v>46282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44783</v>
      </c>
      <c r="E396" s="1" t="n">
        <v>46282</v>
      </c>
      <c r="F396" t="inlineStr">
        <is>
          <t>JÖNKÖPINGS LÄN</t>
        </is>
      </c>
      <c r="G396" t="inlineStr">
        <is>
          <t>EKSJÖ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46282</v>
      </c>
      <c r="F397" t="inlineStr">
        <is>
          <t>JÖNKÖPINGS LÄN</t>
        </is>
      </c>
      <c r="G397" t="inlineStr">
        <is>
          <t>EKSJÖ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46282</v>
      </c>
      <c r="F398" t="inlineStr">
        <is>
          <t>JÖNKÖPINGS LÄN</t>
        </is>
      </c>
      <c r="G398" t="inlineStr">
        <is>
          <t>EKSJÖ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46282</v>
      </c>
      <c r="F399" t="inlineStr">
        <is>
          <t>JÖNKÖPINGS LÄN</t>
        </is>
      </c>
      <c r="G399" t="inlineStr">
        <is>
          <t>EKSJÖ</t>
        </is>
      </c>
      <c r="H399" t="inlineStr">
        <is>
          <t>Sveaskog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56805-2024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45628</v>
      </c>
      <c r="E400" s="1" t="n">
        <v>46282</v>
      </c>
      <c r="F400" t="inlineStr">
        <is>
          <t>JÖNKÖPINGS LÄN</t>
        </is>
      </c>
      <c r="G400" t="inlineStr">
        <is>
          <t>EKSJÖ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46282</v>
      </c>
      <c r="F401" t="inlineStr">
        <is>
          <t>JÖNKÖPINGS LÄN</t>
        </is>
      </c>
      <c r="G401" t="inlineStr">
        <is>
          <t>EKSJÖ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30931-2023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45113</v>
      </c>
      <c r="E402" s="1" t="n">
        <v>46282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45523</v>
      </c>
      <c r="E403" s="1" t="n">
        <v>46282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45523</v>
      </c>
      <c r="E404" s="1" t="n">
        <v>46282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50287-2024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45600</v>
      </c>
      <c r="E405" s="1" t="n">
        <v>46282</v>
      </c>
      <c r="F405" t="inlineStr">
        <is>
          <t>JÖNKÖPINGS LÄN</t>
        </is>
      </c>
      <c r="G405" t="inlineStr">
        <is>
          <t>EKSJÖ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45533</v>
      </c>
      <c r="E406" s="1" t="n">
        <v>46282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46282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45049</v>
      </c>
      <c r="E408" s="1" t="n">
        <v>46282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46013</v>
      </c>
      <c r="E409" s="1" t="n">
        <v>46282</v>
      </c>
      <c r="F409" t="inlineStr">
        <is>
          <t>JÖNKÖPINGS LÄN</t>
        </is>
      </c>
      <c r="G409" t="inlineStr">
        <is>
          <t>EKSJÖ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46282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46282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46282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44925</v>
      </c>
      <c r="E413" s="1" t="n">
        <v>46282</v>
      </c>
      <c r="F413" t="inlineStr">
        <is>
          <t>JÖNKÖPINGS LÄN</t>
        </is>
      </c>
      <c r="G413" t="inlineStr">
        <is>
          <t>EKSJÖ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45212</v>
      </c>
      <c r="E414" s="1" t="n">
        <v>46282</v>
      </c>
      <c r="F414" t="inlineStr">
        <is>
          <t>JÖNKÖPINGS LÄN</t>
        </is>
      </c>
      <c r="G414" t="inlineStr">
        <is>
          <t>EKSJÖ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45072</v>
      </c>
      <c r="E415" s="1" t="n">
        <v>46282</v>
      </c>
      <c r="F415" t="inlineStr">
        <is>
          <t>JÖNKÖPINGS LÄN</t>
        </is>
      </c>
      <c r="G415" t="inlineStr">
        <is>
          <t>EKSJÖ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46282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44685</v>
      </c>
      <c r="E417" s="1" t="n">
        <v>46282</v>
      </c>
      <c r="F417" t="inlineStr">
        <is>
          <t>JÖNKÖPINGS LÄN</t>
        </is>
      </c>
      <c r="G417" t="inlineStr">
        <is>
          <t>EKSJÖ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44846</v>
      </c>
      <c r="E418" s="1" t="n">
        <v>46282</v>
      </c>
      <c r="F418" t="inlineStr">
        <is>
          <t>JÖNKÖPINGS LÄN</t>
        </is>
      </c>
      <c r="G418" t="inlineStr">
        <is>
          <t>EKSJÖ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38592-2022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44813</v>
      </c>
      <c r="E419" s="1" t="n">
        <v>46282</v>
      </c>
      <c r="F419" t="inlineStr">
        <is>
          <t>JÖNKÖPINGS LÄN</t>
        </is>
      </c>
      <c r="G419" t="inlineStr">
        <is>
          <t>EKSJÖ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45420</v>
      </c>
      <c r="E420" s="1" t="n">
        <v>46282</v>
      </c>
      <c r="F420" t="inlineStr">
        <is>
          <t>JÖNKÖPINGS LÄN</t>
        </is>
      </c>
      <c r="G420" t="inlineStr">
        <is>
          <t>EKSJÖ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45426</v>
      </c>
      <c r="E421" s="1" t="n">
        <v>46282</v>
      </c>
      <c r="F421" t="inlineStr">
        <is>
          <t>JÖNKÖPINGS LÄN</t>
        </is>
      </c>
      <c r="G421" t="inlineStr">
        <is>
          <t>EKSJÖ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44803</v>
      </c>
      <c r="E422" s="1" t="n">
        <v>46282</v>
      </c>
      <c r="F422" t="inlineStr">
        <is>
          <t>JÖNKÖPINGS LÄN</t>
        </is>
      </c>
      <c r="G422" t="inlineStr">
        <is>
          <t>EKSJÖ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46282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60920-2025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45996</v>
      </c>
      <c r="E424" s="1" t="n">
        <v>46282</v>
      </c>
      <c r="F424" t="inlineStr">
        <is>
          <t>JÖNKÖPINGS LÄN</t>
        </is>
      </c>
      <c r="G424" t="inlineStr">
        <is>
          <t>EKSJÖ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45677</v>
      </c>
      <c r="E425" s="1" t="n">
        <v>46282</v>
      </c>
      <c r="F425" t="inlineStr">
        <is>
          <t>JÖNKÖPINGS LÄN</t>
        </is>
      </c>
      <c r="G425" t="inlineStr">
        <is>
          <t>EKSJÖ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46282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46282</v>
      </c>
      <c r="F427" t="inlineStr">
        <is>
          <t>JÖNKÖPINGS LÄN</t>
        </is>
      </c>
      <c r="G427" t="inlineStr">
        <is>
          <t>EKSJÖ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46282</v>
      </c>
      <c r="F428" t="inlineStr">
        <is>
          <t>JÖNKÖPINGS LÄN</t>
        </is>
      </c>
      <c r="G428" t="inlineStr">
        <is>
          <t>EKSJÖ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23451-2026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46282</v>
      </c>
      <c r="F429" t="inlineStr">
        <is>
          <t>JÖNKÖPINGS LÄN</t>
        </is>
      </c>
      <c r="G429" t="inlineStr">
        <is>
          <t>EKSJÖ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46282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46282</v>
      </c>
      <c r="F431" t="inlineStr">
        <is>
          <t>JÖNKÖPINGS LÄN</t>
        </is>
      </c>
      <c r="G431" t="inlineStr">
        <is>
          <t>EKSJÖ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23575-2026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46282</v>
      </c>
      <c r="F432" t="inlineStr">
        <is>
          <t>JÖNKÖPINGS LÄN</t>
        </is>
      </c>
      <c r="G432" t="inlineStr">
        <is>
          <t>EKSJÖ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46282</v>
      </c>
      <c r="F433" t="inlineStr">
        <is>
          <t>JÖNKÖPINGS LÄN</t>
        </is>
      </c>
      <c r="G433" t="inlineStr">
        <is>
          <t>EKSJÖ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23488-2026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46282</v>
      </c>
      <c r="F434" t="inlineStr">
        <is>
          <t>JÖNKÖPINGS LÄN</t>
        </is>
      </c>
      <c r="G434" t="inlineStr">
        <is>
          <t>EKSJÖ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46282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46282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46013-2022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44846</v>
      </c>
      <c r="E437" s="1" t="n">
        <v>46282</v>
      </c>
      <c r="F437" t="inlineStr">
        <is>
          <t>JÖNKÖPINGS LÄN</t>
        </is>
      </c>
      <c r="G437" t="inlineStr">
        <is>
          <t>EKSJÖ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46282</v>
      </c>
      <c r="F438" t="inlineStr">
        <is>
          <t>JÖNKÖPINGS LÄN</t>
        </is>
      </c>
      <c r="G438" t="inlineStr">
        <is>
          <t>EKSJÖ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45468</v>
      </c>
      <c r="E439" s="1" t="n">
        <v>46282</v>
      </c>
      <c r="F439" t="inlineStr">
        <is>
          <t>JÖNKÖPINGS LÄN</t>
        </is>
      </c>
      <c r="G439" t="inlineStr">
        <is>
          <t>EKSJÖ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44713</v>
      </c>
      <c r="E440" s="1" t="n">
        <v>46282</v>
      </c>
      <c r="F440" t="inlineStr">
        <is>
          <t>JÖNKÖPINGS LÄN</t>
        </is>
      </c>
      <c r="G440" t="inlineStr">
        <is>
          <t>EKSJÖ</t>
        </is>
      </c>
      <c r="H440" t="inlineStr">
        <is>
          <t>Kyrkan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45308</v>
      </c>
      <c r="E441" s="1" t="n">
        <v>46282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46282</v>
      </c>
      <c r="F442" t="inlineStr">
        <is>
          <t>JÖNKÖPINGS LÄN</t>
        </is>
      </c>
      <c r="G442" t="inlineStr">
        <is>
          <t>EKSJÖ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46282</v>
      </c>
      <c r="F443" t="inlineStr">
        <is>
          <t>JÖNKÖPINGS LÄN</t>
        </is>
      </c>
      <c r="G443" t="inlineStr">
        <is>
          <t>EKSJÖ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46282</v>
      </c>
      <c r="F444" t="inlineStr">
        <is>
          <t>JÖNKÖPINGS LÄN</t>
        </is>
      </c>
      <c r="G444" t="inlineStr">
        <is>
          <t>EKSJÖ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46282</v>
      </c>
      <c r="F445" t="inlineStr">
        <is>
          <t>JÖNKÖPINGS LÄN</t>
        </is>
      </c>
      <c r="G445" t="inlineStr">
        <is>
          <t>EKSJÖ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46282</v>
      </c>
      <c r="F446" t="inlineStr">
        <is>
          <t>JÖNKÖPINGS LÄN</t>
        </is>
      </c>
      <c r="G446" t="inlineStr">
        <is>
          <t>EKSJÖ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46282</v>
      </c>
      <c r="F447" t="inlineStr">
        <is>
          <t>JÖNKÖPINGS LÄN</t>
        </is>
      </c>
      <c r="G447" t="inlineStr">
        <is>
          <t>EKSJÖ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46282</v>
      </c>
      <c r="F448" t="inlineStr">
        <is>
          <t>JÖNKÖPINGS LÄN</t>
        </is>
      </c>
      <c r="G448" t="inlineStr">
        <is>
          <t>EKSJÖ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46282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9058-2022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44615</v>
      </c>
      <c r="E450" s="1" t="n">
        <v>46282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46282</v>
      </c>
      <c r="F451" t="inlineStr">
        <is>
          <t>JÖNKÖPINGS LÄN</t>
        </is>
      </c>
      <c r="G451" t="inlineStr">
        <is>
          <t>EKSJÖ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59955-2022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46282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53053-2021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46282</v>
      </c>
      <c r="F453" t="inlineStr">
        <is>
          <t>JÖNKÖPINGS LÄN</t>
        </is>
      </c>
      <c r="G453" t="inlineStr">
        <is>
          <t>EKSJÖ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45161</v>
      </c>
      <c r="E454" s="1" t="n">
        <v>46282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46282</v>
      </c>
      <c r="F455" t="inlineStr">
        <is>
          <t>JÖNKÖPINGS LÄN</t>
        </is>
      </c>
      <c r="G455" t="inlineStr">
        <is>
          <t>EKSJÖ</t>
        </is>
      </c>
      <c r="H455" t="inlineStr">
        <is>
          <t>Kyrkan</t>
        </is>
      </c>
      <c r="I455" t="n">
        <v>15.2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46282</v>
      </c>
      <c r="F456" t="inlineStr">
        <is>
          <t>JÖNKÖPINGS LÄN</t>
        </is>
      </c>
      <c r="G456" t="inlineStr">
        <is>
          <t>EKSJÖ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46282</v>
      </c>
      <c r="F457" t="inlineStr">
        <is>
          <t>JÖNKÖPINGS LÄN</t>
        </is>
      </c>
      <c r="G457" t="inlineStr">
        <is>
          <t>EKSJÖ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46282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56689-2021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44481</v>
      </c>
      <c r="E459" s="1" t="n">
        <v>46282</v>
      </c>
      <c r="F459" t="inlineStr">
        <is>
          <t>JÖNKÖPINGS LÄN</t>
        </is>
      </c>
      <c r="G459" t="inlineStr">
        <is>
          <t>EKSJÖ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46282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46282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46282</v>
      </c>
      <c r="F462" t="inlineStr">
        <is>
          <t>JÖNKÖPINGS LÄN</t>
        </is>
      </c>
      <c r="G462" t="inlineStr">
        <is>
          <t>EKSJÖ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46282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46282</v>
      </c>
      <c r="F464" t="inlineStr">
        <is>
          <t>JÖNKÖPINGS LÄN</t>
        </is>
      </c>
      <c r="G464" t="inlineStr">
        <is>
          <t>EKSJÖ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10169-2025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45719</v>
      </c>
      <c r="E465" s="1" t="n">
        <v>46282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46282</v>
      </c>
      <c r="F466" t="inlineStr">
        <is>
          <t>JÖNKÖPINGS LÄN</t>
        </is>
      </c>
      <c r="G466" t="inlineStr">
        <is>
          <t>EKSJÖ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44701</v>
      </c>
      <c r="E467" s="1" t="n">
        <v>46282</v>
      </c>
      <c r="F467" t="inlineStr">
        <is>
          <t>JÖNKÖPINGS LÄN</t>
        </is>
      </c>
      <c r="G467" t="inlineStr">
        <is>
          <t>EKSJÖ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45161</v>
      </c>
      <c r="E468" s="1" t="n">
        <v>46282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45082</v>
      </c>
      <c r="E469" s="1" t="n">
        <v>46282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45649</v>
      </c>
      <c r="E470" s="1" t="n">
        <v>46282</v>
      </c>
      <c r="F470" t="inlineStr">
        <is>
          <t>JÖNKÖPINGS LÄN</t>
        </is>
      </c>
      <c r="G470" t="inlineStr">
        <is>
          <t>EKSJÖ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45096</v>
      </c>
      <c r="E471" s="1" t="n">
        <v>46282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46282</v>
      </c>
      <c r="F472" t="inlineStr">
        <is>
          <t>JÖNKÖPINGS LÄN</t>
        </is>
      </c>
      <c r="G472" t="inlineStr">
        <is>
          <t>EKSJÖ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54916-2023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45236</v>
      </c>
      <c r="E473" s="1" t="n">
        <v>46282</v>
      </c>
      <c r="F473" t="inlineStr">
        <is>
          <t>JÖNKÖPINGS LÄN</t>
        </is>
      </c>
      <c r="G473" t="inlineStr">
        <is>
          <t>EKSJÖ</t>
        </is>
      </c>
      <c r="H473" t="inlineStr">
        <is>
          <t>Övriga Aktiebolag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45537</v>
      </c>
      <c r="E474" s="1" t="n">
        <v>46282</v>
      </c>
      <c r="F474" t="inlineStr">
        <is>
          <t>JÖNKÖPINGS LÄN</t>
        </is>
      </c>
      <c r="G474" t="inlineStr">
        <is>
          <t>EKSJÖ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46282</v>
      </c>
      <c r="F475" t="inlineStr">
        <is>
          <t>JÖNKÖPINGS LÄN</t>
        </is>
      </c>
      <c r="G475" t="inlineStr">
        <is>
          <t>EKSJÖ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63959-2023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45278</v>
      </c>
      <c r="E476" s="1" t="n">
        <v>46282</v>
      </c>
      <c r="F476" t="inlineStr">
        <is>
          <t>JÖNKÖPINGS LÄN</t>
        </is>
      </c>
      <c r="G476" t="inlineStr">
        <is>
          <t>EKSJÖ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46282</v>
      </c>
      <c r="F477" t="inlineStr">
        <is>
          <t>JÖNKÖPINGS LÄN</t>
        </is>
      </c>
      <c r="G477" t="inlineStr">
        <is>
          <t>EKSJÖ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28402-2026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46197</v>
      </c>
      <c r="E478" s="1" t="n">
        <v>46282</v>
      </c>
      <c r="F478" t="inlineStr">
        <is>
          <t>JÖNKÖPINGS LÄN</t>
        </is>
      </c>
      <c r="G478" t="inlineStr">
        <is>
          <t>EKSJÖ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28486-2026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46282</v>
      </c>
      <c r="F479" t="inlineStr">
        <is>
          <t>JÖNKÖPINGS LÄN</t>
        </is>
      </c>
      <c r="G479" t="inlineStr">
        <is>
          <t>EKSJÖ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46282</v>
      </c>
      <c r="F480" t="inlineStr">
        <is>
          <t>JÖNKÖPINGS LÄN</t>
        </is>
      </c>
      <c r="G480" t="inlineStr">
        <is>
          <t>EKSJÖ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46282</v>
      </c>
      <c r="F481" t="inlineStr">
        <is>
          <t>JÖNKÖPINGS LÄN</t>
        </is>
      </c>
      <c r="G481" t="inlineStr">
        <is>
          <t>EKSJÖ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46199</v>
      </c>
      <c r="E482" s="1" t="n">
        <v>46282</v>
      </c>
      <c r="F482" t="inlineStr">
        <is>
          <t>JÖNKÖPINGS LÄN</t>
        </is>
      </c>
      <c r="G482" t="inlineStr">
        <is>
          <t>EKSJÖ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44966</v>
      </c>
      <c r="E483" s="1" t="n">
        <v>46282</v>
      </c>
      <c r="F483" t="inlineStr">
        <is>
          <t>JÖNKÖPINGS LÄN</t>
        </is>
      </c>
      <c r="G483" t="inlineStr">
        <is>
          <t>EKSJÖ</t>
        </is>
      </c>
      <c r="H483" t="inlineStr">
        <is>
          <t>Kyrkan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37918-2023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45160</v>
      </c>
      <c r="E484" s="1" t="n">
        <v>46282</v>
      </c>
      <c r="F484" t="inlineStr">
        <is>
          <t>JÖNKÖPINGS LÄN</t>
        </is>
      </c>
      <c r="G484" t="inlineStr">
        <is>
          <t>EKSJÖ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46282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46282</v>
      </c>
      <c r="F486" t="inlineStr">
        <is>
          <t>JÖNKÖPINGS LÄN</t>
        </is>
      </c>
      <c r="G486" t="inlineStr">
        <is>
          <t>EKSJÖ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46282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71313-2021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44539</v>
      </c>
      <c r="E488" s="1" t="n">
        <v>46282</v>
      </c>
      <c r="F488" t="inlineStr">
        <is>
          <t>JÖNKÖPINGS LÄN</t>
        </is>
      </c>
      <c r="G488" t="inlineStr">
        <is>
          <t>EKSJÖ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46282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45493-2022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44845</v>
      </c>
      <c r="E490" s="1" t="n">
        <v>46282</v>
      </c>
      <c r="F490" t="inlineStr">
        <is>
          <t>JÖNKÖPINGS LÄN</t>
        </is>
      </c>
      <c r="G490" t="inlineStr">
        <is>
          <t>EKSJÖ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46282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46282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33644-2022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44789</v>
      </c>
      <c r="E493" s="1" t="n">
        <v>46282</v>
      </c>
      <c r="F493" t="inlineStr">
        <is>
          <t>JÖNKÖPINGS LÄN</t>
        </is>
      </c>
      <c r="G493" t="inlineStr">
        <is>
          <t>EKSJÖ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46209</v>
      </c>
      <c r="E494" s="1" t="n">
        <v>46282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46282</v>
      </c>
      <c r="F495" t="inlineStr">
        <is>
          <t>JÖNKÖPINGS LÄN</t>
        </is>
      </c>
      <c r="G495" t="inlineStr">
        <is>
          <t>EKSJÖ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46252</v>
      </c>
      <c r="E496" s="1" t="n">
        <v>46282</v>
      </c>
      <c r="F496" t="inlineStr">
        <is>
          <t>JÖNKÖPINGS LÄN</t>
        </is>
      </c>
      <c r="G496" t="inlineStr">
        <is>
          <t>EKSJÖ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11022-2024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46282</v>
      </c>
      <c r="F497" t="inlineStr">
        <is>
          <t>JÖNKÖPINGS LÄN</t>
        </is>
      </c>
      <c r="G497" t="inlineStr">
        <is>
          <t>EKSJÖ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46282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45334</v>
      </c>
      <c r="E499" s="1" t="n">
        <v>46282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46282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44865</v>
      </c>
      <c r="E501" s="1" t="n">
        <v>46282</v>
      </c>
      <c r="F501" t="inlineStr">
        <is>
          <t>JÖNKÖPINGS LÄN</t>
        </is>
      </c>
      <c r="G501" t="inlineStr">
        <is>
          <t>EKSJÖ</t>
        </is>
      </c>
      <c r="H501" t="inlineStr">
        <is>
          <t>Övriga Aktiebolag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46282</v>
      </c>
      <c r="F502" t="inlineStr">
        <is>
          <t>JÖNKÖPINGS LÄN</t>
        </is>
      </c>
      <c r="G502" t="inlineStr">
        <is>
          <t>EKSJÖ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46282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46282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46282</v>
      </c>
      <c r="F505" t="inlineStr">
        <is>
          <t>JÖNKÖPINGS LÄN</t>
        </is>
      </c>
      <c r="G505" t="inlineStr">
        <is>
          <t>EKSJÖ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46282</v>
      </c>
      <c r="F506" t="inlineStr">
        <is>
          <t>JÖNKÖPINGS LÄN</t>
        </is>
      </c>
      <c r="G506" t="inlineStr">
        <is>
          <t>EKSJÖ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29878-2023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46282</v>
      </c>
      <c r="F507" t="inlineStr">
        <is>
          <t>JÖNKÖPINGS LÄN</t>
        </is>
      </c>
      <c r="G507" t="inlineStr">
        <is>
          <t>EKSJÖ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46282</v>
      </c>
      <c r="F508" t="inlineStr">
        <is>
          <t>JÖNKÖPINGS LÄN</t>
        </is>
      </c>
      <c r="G508" t="inlineStr">
        <is>
          <t>EKSJÖ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46282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46282</v>
      </c>
      <c r="F510" t="inlineStr">
        <is>
          <t>JÖNKÖPINGS LÄN</t>
        </is>
      </c>
      <c r="G510" t="inlineStr">
        <is>
          <t>EKSJÖ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46282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46282</v>
      </c>
      <c r="F512" t="inlineStr">
        <is>
          <t>JÖNKÖPINGS LÄN</t>
        </is>
      </c>
      <c r="G512" t="inlineStr">
        <is>
          <t>EKSJÖ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46282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46282</v>
      </c>
      <c r="F514" t="inlineStr">
        <is>
          <t>JÖNKÖPINGS LÄN</t>
        </is>
      </c>
      <c r="G514" t="inlineStr">
        <is>
          <t>EKSJÖ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46282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41397-2024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46282</v>
      </c>
      <c r="F516" t="inlineStr">
        <is>
          <t>JÖNKÖPINGS LÄN</t>
        </is>
      </c>
      <c r="G516" t="inlineStr">
        <is>
          <t>EKSJÖ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45367-2024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45576</v>
      </c>
      <c r="E517" s="1" t="n">
        <v>46282</v>
      </c>
      <c r="F517" t="inlineStr">
        <is>
          <t>JÖNKÖPINGS LÄN</t>
        </is>
      </c>
      <c r="G517" t="inlineStr">
        <is>
          <t>EKSJÖ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59050-2021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44490</v>
      </c>
      <c r="E518" s="1" t="n">
        <v>46282</v>
      </c>
      <c r="F518" t="inlineStr">
        <is>
          <t>JÖNKÖPINGS LÄN</t>
        </is>
      </c>
      <c r="G518" t="inlineStr">
        <is>
          <t>EKSJÖ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46282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45076</v>
      </c>
      <c r="E520" s="1" t="n">
        <v>46282</v>
      </c>
      <c r="F520" t="inlineStr">
        <is>
          <t>JÖNKÖPINGS LÄN</t>
        </is>
      </c>
      <c r="G520" t="inlineStr">
        <is>
          <t>EKSJÖ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46282</v>
      </c>
      <c r="F521" t="inlineStr">
        <is>
          <t>JÖNKÖPINGS LÄN</t>
        </is>
      </c>
      <c r="G521" t="inlineStr">
        <is>
          <t>EKSJÖ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45096</v>
      </c>
      <c r="E522" s="1" t="n">
        <v>46282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46282</v>
      </c>
      <c r="F523" t="inlineStr">
        <is>
          <t>JÖNKÖPINGS LÄN</t>
        </is>
      </c>
      <c r="G523" t="inlineStr">
        <is>
          <t>EKSJÖ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10345-2022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44623</v>
      </c>
      <c r="E524" s="1" t="n">
        <v>46282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45156</v>
      </c>
      <c r="E525" s="1" t="n">
        <v>46282</v>
      </c>
      <c r="F525" t="inlineStr">
        <is>
          <t>JÖNKÖPINGS LÄN</t>
        </is>
      </c>
      <c r="G525" t="inlineStr">
        <is>
          <t>EKSJÖ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45071</v>
      </c>
      <c r="E526" s="1" t="n">
        <v>46282</v>
      </c>
      <c r="F526" t="inlineStr">
        <is>
          <t>JÖNKÖPINGS LÄN</t>
        </is>
      </c>
      <c r="G526" t="inlineStr">
        <is>
          <t>EKSJÖ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46282</v>
      </c>
      <c r="F527" t="inlineStr">
        <is>
          <t>JÖNKÖPINGS LÄN</t>
        </is>
      </c>
      <c r="G527" t="inlineStr">
        <is>
          <t>EKSJÖ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35157-2026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46260</v>
      </c>
      <c r="E528" s="1" t="n">
        <v>46282</v>
      </c>
      <c r="F528" t="inlineStr">
        <is>
          <t>JÖNKÖPINGS LÄN</t>
        </is>
      </c>
      <c r="G528" t="inlineStr">
        <is>
          <t>EKSJÖ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59905-2022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44908</v>
      </c>
      <c r="E529" s="1" t="n">
        <v>46282</v>
      </c>
      <c r="F529" t="inlineStr">
        <is>
          <t>JÖNKÖPINGS LÄN</t>
        </is>
      </c>
      <c r="G529" t="inlineStr">
        <is>
          <t>EKSJÖ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45391</v>
      </c>
      <c r="E530" s="1" t="n">
        <v>46282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44581</v>
      </c>
      <c r="E531" s="1" t="n">
        <v>46282</v>
      </c>
      <c r="F531" t="inlineStr">
        <is>
          <t>JÖNKÖPINGS LÄN</t>
        </is>
      </c>
      <c r="G531" t="inlineStr">
        <is>
          <t>EKSJÖ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30527-2023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45111</v>
      </c>
      <c r="E532" s="1" t="n">
        <v>46282</v>
      </c>
      <c r="F532" t="inlineStr">
        <is>
          <t>JÖNKÖPINGS LÄN</t>
        </is>
      </c>
      <c r="G532" t="inlineStr">
        <is>
          <t>EKSJÖ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44600</v>
      </c>
      <c r="E533" s="1" t="n">
        <v>46282</v>
      </c>
      <c r="F533" t="inlineStr">
        <is>
          <t>JÖNKÖPINGS LÄN</t>
        </is>
      </c>
      <c r="G533" t="inlineStr">
        <is>
          <t>EKSJÖ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46282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46282</v>
      </c>
      <c r="F535" t="inlineStr">
        <is>
          <t>JÖNKÖPINGS LÄN</t>
        </is>
      </c>
      <c r="G535" t="inlineStr">
        <is>
          <t>EKSJÖ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46282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45411</v>
      </c>
      <c r="E537" s="1" t="n">
        <v>46282</v>
      </c>
      <c r="F537" t="inlineStr">
        <is>
          <t>JÖNKÖPINGS LÄN</t>
        </is>
      </c>
      <c r="G537" t="inlineStr">
        <is>
          <t>EKSJÖ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45214</v>
      </c>
      <c r="E538" s="1" t="n">
        <v>46282</v>
      </c>
      <c r="F538" t="inlineStr">
        <is>
          <t>JÖNKÖPINGS LÄN</t>
        </is>
      </c>
      <c r="G538" t="inlineStr">
        <is>
          <t>EKSJÖ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46282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28024-2022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44746</v>
      </c>
      <c r="E540" s="1" t="n">
        <v>46282</v>
      </c>
      <c r="F540" t="inlineStr">
        <is>
          <t>JÖNKÖPINGS LÄN</t>
        </is>
      </c>
      <c r="G540" t="inlineStr">
        <is>
          <t>EKSJÖ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46282</v>
      </c>
      <c r="F541" t="inlineStr">
        <is>
          <t>JÖNKÖPINGS LÄN</t>
        </is>
      </c>
      <c r="G541" t="inlineStr">
        <is>
          <t>EKSJÖ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58095-2024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46282</v>
      </c>
      <c r="F542" t="inlineStr">
        <is>
          <t>JÖNKÖPINGS LÄN</t>
        </is>
      </c>
      <c r="G542" t="inlineStr">
        <is>
          <t>EKSJÖ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46282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51020-2023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45218</v>
      </c>
      <c r="E544" s="1" t="n">
        <v>46282</v>
      </c>
      <c r="F544" t="inlineStr">
        <is>
          <t>JÖNKÖPINGS LÄN</t>
        </is>
      </c>
      <c r="G544" t="inlineStr">
        <is>
          <t>EKSJÖ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45334</v>
      </c>
      <c r="E545" s="1" t="n">
        <v>46282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46577-2022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44848</v>
      </c>
      <c r="E546" s="1" t="n">
        <v>46282</v>
      </c>
      <c r="F546" t="inlineStr">
        <is>
          <t>JÖNKÖPINGS LÄN</t>
        </is>
      </c>
      <c r="G546" t="inlineStr">
        <is>
          <t>EKSJÖ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36503-2024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45537</v>
      </c>
      <c r="E547" s="1" t="n">
        <v>46282</v>
      </c>
      <c r="F547" t="inlineStr">
        <is>
          <t>JÖNKÖPINGS LÄN</t>
        </is>
      </c>
      <c r="G547" t="inlineStr">
        <is>
          <t>EKSJÖ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45714</v>
      </c>
      <c r="E548" s="1" t="n">
        <v>46282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45714</v>
      </c>
      <c r="E549" s="1" t="n">
        <v>46282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45715</v>
      </c>
      <c r="E550" s="1" t="n">
        <v>46282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46282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9404-2025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46282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47204-2022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44851</v>
      </c>
      <c r="E553" s="1" t="n">
        <v>46282</v>
      </c>
      <c r="F553" t="inlineStr">
        <is>
          <t>JÖNKÖPINGS LÄN</t>
        </is>
      </c>
      <c r="G553" t="inlineStr">
        <is>
          <t>EKSJÖ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45707</v>
      </c>
      <c r="E554" s="1" t="n">
        <v>46282</v>
      </c>
      <c r="F554" t="inlineStr">
        <is>
          <t>JÖNKÖPINGS LÄN</t>
        </is>
      </c>
      <c r="G554" t="inlineStr">
        <is>
          <t>EKSJÖ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46282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45635</v>
      </c>
      <c r="E556" s="1" t="n">
        <v>46282</v>
      </c>
      <c r="F556" t="inlineStr">
        <is>
          <t>JÖNKÖPINGS LÄN</t>
        </is>
      </c>
      <c r="G556" t="inlineStr">
        <is>
          <t>EKSJÖ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37074-2026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46273</v>
      </c>
      <c r="E557" s="1" t="n">
        <v>46282</v>
      </c>
      <c r="F557" t="inlineStr">
        <is>
          <t>JÖNKÖPINGS LÄN</t>
        </is>
      </c>
      <c r="G557" t="inlineStr">
        <is>
          <t>EKSJÖ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45334</v>
      </c>
      <c r="E558" s="1" t="n">
        <v>46282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45334</v>
      </c>
      <c r="E559" s="1" t="n">
        <v>46282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44939</v>
      </c>
      <c r="E560" s="1" t="n">
        <v>46282</v>
      </c>
      <c r="F560" t="inlineStr">
        <is>
          <t>JÖNKÖPINGS LÄN</t>
        </is>
      </c>
      <c r="G560" t="inlineStr">
        <is>
          <t>EKSJÖ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41816-2024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45561</v>
      </c>
      <c r="E561" s="1" t="n">
        <v>46282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46282</v>
      </c>
      <c r="F562" t="inlineStr">
        <is>
          <t>JÖNKÖPINGS LÄN</t>
        </is>
      </c>
      <c r="G562" t="inlineStr">
        <is>
          <t>EKSJÖ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46282</v>
      </c>
      <c r="F563" t="inlineStr">
        <is>
          <t>JÖNKÖPINGS LÄN</t>
        </is>
      </c>
      <c r="G563" t="inlineStr">
        <is>
          <t>EKSJÖ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46274</v>
      </c>
      <c r="E564" s="1" t="n">
        <v>46282</v>
      </c>
      <c r="F564" t="inlineStr">
        <is>
          <t>JÖNKÖPINGS LÄN</t>
        </is>
      </c>
      <c r="G564" t="inlineStr">
        <is>
          <t>EKSJÖ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23183-2022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44719</v>
      </c>
      <c r="E565" s="1" t="n">
        <v>46282</v>
      </c>
      <c r="F565" t="inlineStr">
        <is>
          <t>JÖNKÖPINGS LÄN</t>
        </is>
      </c>
      <c r="G565" t="inlineStr">
        <is>
          <t>EKSJÖ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46282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45671</v>
      </c>
      <c r="E567" s="1" t="n">
        <v>46282</v>
      </c>
      <c r="F567" t="inlineStr">
        <is>
          <t>JÖNKÖPINGS LÄN</t>
        </is>
      </c>
      <c r="G567" t="inlineStr">
        <is>
          <t>EKSJÖ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44609</v>
      </c>
      <c r="E568" s="1" t="n">
        <v>46282</v>
      </c>
      <c r="F568" t="inlineStr">
        <is>
          <t>JÖNKÖPINGS LÄN</t>
        </is>
      </c>
      <c r="G568" t="inlineStr">
        <is>
          <t>EKSJÖ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12399-2023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44999</v>
      </c>
      <c r="E569" s="1" t="n">
        <v>46282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46282</v>
      </c>
      <c r="F570" t="inlineStr">
        <is>
          <t>JÖNKÖPINGS LÄN</t>
        </is>
      </c>
      <c r="G570" t="inlineStr">
        <is>
          <t>EKSJÖ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50275-2023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45209</v>
      </c>
      <c r="E571" s="1" t="n">
        <v>46282</v>
      </c>
      <c r="F571" t="inlineStr">
        <is>
          <t>JÖNKÖPINGS LÄN</t>
        </is>
      </c>
      <c r="G571" t="inlineStr">
        <is>
          <t>EKSJÖ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20960-2025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45777</v>
      </c>
      <c r="E572" s="1" t="n">
        <v>46282</v>
      </c>
      <c r="F572" t="inlineStr">
        <is>
          <t>JÖNKÖPINGS LÄN</t>
        </is>
      </c>
      <c r="G572" t="inlineStr">
        <is>
          <t>EKSJÖ</t>
        </is>
      </c>
      <c r="H572" t="inlineStr">
        <is>
          <t>Kommuner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45777</v>
      </c>
      <c r="E573" s="1" t="n">
        <v>46282</v>
      </c>
      <c r="F573" t="inlineStr">
        <is>
          <t>JÖNKÖPINGS LÄN</t>
        </is>
      </c>
      <c r="G573" t="inlineStr">
        <is>
          <t>EKSJÖ</t>
        </is>
      </c>
      <c r="H573" t="inlineStr">
        <is>
          <t>Kommuner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38207-2026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46281</v>
      </c>
      <c r="E574" s="1" t="n">
        <v>46282</v>
      </c>
      <c r="F574" t="inlineStr">
        <is>
          <t>JÖNKÖPINGS LÄN</t>
        </is>
      </c>
      <c r="G574" t="inlineStr">
        <is>
          <t>EKSJÖ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45779</v>
      </c>
      <c r="E575" s="1" t="n">
        <v>46282</v>
      </c>
      <c r="F575" t="inlineStr">
        <is>
          <t>JÖNKÖPINGS LÄN</t>
        </is>
      </c>
      <c r="G575" t="inlineStr">
        <is>
          <t>EKSJÖ</t>
        </is>
      </c>
      <c r="H575" t="inlineStr">
        <is>
          <t>Kommuner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46282</v>
      </c>
      <c r="F576" t="inlineStr">
        <is>
          <t>JÖNKÖPINGS LÄN</t>
        </is>
      </c>
      <c r="G576" t="inlineStr">
        <is>
          <t>EKSJÖ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45706</v>
      </c>
      <c r="E577" s="1" t="n">
        <v>46282</v>
      </c>
      <c r="F577" t="inlineStr">
        <is>
          <t>JÖNKÖPINGS LÄN</t>
        </is>
      </c>
      <c r="G577" t="inlineStr">
        <is>
          <t>EKSJÖ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45786</v>
      </c>
      <c r="E578" s="1" t="n">
        <v>46282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45705</v>
      </c>
      <c r="E579" s="1" t="n">
        <v>46282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42469-2023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45175</v>
      </c>
      <c r="E580" s="1" t="n">
        <v>46282</v>
      </c>
      <c r="F580" t="inlineStr">
        <is>
          <t>JÖNKÖPINGS LÄN</t>
        </is>
      </c>
      <c r="G580" t="inlineStr">
        <is>
          <t>EKSJÖ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35253-2024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46282</v>
      </c>
      <c r="F581" t="inlineStr">
        <is>
          <t>JÖNKÖPINGS LÄN</t>
        </is>
      </c>
      <c r="G581" t="inlineStr">
        <is>
          <t>EKSJÖ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22987-2025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45790</v>
      </c>
      <c r="E582" s="1" t="n">
        <v>46282</v>
      </c>
      <c r="F582" t="inlineStr">
        <is>
          <t>JÖNKÖPINGS LÄN</t>
        </is>
      </c>
      <c r="G582" t="inlineStr">
        <is>
          <t>EKSJÖ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45743-2024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46282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45791</v>
      </c>
      <c r="E584" s="1" t="n">
        <v>46282</v>
      </c>
      <c r="F584" t="inlineStr">
        <is>
          <t>JÖNKÖPINGS LÄN</t>
        </is>
      </c>
      <c r="G584" t="inlineStr">
        <is>
          <t>EKSJÖ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46282</v>
      </c>
      <c r="F585" t="inlineStr">
        <is>
          <t>JÖNKÖPINGS LÄN</t>
        </is>
      </c>
      <c r="G585" t="inlineStr">
        <is>
          <t>EKSJÖ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46282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46282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46282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46282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46282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46282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46282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46282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46282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46282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46282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46282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46282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46282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46282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46282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46282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46282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46282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46282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46282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46282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46282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46282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46282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46282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46282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46282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46282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46282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2026-09-17T01:59:18Z</dcterms:created>
  <dcterms:modified xmlns:dcterms="http://purl.org/dc/terms/" xmlns:xsi="http://www.w3.org/2001/XMLSchema-instance" xsi:type="dcterms:W3CDTF">2026-09-17T01:59:18Z</dcterms:modified>
</cp:coreProperties>
</file>