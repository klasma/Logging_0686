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46289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46289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55636-2022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44888</v>
      </c>
      <c r="E11" s="1" t="n">
        <v>46289</v>
      </c>
      <c r="F11" t="inlineStr">
        <is>
          <t>JÖNKÖPINGS LÄN</t>
        </is>
      </c>
      <c r="G11" t="inlineStr">
        <is>
          <t>EKSJÖ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Dvärghäxört
Springkorn</t>
        </is>
      </c>
      <c r="W11">
        <f>HYPERLINK("https://klasma.github.io/Logging_0686/artfynd/A 55636-2022 artfynd.xlsx", "A 55636-2022")</f>
        <v/>
      </c>
      <c r="X11">
        <f>HYPERLINK("https://klasma.github.io/Logging_0686/kartor/A 55636-2022 karta.png", "A 55636-2022")</f>
        <v/>
      </c>
      <c r="Y11">
        <f>HYPERLINK("https://klasma.github.io/Logging_0686/kartor_geotiff/A 55636-2022 georefererad karta.tif", "A 55636-2022")</f>
        <v/>
      </c>
      <c r="AA11">
        <f>HYPERLINK("https://klasma.github.io/Logging_0686/klagomål/A 55636-2022 FSC-klagomål.docx", "A 55636-2022")</f>
        <v/>
      </c>
      <c r="AB11">
        <f>HYPERLINK("https://klasma.github.io/Logging_0686/klagomålsmail/A 55636-2022 FSC-klagomål mail.docx", "A 55636-2022")</f>
        <v/>
      </c>
      <c r="AC11">
        <f>HYPERLINK("https://klasma.github.io/Logging_0686/tillsyn/A 55636-2022 tillsynsbegäran.docx", "A 55636-2022")</f>
        <v/>
      </c>
      <c r="AD11">
        <f>HYPERLINK("https://klasma.github.io/Logging_0686/tillsynsmail/A 55636-2022 tillsynsbegäran mail.docx", "A 55636-2022")</f>
        <v/>
      </c>
    </row>
    <row r="12" ht="15" customHeight="1">
      <c r="A12" t="inlineStr">
        <is>
          <t>A 16876-2024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45411</v>
      </c>
      <c r="E12" s="1" t="n">
        <v>46289</v>
      </c>
      <c r="F12" t="inlineStr">
        <is>
          <t>JÖNKÖPINGS LÄN</t>
        </is>
      </c>
      <c r="G12" t="inlineStr">
        <is>
          <t>EKSJÖ</t>
        </is>
      </c>
      <c r="I12" t="n">
        <v>1.8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Gulsparv
Björksplintborre</t>
        </is>
      </c>
      <c r="W12">
        <f>HYPERLINK("https://klasma.github.io/Logging_0686/artfynd/A 16876-2024 artfynd.xlsx", "A 16876-2024")</f>
        <v/>
      </c>
      <c r="X12">
        <f>HYPERLINK("https://klasma.github.io/Logging_0686/kartor/A 16876-2024 karta.png", "A 16876-2024")</f>
        <v/>
      </c>
      <c r="Y12">
        <f>HYPERLINK("https://klasma.github.io/Logging_0686/kartor_geotiff/A 16876-2024 georefererad karta.tif", "A 16876-2024")</f>
        <v/>
      </c>
      <c r="AA12">
        <f>HYPERLINK("https://klasma.github.io/Logging_0686/klagomål/A 16876-2024 FSC-klagomål.docx", "A 16876-2024")</f>
        <v/>
      </c>
      <c r="AB12">
        <f>HYPERLINK("https://klasma.github.io/Logging_0686/klagomålsmail/A 16876-2024 FSC-klagomål mail.docx", "A 16876-2024")</f>
        <v/>
      </c>
      <c r="AC12">
        <f>HYPERLINK("https://klasma.github.io/Logging_0686/tillsyn/A 16876-2024 tillsynsbegäran.docx", "A 16876-2024")</f>
        <v/>
      </c>
      <c r="AD12">
        <f>HYPERLINK("https://klasma.github.io/Logging_0686/tillsynsmail/A 16876-2024 tillsynsbegäran mail.docx", "A 16876-2024")</f>
        <v/>
      </c>
      <c r="AE12">
        <f>HYPERLINK("https://klasma.github.io/Logging_0686/fåglar/A 16876-2024 prioriterade fågelarter.docx", "A 16876-2024")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46289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46289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46289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46289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46289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46289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46289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46289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5128-2024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46289</v>
      </c>
      <c r="F28" t="inlineStr">
        <is>
          <t>JÖNKÖPINGS LÄN</t>
        </is>
      </c>
      <c r="G28" t="inlineStr">
        <is>
          <t>EKSJÖ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5128-2024 artfynd.xlsx", "A 5128-2024")</f>
        <v/>
      </c>
      <c r="X28">
        <f>HYPERLINK("https://klasma.github.io/Logging_0686/kartor/A 5128-2024 karta.png", "A 5128-2024")</f>
        <v/>
      </c>
      <c r="Y28">
        <f>HYPERLINK("https://klasma.github.io/Logging_0686/kartor_geotiff/A 5128-2024 georefererad karta.tif", "A 5128-2024")</f>
        <v/>
      </c>
      <c r="AA28">
        <f>HYPERLINK("https://klasma.github.io/Logging_0686/klagomål/A 5128-2024 FSC-klagomål.docx", "A 5128-2024")</f>
        <v/>
      </c>
      <c r="AB28">
        <f>HYPERLINK("https://klasma.github.io/Logging_0686/klagomålsmail/A 5128-2024 FSC-klagomål mail.docx", "A 5128-2024")</f>
        <v/>
      </c>
      <c r="AC28">
        <f>HYPERLINK("https://klasma.github.io/Logging_0686/tillsyn/A 5128-2024 tillsynsbegäran.docx", "A 5128-2024")</f>
        <v/>
      </c>
      <c r="AD28">
        <f>HYPERLINK("https://klasma.github.io/Logging_0686/tillsynsmail/A 5128-2024 tillsynsbegäran mail.docx", "A 5128-2024")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46289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46289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18327-2024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45422</v>
      </c>
      <c r="E31" s="1" t="n">
        <v>46289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Dvärgbägarlav</t>
        </is>
      </c>
      <c r="W31">
        <f>HYPERLINK("https://klasma.github.io/Logging_0686/artfynd/A 18327-2024 artfynd.xlsx", "A 18327-2024")</f>
        <v/>
      </c>
      <c r="X31">
        <f>HYPERLINK("https://klasma.github.io/Logging_0686/kartor/A 18327-2024 karta.png", "A 18327-2024")</f>
        <v/>
      </c>
      <c r="Y31">
        <f>HYPERLINK("https://klasma.github.io/Logging_0686/kartor_geotiff/A 18327-2024 georefererad karta.tif", "A 18327-2024")</f>
        <v/>
      </c>
      <c r="AA31">
        <f>HYPERLINK("https://klasma.github.io/Logging_0686/klagomål/A 18327-2024 FSC-klagomål.docx", "A 18327-2024")</f>
        <v/>
      </c>
      <c r="AB31">
        <f>HYPERLINK("https://klasma.github.io/Logging_0686/klagomålsmail/A 18327-2024 FSC-klagomål mail.docx", "A 18327-2024")</f>
        <v/>
      </c>
      <c r="AC31">
        <f>HYPERLINK("https://klasma.github.io/Logging_0686/tillsyn/A 18327-2024 tillsynsbegäran.docx", "A 18327-2024")</f>
        <v/>
      </c>
      <c r="AD31">
        <f>HYPERLINK("https://klasma.github.io/Logging_0686/tillsynsmail/A 18327-2024 tillsynsbegäran mail.docx", "A 18327-2024")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46289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46289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46289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4446-2023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44956</v>
      </c>
      <c r="E35" s="1" t="n">
        <v>46289</v>
      </c>
      <c r="F35" t="inlineStr">
        <is>
          <t>JÖNKÖPINGS LÄN</t>
        </is>
      </c>
      <c r="G35" t="inlineStr">
        <is>
          <t>EKSJÖ</t>
        </is>
      </c>
      <c r="I35" t="n">
        <v>0.3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Loppstarr</t>
        </is>
      </c>
      <c r="W35">
        <f>HYPERLINK("https://klasma.github.io/Logging_0686/artfynd/A 4446-2023 artfynd.xlsx", "A 4446-2023")</f>
        <v/>
      </c>
      <c r="X35">
        <f>HYPERLINK("https://klasma.github.io/Logging_0686/kartor/A 4446-2023 karta.png", "A 4446-2023")</f>
        <v/>
      </c>
      <c r="Y35">
        <f>HYPERLINK("https://klasma.github.io/Logging_0686/kartor_geotiff/A 4446-2023 georefererad karta.tif", "A 4446-2023")</f>
        <v/>
      </c>
      <c r="AA35">
        <f>HYPERLINK("https://klasma.github.io/Logging_0686/klagomål/A 4446-2023 FSC-klagomål.docx", "A 4446-2023")</f>
        <v/>
      </c>
      <c r="AB35">
        <f>HYPERLINK("https://klasma.github.io/Logging_0686/klagomålsmail/A 4446-2023 FSC-klagomål mail.docx", "A 4446-2023")</f>
        <v/>
      </c>
      <c r="AC35">
        <f>HYPERLINK("https://klasma.github.io/Logging_0686/tillsyn/A 4446-2023 tillsynsbegäran.docx", "A 4446-2023")</f>
        <v/>
      </c>
      <c r="AD35">
        <f>HYPERLINK("https://klasma.github.io/Logging_0686/tillsynsmail/A 4446-2023 tillsynsbegäran mail.docx", "A 4446-2023")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46289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41746-2023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46289</v>
      </c>
      <c r="F37" t="inlineStr">
        <is>
          <t>JÖNKÖPINGS LÄN</t>
        </is>
      </c>
      <c r="G37" t="inlineStr">
        <is>
          <t>EKSJÖ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HYPERLINK("https://klasma.github.io/Logging_0686/artfynd/A 41746-2023 artfynd.xlsx", "A 41746-2023")</f>
        <v/>
      </c>
      <c r="X37">
        <f>HYPERLINK("https://klasma.github.io/Logging_0686/kartor/A 41746-2023 karta.png", "A 41746-2023")</f>
        <v/>
      </c>
      <c r="Y37">
        <f>HYPERLINK("https://klasma.github.io/Logging_0686/kartor_geotiff/A 41746-2023 georefererad karta.tif", "A 41746-2023")</f>
        <v/>
      </c>
      <c r="AA37">
        <f>HYPERLINK("https://klasma.github.io/Logging_0686/klagomål/A 41746-2023 FSC-klagomål.docx", "A 41746-2023")</f>
        <v/>
      </c>
      <c r="AB37">
        <f>HYPERLINK("https://klasma.github.io/Logging_0686/klagomålsmail/A 41746-2023 FSC-klagomål mail.docx", "A 41746-2023")</f>
        <v/>
      </c>
      <c r="AC37">
        <f>HYPERLINK("https://klasma.github.io/Logging_0686/tillsyn/A 41746-2023 tillsynsbegäran.docx", "A 41746-2023")</f>
        <v/>
      </c>
      <c r="AD37">
        <f>HYPERLINK("https://klasma.github.io/Logging_0686/tillsynsmail/A 41746-2023 tillsynsbegäran mail.docx", "A 41746-2023")</f>
        <v/>
      </c>
    </row>
    <row r="38" ht="15" customHeight="1">
      <c r="A38" t="inlineStr">
        <is>
          <t>A 38596-2026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46283</v>
      </c>
      <c r="E38" s="1" t="n">
        <v>46289</v>
      </c>
      <c r="F38" t="inlineStr">
        <is>
          <t>JÖNKÖPINGS LÄN</t>
        </is>
      </c>
      <c r="G38" t="inlineStr">
        <is>
          <t>EKSJÖ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HYPERLINK("https://klasma.github.io/Logging_0686/artfynd/A 38596-2026 artfynd.xlsx", "A 38596-2026")</f>
        <v/>
      </c>
      <c r="X38">
        <f>HYPERLINK("https://klasma.github.io/Logging_0686/kartor/A 38596-2026 karta.png", "A 38596-2026")</f>
        <v/>
      </c>
      <c r="Y38">
        <f>HYPERLINK("https://klasma.github.io/Logging_0686/kartor_geotiff/A 38596-2026 georefererad karta.tif", "A 38596-2026")</f>
        <v/>
      </c>
      <c r="AA38">
        <f>HYPERLINK("https://klasma.github.io/Logging_0686/klagomål/A 38596-2026 FSC-klagomål.docx", "A 38596-2026")</f>
        <v/>
      </c>
      <c r="AB38">
        <f>HYPERLINK("https://klasma.github.io/Logging_0686/klagomålsmail/A 38596-2026 FSC-klagomål mail.docx", "A 38596-2026")</f>
        <v/>
      </c>
      <c r="AC38">
        <f>HYPERLINK("https://klasma.github.io/Logging_0686/tillsyn/A 38596-2026 tillsynsbegäran.docx", "A 38596-2026")</f>
        <v/>
      </c>
      <c r="AD38">
        <f>HYPERLINK("https://klasma.github.io/Logging_0686/tillsynsmail/A 38596-2026 tillsynsbegäran mail.docx", "A 38596-2026")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46289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48033-2023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45204</v>
      </c>
      <c r="E40" s="1" t="n">
        <v>46289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5</v>
      </c>
      <c r="U40" t="n">
        <v>0</v>
      </c>
      <c r="V40" s="2" t="inlineStr">
        <is>
          <t>Ask</t>
        </is>
      </c>
      <c r="W40">
        <f>HYPERLINK("https://klasma.github.io/Logging_0686/artfynd/A 48033-2023 artfynd.xlsx", "A 48033-2023")</f>
        <v/>
      </c>
      <c r="X40">
        <f>HYPERLINK("https://klasma.github.io/Logging_0686/kartor/A 48033-2023 karta.png", "A 48033-2023")</f>
        <v/>
      </c>
      <c r="Y40">
        <f>HYPERLINK("https://klasma.github.io/Logging_0686/kartor_geotiff/A 48033-2023 georefererad karta.tif", "A 48033-2023")</f>
        <v/>
      </c>
      <c r="AA40">
        <f>HYPERLINK("https://klasma.github.io/Logging_0686/klagomål/A 48033-2023 FSC-klagomål.docx", "A 48033-2023")</f>
        <v/>
      </c>
      <c r="AB40">
        <f>HYPERLINK("https://klasma.github.io/Logging_0686/klagomålsmail/A 48033-2023 FSC-klagomål mail.docx", "A 48033-2023")</f>
        <v/>
      </c>
      <c r="AC40">
        <f>HYPERLINK("https://klasma.github.io/Logging_0686/tillsyn/A 48033-2023 tillsynsbegäran.docx", "A 48033-2023")</f>
        <v/>
      </c>
      <c r="AD40">
        <f>HYPERLINK("https://klasma.github.io/Logging_0686/tillsynsmail/A 48033-2023 tillsynsbegäran mail.docx", "A 48033-2023")</f>
        <v/>
      </c>
    </row>
    <row r="41" ht="15" customHeight="1">
      <c r="A41" t="inlineStr">
        <is>
          <t>A 15419-2026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46106</v>
      </c>
      <c r="E41" s="1" t="n">
        <v>46289</v>
      </c>
      <c r="F41" t="inlineStr">
        <is>
          <t>JÖNKÖPINGS LÄN</t>
        </is>
      </c>
      <c r="G41" t="inlineStr">
        <is>
          <t>EKSJÖ</t>
        </is>
      </c>
      <c r="H41" t="inlineStr">
        <is>
          <t>Kommuner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HYPERLINK("https://klasma.github.io/Logging_0686/artfynd/A 15419-2026 artfynd.xlsx", "A 15419-2026")</f>
        <v/>
      </c>
      <c r="X41">
        <f>HYPERLINK("https://klasma.github.io/Logging_0686/kartor/A 15419-2026 karta.png", "A 15419-2026")</f>
        <v/>
      </c>
      <c r="Y41">
        <f>HYPERLINK("https://klasma.github.io/Logging_0686/kartor_geotiff/A 15419-2026 georefererad karta.tif", "A 15419-2026")</f>
        <v/>
      </c>
      <c r="AA41">
        <f>HYPERLINK("https://klasma.github.io/Logging_0686/klagomål/A 15419-2026 FSC-klagomål.docx", "A 15419-2026")</f>
        <v/>
      </c>
      <c r="AB41">
        <f>HYPERLINK("https://klasma.github.io/Logging_0686/klagomålsmail/A 15419-2026 FSC-klagomål mail.docx", "A 15419-2026")</f>
        <v/>
      </c>
      <c r="AC41">
        <f>HYPERLINK("https://klasma.github.io/Logging_0686/tillsyn/A 15419-2026 tillsynsbegäran.docx", "A 15419-2026")</f>
        <v/>
      </c>
      <c r="AD41">
        <f>HYPERLINK("https://klasma.github.io/Logging_0686/tillsynsmail/A 15419-2026 tillsynsbegäran mail.docx", "A 15419-2026")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46289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32830-2025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46289</v>
      </c>
      <c r="F43" t="inlineStr">
        <is>
          <t>JÖNKÖPINGS LÄN</t>
        </is>
      </c>
      <c r="G43" t="inlineStr">
        <is>
          <t>EKSJÖ</t>
        </is>
      </c>
      <c r="H43" t="inlineStr">
        <is>
          <t>Övriga Aktiebolag</t>
        </is>
      </c>
      <c r="I43" t="n">
        <v>3.3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HYPERLINK("https://klasma.github.io/Logging_0686/artfynd/A 32830-2025 artfynd.xlsx", "A 32830-2025")</f>
        <v/>
      </c>
      <c r="X43">
        <f>HYPERLINK("https://klasma.github.io/Logging_0686/kartor/A 32830-2025 karta.png", "A 32830-2025")</f>
        <v/>
      </c>
      <c r="Y43">
        <f>HYPERLINK("https://klasma.github.io/Logging_0686/kartor_geotiff/A 32830-2025 georefererad karta.tif", "A 32830-2025")</f>
        <v/>
      </c>
      <c r="AA43">
        <f>HYPERLINK("https://klasma.github.io/Logging_0686/klagomål/A 32830-2025 FSC-klagomål.docx", "A 32830-2025")</f>
        <v/>
      </c>
      <c r="AB43">
        <f>HYPERLINK("https://klasma.github.io/Logging_0686/klagomålsmail/A 32830-2025 FSC-klagomål mail.docx", "A 32830-2025")</f>
        <v/>
      </c>
      <c r="AC43">
        <f>HYPERLINK("https://klasma.github.io/Logging_0686/tillsyn/A 32830-2025 tillsynsbegäran.docx", "A 32830-2025")</f>
        <v/>
      </c>
      <c r="AD43">
        <f>HYPERLINK("https://klasma.github.io/Logging_0686/tillsynsmail/A 32830-2025 tillsynsbegäran mail.docx", "A 32830-2025")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46289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46289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46289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46289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46289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46289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46289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46289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46289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46289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46289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46289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46289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46289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46289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46289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46289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46289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46289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46289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46289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46289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46289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46289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46289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46289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46289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46289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46289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46289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46289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46289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46289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46289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46289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46289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46289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46289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46289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46289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46289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46289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46289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46289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46289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46289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46289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46289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46289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46289</v>
      </c>
      <c r="F95" t="inlineStr">
        <is>
          <t>JÖNKÖPINGS LÄN</t>
        </is>
      </c>
      <c r="G95" t="inlineStr">
        <is>
          <t>EKSJÖ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46289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46289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45786</v>
      </c>
      <c r="E98" s="1" t="n">
        <v>46289</v>
      </c>
      <c r="F98" t="inlineStr">
        <is>
          <t>JÖNKÖPINGS LÄN</t>
        </is>
      </c>
      <c r="G98" t="inlineStr">
        <is>
          <t>EKSJÖ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46289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46289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32623-2022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44783</v>
      </c>
      <c r="E101" s="1" t="n">
        <v>46289</v>
      </c>
      <c r="F101" t="inlineStr">
        <is>
          <t>JÖNKÖPINGS LÄN</t>
        </is>
      </c>
      <c r="G101" t="inlineStr">
        <is>
          <t>EKSJÖ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46289</v>
      </c>
      <c r="F102" t="inlineStr">
        <is>
          <t>JÖNKÖPINGS LÄN</t>
        </is>
      </c>
      <c r="G102" t="inlineStr">
        <is>
          <t>EKSJÖ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46289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46289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45156</v>
      </c>
      <c r="E105" s="1" t="n">
        <v>46289</v>
      </c>
      <c r="F105" t="inlineStr">
        <is>
          <t>JÖNKÖPINGS LÄN</t>
        </is>
      </c>
      <c r="G105" t="inlineStr">
        <is>
          <t>EKSJÖ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46289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44522</v>
      </c>
      <c r="E107" s="1" t="n">
        <v>46289</v>
      </c>
      <c r="F107" t="inlineStr">
        <is>
          <t>JÖNKÖPINGS LÄN</t>
        </is>
      </c>
      <c r="G107" t="inlineStr">
        <is>
          <t>EKSJÖ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46289</v>
      </c>
      <c r="F108" t="inlineStr">
        <is>
          <t>JÖNKÖPINGS LÄN</t>
        </is>
      </c>
      <c r="G108" t="inlineStr">
        <is>
          <t>EKSJÖ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22987-2025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45790</v>
      </c>
      <c r="E109" s="1" t="n">
        <v>46289</v>
      </c>
      <c r="F109" t="inlineStr">
        <is>
          <t>JÖNKÖPINGS LÄN</t>
        </is>
      </c>
      <c r="G109" t="inlineStr">
        <is>
          <t>EKSJÖ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46289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46289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46289</v>
      </c>
      <c r="F112" t="inlineStr">
        <is>
          <t>JÖNKÖPINGS LÄN</t>
        </is>
      </c>
      <c r="G112" t="inlineStr">
        <is>
          <t>EKSJÖ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46289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45715</v>
      </c>
      <c r="E114" s="1" t="n">
        <v>46289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46289</v>
      </c>
      <c r="F115" t="inlineStr">
        <is>
          <t>JÖNKÖPINGS LÄN</t>
        </is>
      </c>
      <c r="G115" t="inlineStr">
        <is>
          <t>EKSJÖ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46289</v>
      </c>
      <c r="F116" t="inlineStr">
        <is>
          <t>JÖNKÖPINGS LÄN</t>
        </is>
      </c>
      <c r="G116" t="inlineStr">
        <is>
          <t>EKSJÖ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46289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46289</v>
      </c>
      <c r="F118" t="inlineStr">
        <is>
          <t>JÖNKÖPINGS LÄN</t>
        </is>
      </c>
      <c r="G118" t="inlineStr">
        <is>
          <t>EKSJÖ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46289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46289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45161</v>
      </c>
      <c r="E121" s="1" t="n">
        <v>46289</v>
      </c>
      <c r="F121" t="inlineStr">
        <is>
          <t>JÖNKÖPINGS LÄN</t>
        </is>
      </c>
      <c r="G121" t="inlineStr">
        <is>
          <t>EKSJÖ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46289</v>
      </c>
      <c r="F122" t="inlineStr">
        <is>
          <t>JÖNKÖPINGS LÄN</t>
        </is>
      </c>
      <c r="G122" t="inlineStr">
        <is>
          <t>EKSJÖ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46289</v>
      </c>
      <c r="F123" t="inlineStr">
        <is>
          <t>JÖNKÖPINGS LÄN</t>
        </is>
      </c>
      <c r="G123" t="inlineStr">
        <is>
          <t>EKSJÖ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46289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45237</v>
      </c>
      <c r="E125" s="1" t="n">
        <v>46289</v>
      </c>
      <c r="F125" t="inlineStr">
        <is>
          <t>JÖNKÖPINGS LÄN</t>
        </is>
      </c>
      <c r="G125" t="inlineStr">
        <is>
          <t>EKSJÖ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46289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46289</v>
      </c>
      <c r="F127" t="inlineStr">
        <is>
          <t>JÖNKÖPINGS LÄN</t>
        </is>
      </c>
      <c r="G127" t="inlineStr">
        <is>
          <t>EKSJÖ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46289</v>
      </c>
      <c r="F128" t="inlineStr">
        <is>
          <t>JÖNKÖPINGS LÄN</t>
        </is>
      </c>
      <c r="G128" t="inlineStr">
        <is>
          <t>EKSJÖ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44813</v>
      </c>
      <c r="E129" s="1" t="n">
        <v>46289</v>
      </c>
      <c r="F129" t="inlineStr">
        <is>
          <t>JÖNKÖPINGS LÄN</t>
        </is>
      </c>
      <c r="G129" t="inlineStr">
        <is>
          <t>EKSJÖ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46289</v>
      </c>
      <c r="F130" t="inlineStr">
        <is>
          <t>JÖNKÖPINGS LÄN</t>
        </is>
      </c>
      <c r="G130" t="inlineStr">
        <is>
          <t>EKSJÖ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46289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46289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43411-2022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44834</v>
      </c>
      <c r="E133" s="1" t="n">
        <v>46289</v>
      </c>
      <c r="F133" t="inlineStr">
        <is>
          <t>JÖNKÖPINGS LÄN</t>
        </is>
      </c>
      <c r="G133" t="inlineStr">
        <is>
          <t>EKSJÖ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46289</v>
      </c>
      <c r="F134" t="inlineStr">
        <is>
          <t>JÖNKÖPINGS LÄN</t>
        </is>
      </c>
      <c r="G134" t="inlineStr">
        <is>
          <t>EKSJÖ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46289</v>
      </c>
      <c r="F135" t="inlineStr">
        <is>
          <t>JÖNKÖPINGS LÄN</t>
        </is>
      </c>
      <c r="G135" t="inlineStr">
        <is>
          <t>EKSJÖ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46289</v>
      </c>
      <c r="F136" t="inlineStr">
        <is>
          <t>JÖNKÖPINGS LÄN</t>
        </is>
      </c>
      <c r="G136" t="inlineStr">
        <is>
          <t>EKSJÖ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46289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46289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54292-2023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45232</v>
      </c>
      <c r="E139" s="1" t="n">
        <v>46289</v>
      </c>
      <c r="F139" t="inlineStr">
        <is>
          <t>JÖNKÖPINGS LÄN</t>
        </is>
      </c>
      <c r="G139" t="inlineStr">
        <is>
          <t>EKSJÖ</t>
        </is>
      </c>
      <c r="I139" t="n">
        <v>18.3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44945</v>
      </c>
      <c r="E140" s="1" t="n">
        <v>46289</v>
      </c>
      <c r="F140" t="inlineStr">
        <is>
          <t>JÖNKÖPINGS LÄN</t>
        </is>
      </c>
      <c r="G140" t="inlineStr">
        <is>
          <t>EKSJÖ</t>
        </is>
      </c>
      <c r="H140" t="inlineStr">
        <is>
          <t>Övriga Aktiebolag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46289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45008</v>
      </c>
      <c r="E142" s="1" t="n">
        <v>46289</v>
      </c>
      <c r="F142" t="inlineStr">
        <is>
          <t>JÖNKÖPINGS LÄN</t>
        </is>
      </c>
      <c r="G142" t="inlineStr">
        <is>
          <t>EKSJÖ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46289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46289</v>
      </c>
      <c r="F144" t="inlineStr">
        <is>
          <t>JÖNKÖPINGS LÄN</t>
        </is>
      </c>
      <c r="G144" t="inlineStr">
        <is>
          <t>EKSJÖ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46289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46289</v>
      </c>
      <c r="F146" t="inlineStr">
        <is>
          <t>JÖNKÖPINGS LÄN</t>
        </is>
      </c>
      <c r="G146" t="inlineStr">
        <is>
          <t>EKSJÖ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45334</v>
      </c>
      <c r="E147" s="1" t="n">
        <v>46289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46289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46289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46289</v>
      </c>
      <c r="F150" t="inlineStr">
        <is>
          <t>JÖNKÖPINGS LÄN</t>
        </is>
      </c>
      <c r="G150" t="inlineStr">
        <is>
          <t>EKSJÖ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46289</v>
      </c>
      <c r="F151" t="inlineStr">
        <is>
          <t>JÖNKÖPINGS LÄN</t>
        </is>
      </c>
      <c r="G151" t="inlineStr">
        <is>
          <t>EKSJÖ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46289</v>
      </c>
      <c r="F152" t="inlineStr">
        <is>
          <t>JÖNKÖPINGS LÄN</t>
        </is>
      </c>
      <c r="G152" t="inlineStr">
        <is>
          <t>EKSJÖ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45791</v>
      </c>
      <c r="E153" s="1" t="n">
        <v>46289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45072</v>
      </c>
      <c r="E154" s="1" t="n">
        <v>46289</v>
      </c>
      <c r="F154" t="inlineStr">
        <is>
          <t>JÖNKÖPINGS LÄN</t>
        </is>
      </c>
      <c r="G154" t="inlineStr">
        <is>
          <t>EKSJÖ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46289</v>
      </c>
      <c r="F155" t="inlineStr">
        <is>
          <t>JÖNKÖPINGS LÄN</t>
        </is>
      </c>
      <c r="G155" t="inlineStr">
        <is>
          <t>EKSJÖ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45579</v>
      </c>
      <c r="E156" s="1" t="n">
        <v>46289</v>
      </c>
      <c r="F156" t="inlineStr">
        <is>
          <t>JÖNKÖPINGS LÄN</t>
        </is>
      </c>
      <c r="G156" t="inlineStr">
        <is>
          <t>EKSJÖ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46289</v>
      </c>
      <c r="F157" t="inlineStr">
        <is>
          <t>JÖNKÖPINGS LÄN</t>
        </is>
      </c>
      <c r="G157" t="inlineStr">
        <is>
          <t>EKSJÖ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46289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46289</v>
      </c>
      <c r="F159" t="inlineStr">
        <is>
          <t>JÖNKÖPINGS LÄN</t>
        </is>
      </c>
      <c r="G159" t="inlineStr">
        <is>
          <t>EKSJÖ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46289</v>
      </c>
      <c r="F160" t="inlineStr">
        <is>
          <t>JÖNKÖPINGS LÄN</t>
        </is>
      </c>
      <c r="G160" t="inlineStr">
        <is>
          <t>EKSJÖ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46289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46289</v>
      </c>
      <c r="F162" t="inlineStr">
        <is>
          <t>JÖNKÖPINGS LÄN</t>
        </is>
      </c>
      <c r="G162" t="inlineStr">
        <is>
          <t>EKSJÖ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46289</v>
      </c>
      <c r="F163" t="inlineStr">
        <is>
          <t>JÖNKÖPINGS LÄN</t>
        </is>
      </c>
      <c r="G163" t="inlineStr">
        <is>
          <t>EKSJÖ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46289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44481</v>
      </c>
      <c r="E165" s="1" t="n">
        <v>46289</v>
      </c>
      <c r="F165" t="inlineStr">
        <is>
          <t>JÖNKÖPINGS LÄN</t>
        </is>
      </c>
      <c r="G165" t="inlineStr">
        <is>
          <t>EKSJÖ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45300</v>
      </c>
      <c r="E166" s="1" t="n">
        <v>46289</v>
      </c>
      <c r="F166" t="inlineStr">
        <is>
          <t>JÖNKÖPINGS LÄN</t>
        </is>
      </c>
      <c r="G166" t="inlineStr">
        <is>
          <t>EKSJÖ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44480</v>
      </c>
      <c r="E167" s="1" t="n">
        <v>46289</v>
      </c>
      <c r="F167" t="inlineStr">
        <is>
          <t>JÖNKÖPINGS LÄN</t>
        </is>
      </c>
      <c r="G167" t="inlineStr">
        <is>
          <t>EKSJÖ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45757</v>
      </c>
      <c r="E168" s="1" t="n">
        <v>46289</v>
      </c>
      <c r="F168" t="inlineStr">
        <is>
          <t>JÖNKÖPINGS LÄN</t>
        </is>
      </c>
      <c r="G168" t="inlineStr">
        <is>
          <t>EKSJÖ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46289</v>
      </c>
      <c r="F169" t="inlineStr">
        <is>
          <t>JÖNKÖPINGS LÄN</t>
        </is>
      </c>
      <c r="G169" t="inlineStr">
        <is>
          <t>EKSJÖ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46289</v>
      </c>
      <c r="F170" t="inlineStr">
        <is>
          <t>JÖNKÖPINGS LÄN</t>
        </is>
      </c>
      <c r="G170" t="inlineStr">
        <is>
          <t>EKSJÖ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46289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46289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46289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45727</v>
      </c>
      <c r="E174" s="1" t="n">
        <v>46289</v>
      </c>
      <c r="F174" t="inlineStr">
        <is>
          <t>JÖNKÖPINGS LÄN</t>
        </is>
      </c>
      <c r="G174" t="inlineStr">
        <is>
          <t>EKSJÖ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56322-2021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46289</v>
      </c>
      <c r="F175" t="inlineStr">
        <is>
          <t>JÖNKÖPINGS LÄN</t>
        </is>
      </c>
      <c r="G175" t="inlineStr">
        <is>
          <t>EKSJÖ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46289</v>
      </c>
      <c r="F176" t="inlineStr">
        <is>
          <t>JÖNKÖPINGS LÄN</t>
        </is>
      </c>
      <c r="G176" t="inlineStr">
        <is>
          <t>EKSJÖ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46289</v>
      </c>
      <c r="F177" t="inlineStr">
        <is>
          <t>JÖNKÖPINGS LÄN</t>
        </is>
      </c>
      <c r="G177" t="inlineStr">
        <is>
          <t>EKSJÖ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46289</v>
      </c>
      <c r="F178" t="inlineStr">
        <is>
          <t>JÖNKÖPINGS LÄN</t>
        </is>
      </c>
      <c r="G178" t="inlineStr">
        <is>
          <t>EKSJÖ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14382-2025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45741</v>
      </c>
      <c r="E179" s="1" t="n">
        <v>46289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46289</v>
      </c>
      <c r="F180" t="inlineStr">
        <is>
          <t>JÖNKÖPINGS LÄN</t>
        </is>
      </c>
      <c r="G180" t="inlineStr">
        <is>
          <t>EKSJÖ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46289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46289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46289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46289</v>
      </c>
      <c r="F184" t="inlineStr">
        <is>
          <t>JÖNKÖPINGS LÄN</t>
        </is>
      </c>
      <c r="G184" t="inlineStr">
        <is>
          <t>EKSJÖ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46289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46289</v>
      </c>
      <c r="F186" t="inlineStr">
        <is>
          <t>JÖNKÖPINGS LÄN</t>
        </is>
      </c>
      <c r="G186" t="inlineStr">
        <is>
          <t>EKSJÖ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45533</v>
      </c>
      <c r="E187" s="1" t="n">
        <v>46289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46289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45092</v>
      </c>
      <c r="E189" s="1" t="n">
        <v>46289</v>
      </c>
      <c r="F189" t="inlineStr">
        <is>
          <t>JÖNKÖPINGS LÄN</t>
        </is>
      </c>
      <c r="G189" t="inlineStr">
        <is>
          <t>EKSJÖ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46289</v>
      </c>
      <c r="F190" t="inlineStr">
        <is>
          <t>JÖNKÖPINGS LÄN</t>
        </is>
      </c>
      <c r="G190" t="inlineStr">
        <is>
          <t>EKSJÖ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46289</v>
      </c>
      <c r="F191" t="inlineStr">
        <is>
          <t>JÖNKÖPINGS LÄN</t>
        </is>
      </c>
      <c r="G191" t="inlineStr">
        <is>
          <t>EKSJÖ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46289</v>
      </c>
      <c r="F192" t="inlineStr">
        <is>
          <t>JÖNKÖPINGS LÄN</t>
        </is>
      </c>
      <c r="G192" t="inlineStr">
        <is>
          <t>EKSJÖ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44966</v>
      </c>
      <c r="E193" s="1" t="n">
        <v>46289</v>
      </c>
      <c r="F193" t="inlineStr">
        <is>
          <t>JÖNKÖPINGS LÄN</t>
        </is>
      </c>
      <c r="G193" t="inlineStr">
        <is>
          <t>EKSJÖ</t>
        </is>
      </c>
      <c r="H193" t="inlineStr">
        <is>
          <t>Kyrkan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44953</v>
      </c>
      <c r="E194" s="1" t="n">
        <v>46289</v>
      </c>
      <c r="F194" t="inlineStr">
        <is>
          <t>JÖNKÖPINGS LÄN</t>
        </is>
      </c>
      <c r="G194" t="inlineStr">
        <is>
          <t>EKSJÖ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46289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45391</v>
      </c>
      <c r="E196" s="1" t="n">
        <v>46289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46289</v>
      </c>
      <c r="F197" t="inlineStr">
        <is>
          <t>JÖNKÖPINGS LÄN</t>
        </is>
      </c>
      <c r="G197" t="inlineStr">
        <is>
          <t>EKSJÖ</t>
        </is>
      </c>
      <c r="H197" t="inlineStr">
        <is>
          <t>Övriga Aktiebolag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46289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46289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46289</v>
      </c>
      <c r="F200" t="inlineStr">
        <is>
          <t>JÖNKÖPINGS LÄN</t>
        </is>
      </c>
      <c r="G200" t="inlineStr">
        <is>
          <t>EKSJÖ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46289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46289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41816-2024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45561</v>
      </c>
      <c r="E203" s="1" t="n">
        <v>46289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45624</v>
      </c>
      <c r="E204" s="1" t="n">
        <v>46289</v>
      </c>
      <c r="F204" t="inlineStr">
        <is>
          <t>JÖNKÖPINGS LÄN</t>
        </is>
      </c>
      <c r="G204" t="inlineStr">
        <is>
          <t>EKSJÖ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46289</v>
      </c>
      <c r="F205" t="inlineStr">
        <is>
          <t>JÖNKÖPINGS LÄN</t>
        </is>
      </c>
      <c r="G205" t="inlineStr">
        <is>
          <t>EKSJÖ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46289</v>
      </c>
      <c r="F206" t="inlineStr">
        <is>
          <t>JÖNKÖPINGS LÄN</t>
        </is>
      </c>
      <c r="G206" t="inlineStr">
        <is>
          <t>EKSJÖ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30931-2023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45113</v>
      </c>
      <c r="E207" s="1" t="n">
        <v>46289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46289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46289</v>
      </c>
      <c r="F209" t="inlineStr">
        <is>
          <t>JÖNKÖPINGS LÄN</t>
        </is>
      </c>
      <c r="G209" t="inlineStr">
        <is>
          <t>EKSJÖ</t>
        </is>
      </c>
      <c r="H209" t="inlineStr">
        <is>
          <t>Kommuner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45334</v>
      </c>
      <c r="E210" s="1" t="n">
        <v>46289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46289</v>
      </c>
      <c r="F211" t="inlineStr">
        <is>
          <t>JÖNKÖPINGS LÄN</t>
        </is>
      </c>
      <c r="G211" t="inlineStr">
        <is>
          <t>EKSJÖ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46289</v>
      </c>
      <c r="F212" t="inlineStr">
        <is>
          <t>JÖNKÖPINGS LÄN</t>
        </is>
      </c>
      <c r="G212" t="inlineStr">
        <is>
          <t>EKSJÖ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46289</v>
      </c>
      <c r="F213" t="inlineStr">
        <is>
          <t>JÖNKÖPINGS LÄN</t>
        </is>
      </c>
      <c r="G213" t="inlineStr">
        <is>
          <t>EKSJÖ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46289</v>
      </c>
      <c r="F214" t="inlineStr">
        <is>
          <t>JÖNKÖPINGS LÄN</t>
        </is>
      </c>
      <c r="G214" t="inlineStr">
        <is>
          <t>EKSJÖ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46289</v>
      </c>
      <c r="F215" t="inlineStr">
        <is>
          <t>JÖNKÖPINGS LÄN</t>
        </is>
      </c>
      <c r="G215" t="inlineStr">
        <is>
          <t>EKSJÖ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45334</v>
      </c>
      <c r="E216" s="1" t="n">
        <v>46289</v>
      </c>
      <c r="F216" t="inlineStr">
        <is>
          <t>JÖNKÖPINGS LÄN</t>
        </is>
      </c>
      <c r="G216" t="inlineStr">
        <is>
          <t>EKSJÖ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46289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46289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45530</v>
      </c>
      <c r="E219" s="1" t="n">
        <v>46289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44980</v>
      </c>
      <c r="E220" s="1" t="n">
        <v>46289</v>
      </c>
      <c r="F220" t="inlineStr">
        <is>
          <t>JÖNKÖPINGS LÄN</t>
        </is>
      </c>
      <c r="G220" t="inlineStr">
        <is>
          <t>EKSJÖ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44526-2025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45916</v>
      </c>
      <c r="E221" s="1" t="n">
        <v>46289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44861</v>
      </c>
      <c r="E222" s="1" t="n">
        <v>46289</v>
      </c>
      <c r="F222" t="inlineStr">
        <is>
          <t>JÖNKÖPINGS LÄN</t>
        </is>
      </c>
      <c r="G222" t="inlineStr">
        <is>
          <t>EKSJÖ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45485</v>
      </c>
      <c r="E223" s="1" t="n">
        <v>46289</v>
      </c>
      <c r="F223" t="inlineStr">
        <is>
          <t>JÖNKÖPINGS LÄN</t>
        </is>
      </c>
      <c r="G223" t="inlineStr">
        <is>
          <t>EKSJÖ</t>
        </is>
      </c>
      <c r="H223" t="inlineStr">
        <is>
          <t>Övriga Aktiebolag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46289</v>
      </c>
      <c r="F224" t="inlineStr">
        <is>
          <t>JÖNKÖPINGS LÄN</t>
        </is>
      </c>
      <c r="G224" t="inlineStr">
        <is>
          <t>EKSJÖ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46289</v>
      </c>
      <c r="F225" t="inlineStr">
        <is>
          <t>JÖNKÖPINGS LÄN</t>
        </is>
      </c>
      <c r="G225" t="inlineStr">
        <is>
          <t>EKSJÖ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64419-2021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44511</v>
      </c>
      <c r="E226" s="1" t="n">
        <v>46289</v>
      </c>
      <c r="F226" t="inlineStr">
        <is>
          <t>JÖNKÖPINGS LÄN</t>
        </is>
      </c>
      <c r="G226" t="inlineStr">
        <is>
          <t>EKSJÖ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46289</v>
      </c>
      <c r="F227" t="inlineStr">
        <is>
          <t>JÖNKÖPINGS LÄN</t>
        </is>
      </c>
      <c r="G227" t="inlineStr">
        <is>
          <t>EKSJÖ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46289</v>
      </c>
      <c r="F228" t="inlineStr">
        <is>
          <t>JÖNKÖPINGS LÄN</t>
        </is>
      </c>
      <c r="G228" t="inlineStr">
        <is>
          <t>EKSJÖ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46289</v>
      </c>
      <c r="F229" t="inlineStr">
        <is>
          <t>JÖNKÖPINGS LÄN</t>
        </is>
      </c>
      <c r="G229" t="inlineStr">
        <is>
          <t>EKSJÖ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45315</v>
      </c>
      <c r="E230" s="1" t="n">
        <v>46289</v>
      </c>
      <c r="F230" t="inlineStr">
        <is>
          <t>JÖNKÖPINGS LÄN</t>
        </is>
      </c>
      <c r="G230" t="inlineStr">
        <is>
          <t>EKSJÖ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46289</v>
      </c>
      <c r="F231" t="inlineStr">
        <is>
          <t>JÖNKÖPINGS LÄN</t>
        </is>
      </c>
      <c r="G231" t="inlineStr">
        <is>
          <t>EKSJÖ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45533</v>
      </c>
      <c r="E232" s="1" t="n">
        <v>46289</v>
      </c>
      <c r="F232" t="inlineStr">
        <is>
          <t>JÖNKÖPINGS LÄN</t>
        </is>
      </c>
      <c r="G232" t="inlineStr">
        <is>
          <t>EKSJÖ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45664</v>
      </c>
      <c r="E233" s="1" t="n">
        <v>46289</v>
      </c>
      <c r="F233" t="inlineStr">
        <is>
          <t>JÖNKÖPINGS LÄN</t>
        </is>
      </c>
      <c r="G233" t="inlineStr">
        <is>
          <t>EKSJÖ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44600</v>
      </c>
      <c r="E234" s="1" t="n">
        <v>46289</v>
      </c>
      <c r="F234" t="inlineStr">
        <is>
          <t>JÖNKÖPINGS LÄN</t>
        </is>
      </c>
      <c r="G234" t="inlineStr">
        <is>
          <t>EKSJÖ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44909</v>
      </c>
      <c r="E235" s="1" t="n">
        <v>46289</v>
      </c>
      <c r="F235" t="inlineStr">
        <is>
          <t>JÖNKÖPINGS LÄN</t>
        </is>
      </c>
      <c r="G235" t="inlineStr">
        <is>
          <t>EKSJÖ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46289</v>
      </c>
      <c r="F236" t="inlineStr">
        <is>
          <t>JÖNKÖPINGS LÄN</t>
        </is>
      </c>
      <c r="G236" t="inlineStr">
        <is>
          <t>EKSJÖ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46289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46289</v>
      </c>
      <c r="F238" t="inlineStr">
        <is>
          <t>JÖNKÖPINGS LÄN</t>
        </is>
      </c>
      <c r="G238" t="inlineStr">
        <is>
          <t>EKSJÖ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59050-2021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46289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46289</v>
      </c>
      <c r="F240" t="inlineStr">
        <is>
          <t>JÖNKÖPINGS LÄN</t>
        </is>
      </c>
      <c r="G240" t="inlineStr">
        <is>
          <t>EKSJÖ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46289</v>
      </c>
      <c r="F241" t="inlineStr">
        <is>
          <t>JÖNKÖPINGS LÄN</t>
        </is>
      </c>
      <c r="G241" t="inlineStr">
        <is>
          <t>EKSJÖ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46289</v>
      </c>
      <c r="F242" t="inlineStr">
        <is>
          <t>JÖNKÖPINGS LÄN</t>
        </is>
      </c>
      <c r="G242" t="inlineStr">
        <is>
          <t>EKSJÖ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46289</v>
      </c>
      <c r="F243" t="inlineStr">
        <is>
          <t>JÖNKÖPINGS LÄN</t>
        </is>
      </c>
      <c r="G243" t="inlineStr">
        <is>
          <t>EKSJÖ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46289</v>
      </c>
      <c r="F244" t="inlineStr">
        <is>
          <t>JÖNKÖPINGS LÄN</t>
        </is>
      </c>
      <c r="G244" t="inlineStr">
        <is>
          <t>EKSJÖ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45344</v>
      </c>
      <c r="E245" s="1" t="n">
        <v>46289</v>
      </c>
      <c r="F245" t="inlineStr">
        <is>
          <t>JÖNKÖPINGS LÄN</t>
        </is>
      </c>
      <c r="G245" t="inlineStr">
        <is>
          <t>EKSJÖ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46289</v>
      </c>
      <c r="F246" t="inlineStr">
        <is>
          <t>JÖNKÖPINGS LÄN</t>
        </is>
      </c>
      <c r="G246" t="inlineStr">
        <is>
          <t>EKSJÖ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45216</v>
      </c>
      <c r="E247" s="1" t="n">
        <v>46289</v>
      </c>
      <c r="F247" t="inlineStr">
        <is>
          <t>JÖNKÖPINGS LÄN</t>
        </is>
      </c>
      <c r="G247" t="inlineStr">
        <is>
          <t>EKSJÖ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46289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51020-2023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46289</v>
      </c>
      <c r="F249" t="inlineStr">
        <is>
          <t>JÖNKÖPINGS LÄN</t>
        </is>
      </c>
      <c r="G249" t="inlineStr">
        <is>
          <t>EKSJÖ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46289</v>
      </c>
      <c r="F250" t="inlineStr">
        <is>
          <t>JÖNKÖPINGS LÄN</t>
        </is>
      </c>
      <c r="G250" t="inlineStr">
        <is>
          <t>EKSJÖ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45402</v>
      </c>
      <c r="E251" s="1" t="n">
        <v>46289</v>
      </c>
      <c r="F251" t="inlineStr">
        <is>
          <t>JÖNKÖPINGS LÄN</t>
        </is>
      </c>
      <c r="G251" t="inlineStr">
        <is>
          <t>EKSJÖ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46289</v>
      </c>
      <c r="F252" t="inlineStr">
        <is>
          <t>JÖNKÖPINGS LÄN</t>
        </is>
      </c>
      <c r="G252" t="inlineStr">
        <is>
          <t>EKSJÖ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46289</v>
      </c>
      <c r="F253" t="inlineStr">
        <is>
          <t>JÖNKÖPINGS LÄN</t>
        </is>
      </c>
      <c r="G253" t="inlineStr">
        <is>
          <t>EKSJÖ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46289</v>
      </c>
      <c r="F254" t="inlineStr">
        <is>
          <t>JÖNKÖPINGS LÄN</t>
        </is>
      </c>
      <c r="G254" t="inlineStr">
        <is>
          <t>EKSJÖ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45523</v>
      </c>
      <c r="E255" s="1" t="n">
        <v>46289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45513</v>
      </c>
      <c r="E256" s="1" t="n">
        <v>46289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46289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46289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44999</v>
      </c>
      <c r="E259" s="1" t="n">
        <v>46289</v>
      </c>
      <c r="F259" t="inlineStr">
        <is>
          <t>JÖNKÖPINGS LÄN</t>
        </is>
      </c>
      <c r="G259" t="inlineStr">
        <is>
          <t>EKSJÖ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44999</v>
      </c>
      <c r="E260" s="1" t="n">
        <v>46289</v>
      </c>
      <c r="F260" t="inlineStr">
        <is>
          <t>JÖNKÖPINGS LÄN</t>
        </is>
      </c>
      <c r="G260" t="inlineStr">
        <is>
          <t>EKSJÖ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46289</v>
      </c>
      <c r="F261" t="inlineStr">
        <is>
          <t>JÖNKÖPINGS LÄN</t>
        </is>
      </c>
      <c r="G261" t="inlineStr">
        <is>
          <t>EKSJÖ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46289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46289</v>
      </c>
      <c r="F263" t="inlineStr">
        <is>
          <t>JÖNKÖPINGS LÄN</t>
        </is>
      </c>
      <c r="G263" t="inlineStr">
        <is>
          <t>EKSJÖ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44888</v>
      </c>
      <c r="E264" s="1" t="n">
        <v>46289</v>
      </c>
      <c r="F264" t="inlineStr">
        <is>
          <t>JÖNKÖPINGS LÄN</t>
        </is>
      </c>
      <c r="G264" t="inlineStr">
        <is>
          <t>EKSJÖ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46289</v>
      </c>
      <c r="F265" t="inlineStr">
        <is>
          <t>JÖNKÖPINGS LÄN</t>
        </is>
      </c>
      <c r="G265" t="inlineStr">
        <is>
          <t>EKSJÖ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46289</v>
      </c>
      <c r="F266" t="inlineStr">
        <is>
          <t>JÖNKÖPINGS LÄN</t>
        </is>
      </c>
      <c r="G266" t="inlineStr">
        <is>
          <t>EKSJÖ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46289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46289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45714</v>
      </c>
      <c r="E269" s="1" t="n">
        <v>46289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46289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46289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46289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45345</v>
      </c>
      <c r="E273" s="1" t="n">
        <v>46289</v>
      </c>
      <c r="F273" t="inlineStr">
        <is>
          <t>JÖNKÖPINGS LÄN</t>
        </is>
      </c>
      <c r="G273" t="inlineStr">
        <is>
          <t>EKSJÖ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44581</v>
      </c>
      <c r="E274" s="1" t="n">
        <v>46289</v>
      </c>
      <c r="F274" t="inlineStr">
        <is>
          <t>JÖNKÖPINGS LÄN</t>
        </is>
      </c>
      <c r="G274" t="inlineStr">
        <is>
          <t>EKSJÖ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46289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9058-2022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44615</v>
      </c>
      <c r="E276" s="1" t="n">
        <v>46289</v>
      </c>
      <c r="F276" t="inlineStr">
        <is>
          <t>JÖNKÖPINGS LÄN</t>
        </is>
      </c>
      <c r="G276" t="inlineStr">
        <is>
          <t>EKSJÖ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46289</v>
      </c>
      <c r="F277" t="inlineStr">
        <is>
          <t>JÖNKÖPINGS LÄN</t>
        </is>
      </c>
      <c r="G277" t="inlineStr">
        <is>
          <t>EKSJÖ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46289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10345-2022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44623</v>
      </c>
      <c r="E279" s="1" t="n">
        <v>46289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46289</v>
      </c>
      <c r="F280" t="inlineStr">
        <is>
          <t>JÖNKÖPINGS LÄN</t>
        </is>
      </c>
      <c r="G280" t="inlineStr">
        <is>
          <t>EKSJÖ</t>
        </is>
      </c>
      <c r="H280" t="inlineStr">
        <is>
          <t>Kyrkan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46289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12821-2024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45384</v>
      </c>
      <c r="E282" s="1" t="n">
        <v>46289</v>
      </c>
      <c r="F282" t="inlineStr">
        <is>
          <t>JÖNKÖPINGS LÄN</t>
        </is>
      </c>
      <c r="G282" t="inlineStr">
        <is>
          <t>EKSJÖ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46289</v>
      </c>
      <c r="F283" t="inlineStr">
        <is>
          <t>JÖNKÖPINGS LÄN</t>
        </is>
      </c>
      <c r="G283" t="inlineStr">
        <is>
          <t>EKSJÖ</t>
        </is>
      </c>
      <c r="H283" t="inlineStr">
        <is>
          <t>Kyrkan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45576</v>
      </c>
      <c r="E284" s="1" t="n">
        <v>46289</v>
      </c>
      <c r="F284" t="inlineStr">
        <is>
          <t>JÖNKÖPINGS LÄN</t>
        </is>
      </c>
      <c r="G284" t="inlineStr">
        <is>
          <t>EKSJÖ</t>
        </is>
      </c>
      <c r="H284" t="inlineStr">
        <is>
          <t>Övriga Aktiebolag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36047-2024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46289</v>
      </c>
      <c r="F285" t="inlineStr">
        <is>
          <t>JÖNKÖPINGS LÄN</t>
        </is>
      </c>
      <c r="G285" t="inlineStr">
        <is>
          <t>EKSJÖ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46289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46289</v>
      </c>
      <c r="F287" t="inlineStr">
        <is>
          <t>JÖNKÖPINGS LÄN</t>
        </is>
      </c>
      <c r="G287" t="inlineStr">
        <is>
          <t>EKSJÖ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46289</v>
      </c>
      <c r="F288" t="inlineStr">
        <is>
          <t>JÖNKÖPINGS LÄN</t>
        </is>
      </c>
      <c r="G288" t="inlineStr">
        <is>
          <t>EKSJÖ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46289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45364</v>
      </c>
      <c r="E290" s="1" t="n">
        <v>46289</v>
      </c>
      <c r="F290" t="inlineStr">
        <is>
          <t>JÖNKÖPINGS LÄN</t>
        </is>
      </c>
      <c r="G290" t="inlineStr">
        <is>
          <t>EKSJÖ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46289</v>
      </c>
      <c r="F291" t="inlineStr">
        <is>
          <t>JÖNKÖPINGS LÄN</t>
        </is>
      </c>
      <c r="G291" t="inlineStr">
        <is>
          <t>EKSJÖ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46289</v>
      </c>
      <c r="F292" t="inlineStr">
        <is>
          <t>JÖNKÖPINGS LÄN</t>
        </is>
      </c>
      <c r="G292" t="inlineStr">
        <is>
          <t>EKSJÖ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44701</v>
      </c>
      <c r="E293" s="1" t="n">
        <v>46289</v>
      </c>
      <c r="F293" t="inlineStr">
        <is>
          <t>JÖNKÖPINGS LÄN</t>
        </is>
      </c>
      <c r="G293" t="inlineStr">
        <is>
          <t>EKSJÖ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46289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45677</v>
      </c>
      <c r="E295" s="1" t="n">
        <v>46289</v>
      </c>
      <c r="F295" t="inlineStr">
        <is>
          <t>JÖNKÖPINGS LÄN</t>
        </is>
      </c>
      <c r="G295" t="inlineStr">
        <is>
          <t>EKSJÖ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44713</v>
      </c>
      <c r="E296" s="1" t="n">
        <v>46289</v>
      </c>
      <c r="F296" t="inlineStr">
        <is>
          <t>JÖNKÖPINGS LÄN</t>
        </is>
      </c>
      <c r="G296" t="inlineStr">
        <is>
          <t>EKSJÖ</t>
        </is>
      </c>
      <c r="H296" t="inlineStr">
        <is>
          <t>Kyrkan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45463</v>
      </c>
      <c r="E297" s="1" t="n">
        <v>46289</v>
      </c>
      <c r="F297" t="inlineStr">
        <is>
          <t>JÖNKÖPINGS LÄN</t>
        </is>
      </c>
      <c r="G297" t="inlineStr">
        <is>
          <t>EKSJÖ</t>
        </is>
      </c>
      <c r="H297" t="inlineStr">
        <is>
          <t>Övriga Aktiebolag</t>
        </is>
      </c>
      <c r="I297" t="n">
        <v>17.5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45176</v>
      </c>
      <c r="E298" s="1" t="n">
        <v>46289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45239</v>
      </c>
      <c r="E299" s="1" t="n">
        <v>46289</v>
      </c>
      <c r="F299" t="inlineStr">
        <is>
          <t>JÖNKÖPINGS LÄN</t>
        </is>
      </c>
      <c r="G299" t="inlineStr">
        <is>
          <t>EKSJÖ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46289</v>
      </c>
      <c r="F300" t="inlineStr">
        <is>
          <t>JÖNKÖPINGS LÄN</t>
        </is>
      </c>
      <c r="G300" t="inlineStr">
        <is>
          <t>EKSJÖ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46289</v>
      </c>
      <c r="F301" t="inlineStr">
        <is>
          <t>JÖNKÖPINGS LÄN</t>
        </is>
      </c>
      <c r="G301" t="inlineStr">
        <is>
          <t>EKSJÖ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46289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55628-2025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46289</v>
      </c>
      <c r="F303" t="inlineStr">
        <is>
          <t>JÖNKÖPINGS LÄN</t>
        </is>
      </c>
      <c r="G303" t="inlineStr">
        <is>
          <t>EKSJÖ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44803</v>
      </c>
      <c r="E304" s="1" t="n">
        <v>46289</v>
      </c>
      <c r="F304" t="inlineStr">
        <is>
          <t>JÖNKÖPINGS LÄN</t>
        </is>
      </c>
      <c r="G304" t="inlineStr">
        <is>
          <t>EKSJÖ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46289</v>
      </c>
      <c r="F305" t="inlineStr">
        <is>
          <t>JÖNKÖPINGS LÄN</t>
        </is>
      </c>
      <c r="G305" t="inlineStr">
        <is>
          <t>EKSJÖ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46289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46289</v>
      </c>
      <c r="F307" t="inlineStr">
        <is>
          <t>JÖNKÖPINGS LÄN</t>
        </is>
      </c>
      <c r="G307" t="inlineStr">
        <is>
          <t>EKSJÖ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9385-2025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46289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54292-2023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45232</v>
      </c>
      <c r="E309" s="1" t="n">
        <v>46289</v>
      </c>
      <c r="F309" t="inlineStr">
        <is>
          <t>JÖNKÖPINGS LÄN</t>
        </is>
      </c>
      <c r="G309" t="inlineStr">
        <is>
          <t>EKSJÖ</t>
        </is>
      </c>
      <c r="I309" t="n">
        <v>18.3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44909</v>
      </c>
      <c r="E310" s="1" t="n">
        <v>46289</v>
      </c>
      <c r="F310" t="inlineStr">
        <is>
          <t>JÖNKÖPINGS LÄN</t>
        </is>
      </c>
      <c r="G310" t="inlineStr">
        <is>
          <t>EKSJÖ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46289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18062-2024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45420</v>
      </c>
      <c r="E312" s="1" t="n">
        <v>46289</v>
      </c>
      <c r="F312" t="inlineStr">
        <is>
          <t>JÖNKÖPINGS LÄN</t>
        </is>
      </c>
      <c r="G312" t="inlineStr">
        <is>
          <t>EKSJÖ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46289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46289</v>
      </c>
      <c r="F314" t="inlineStr">
        <is>
          <t>JÖNKÖPINGS LÄN</t>
        </is>
      </c>
      <c r="G314" t="inlineStr">
        <is>
          <t>EKSJÖ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46289</v>
      </c>
      <c r="F315" t="inlineStr">
        <is>
          <t>JÖNKÖPINGS LÄN</t>
        </is>
      </c>
      <c r="G315" t="inlineStr">
        <is>
          <t>EKSJÖ</t>
        </is>
      </c>
      <c r="H315" t="inlineStr">
        <is>
          <t>Kyrkan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46289</v>
      </c>
      <c r="F316" t="inlineStr">
        <is>
          <t>JÖNKÖPINGS LÄN</t>
        </is>
      </c>
      <c r="G316" t="inlineStr">
        <is>
          <t>EKSJÖ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45086</v>
      </c>
      <c r="E317" s="1" t="n">
        <v>46289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46289</v>
      </c>
      <c r="F318" t="inlineStr">
        <is>
          <t>JÖNKÖPINGS LÄN</t>
        </is>
      </c>
      <c r="G318" t="inlineStr">
        <is>
          <t>EKSJÖ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45523</v>
      </c>
      <c r="E319" s="1" t="n">
        <v>46289</v>
      </c>
      <c r="F319" t="inlineStr">
        <is>
          <t>JÖNKÖPINGS LÄN</t>
        </is>
      </c>
      <c r="G319" t="inlineStr">
        <is>
          <t>EKSJÖ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45523</v>
      </c>
      <c r="E320" s="1" t="n">
        <v>46289</v>
      </c>
      <c r="F320" t="inlineStr">
        <is>
          <t>JÖNKÖPINGS LÄN</t>
        </is>
      </c>
      <c r="G320" t="inlineStr">
        <is>
          <t>EKSJÖ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46289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46289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46289</v>
      </c>
      <c r="F323" t="inlineStr">
        <is>
          <t>JÖNKÖPINGS LÄN</t>
        </is>
      </c>
      <c r="G323" t="inlineStr">
        <is>
          <t>EKSJÖ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46289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45680</v>
      </c>
      <c r="E325" s="1" t="n">
        <v>46289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13273-2023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45003</v>
      </c>
      <c r="E326" s="1" t="n">
        <v>46289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46289</v>
      </c>
      <c r="F327" t="inlineStr">
        <is>
          <t>JÖNKÖPINGS LÄN</t>
        </is>
      </c>
      <c r="G327" t="inlineStr">
        <is>
          <t>EKSJÖ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44685</v>
      </c>
      <c r="E328" s="1" t="n">
        <v>46289</v>
      </c>
      <c r="F328" t="inlineStr">
        <is>
          <t>JÖNKÖPINGS LÄN</t>
        </is>
      </c>
      <c r="G328" t="inlineStr">
        <is>
          <t>EKSJÖ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46289</v>
      </c>
      <c r="F329" t="inlineStr">
        <is>
          <t>JÖNKÖPINGS LÄN</t>
        </is>
      </c>
      <c r="G329" t="inlineStr">
        <is>
          <t>EKSJÖ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46289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46289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46289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44719</v>
      </c>
      <c r="E333" s="1" t="n">
        <v>46289</v>
      </c>
      <c r="F333" t="inlineStr">
        <is>
          <t>JÖNKÖPINGS LÄN</t>
        </is>
      </c>
      <c r="G333" t="inlineStr">
        <is>
          <t>EKSJÖ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46289</v>
      </c>
      <c r="F334" t="inlineStr">
        <is>
          <t>JÖNKÖPINGS LÄN</t>
        </is>
      </c>
      <c r="G334" t="inlineStr">
        <is>
          <t>EKSJÖ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44908</v>
      </c>
      <c r="E335" s="1" t="n">
        <v>46289</v>
      </c>
      <c r="F335" t="inlineStr">
        <is>
          <t>JÖNKÖPINGS LÄN</t>
        </is>
      </c>
      <c r="G335" t="inlineStr">
        <is>
          <t>EKSJÖ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46289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46289</v>
      </c>
      <c r="F337" t="inlineStr">
        <is>
          <t>JÖNKÖPINGS LÄN</t>
        </is>
      </c>
      <c r="G337" t="inlineStr">
        <is>
          <t>EKSJÖ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27086-2023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46289</v>
      </c>
      <c r="F338" t="inlineStr">
        <is>
          <t>JÖNKÖPINGS LÄN</t>
        </is>
      </c>
      <c r="G338" t="inlineStr">
        <is>
          <t>EKSJÖ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46289</v>
      </c>
      <c r="F339" t="inlineStr">
        <is>
          <t>JÖNKÖPINGS LÄN</t>
        </is>
      </c>
      <c r="G339" t="inlineStr">
        <is>
          <t>EKSJÖ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46289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46289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45114</v>
      </c>
      <c r="E342" s="1" t="n">
        <v>46289</v>
      </c>
      <c r="F342" t="inlineStr">
        <is>
          <t>JÖNKÖPINGS LÄN</t>
        </is>
      </c>
      <c r="G342" t="inlineStr">
        <is>
          <t>EKSJÖ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46289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59564-2025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45991</v>
      </c>
      <c r="E344" s="1" t="n">
        <v>46289</v>
      </c>
      <c r="F344" t="inlineStr">
        <is>
          <t>JÖNKÖPINGS LÄN</t>
        </is>
      </c>
      <c r="G344" t="inlineStr">
        <is>
          <t>EKSJÖ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46289</v>
      </c>
      <c r="F345" t="inlineStr">
        <is>
          <t>JÖNKÖPINGS LÄN</t>
        </is>
      </c>
      <c r="G345" t="inlineStr">
        <is>
          <t>EKSJÖ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46289</v>
      </c>
      <c r="F346" t="inlineStr">
        <is>
          <t>JÖNKÖPINGS LÄN</t>
        </is>
      </c>
      <c r="G346" t="inlineStr">
        <is>
          <t>EKSJÖ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41440-2024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45560</v>
      </c>
      <c r="E347" s="1" t="n">
        <v>46289</v>
      </c>
      <c r="F347" t="inlineStr">
        <is>
          <t>JÖNKÖPINGS LÄN</t>
        </is>
      </c>
      <c r="G347" t="inlineStr">
        <is>
          <t>EKSJÖ</t>
        </is>
      </c>
      <c r="H347" t="inlineStr">
        <is>
          <t>Kyrkan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46289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46289</v>
      </c>
      <c r="F349" t="inlineStr">
        <is>
          <t>JÖNKÖPINGS LÄN</t>
        </is>
      </c>
      <c r="G349" t="inlineStr">
        <is>
          <t>EKSJÖ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46289</v>
      </c>
      <c r="F350" t="inlineStr">
        <is>
          <t>JÖNKÖPINGS LÄN</t>
        </is>
      </c>
      <c r="G350" t="inlineStr">
        <is>
          <t>EKSJÖ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46289</v>
      </c>
      <c r="F351" t="inlineStr">
        <is>
          <t>JÖNKÖPINGS LÄN</t>
        </is>
      </c>
      <c r="G351" t="inlineStr">
        <is>
          <t>EKSJÖ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46289</v>
      </c>
      <c r="F352" t="inlineStr">
        <is>
          <t>JÖNKÖPINGS LÄN</t>
        </is>
      </c>
      <c r="G352" t="inlineStr">
        <is>
          <t>EKSJÖ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46289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46289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46289</v>
      </c>
      <c r="F355" t="inlineStr">
        <is>
          <t>JÖNKÖPINGS LÄN</t>
        </is>
      </c>
      <c r="G355" t="inlineStr">
        <is>
          <t>EKSJÖ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46289</v>
      </c>
      <c r="F356" t="inlineStr">
        <is>
          <t>JÖNKÖPINGS LÄN</t>
        </is>
      </c>
      <c r="G356" t="inlineStr">
        <is>
          <t>EKSJÖ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46289</v>
      </c>
      <c r="F357" t="inlineStr">
        <is>
          <t>JÖNKÖPINGS LÄN</t>
        </is>
      </c>
      <c r="G357" t="inlineStr">
        <is>
          <t>EKSJÖ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46289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46289</v>
      </c>
      <c r="F359" t="inlineStr">
        <is>
          <t>JÖNKÖPINGS LÄN</t>
        </is>
      </c>
      <c r="G359" t="inlineStr">
        <is>
          <t>EKSJÖ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45328</v>
      </c>
      <c r="E360" s="1" t="n">
        <v>46289</v>
      </c>
      <c r="F360" t="inlineStr">
        <is>
          <t>JÖNKÖPINGS LÄN</t>
        </is>
      </c>
      <c r="G360" t="inlineStr">
        <is>
          <t>EKSJÖ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46289</v>
      </c>
      <c r="F361" t="inlineStr">
        <is>
          <t>JÖNKÖPINGS LÄN</t>
        </is>
      </c>
      <c r="G361" t="inlineStr">
        <is>
          <t>EKSJÖ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45758</v>
      </c>
      <c r="E362" s="1" t="n">
        <v>46289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45715</v>
      </c>
      <c r="E363" s="1" t="n">
        <v>46289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44746</v>
      </c>
      <c r="E364" s="1" t="n">
        <v>46289</v>
      </c>
      <c r="F364" t="inlineStr">
        <is>
          <t>JÖNKÖPINGS LÄN</t>
        </is>
      </c>
      <c r="G364" t="inlineStr">
        <is>
          <t>EKSJÖ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46289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46289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46289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46289</v>
      </c>
      <c r="F368" t="inlineStr">
        <is>
          <t>JÖNKÖPINGS LÄN</t>
        </is>
      </c>
      <c r="G368" t="inlineStr">
        <is>
          <t>EKSJÖ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45176</v>
      </c>
      <c r="E369" s="1" t="n">
        <v>46289</v>
      </c>
      <c r="F369" t="inlineStr">
        <is>
          <t>JÖNKÖPINGS LÄN</t>
        </is>
      </c>
      <c r="G369" t="inlineStr">
        <is>
          <t>EKSJÖ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44888</v>
      </c>
      <c r="E370" s="1" t="n">
        <v>46289</v>
      </c>
      <c r="F370" t="inlineStr">
        <is>
          <t>JÖNKÖPINGS LÄN</t>
        </is>
      </c>
      <c r="G370" t="inlineStr">
        <is>
          <t>EKSJÖ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46289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59734-2022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44908</v>
      </c>
      <c r="E372" s="1" t="n">
        <v>46289</v>
      </c>
      <c r="F372" t="inlineStr">
        <is>
          <t>JÖNKÖPINGS LÄN</t>
        </is>
      </c>
      <c r="G372" t="inlineStr">
        <is>
          <t>EKSJÖ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62892-2025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46289</v>
      </c>
      <c r="F373" t="inlineStr">
        <is>
          <t>JÖNKÖPINGS LÄN</t>
        </is>
      </c>
      <c r="G373" t="inlineStr">
        <is>
          <t>EKSJÖ</t>
        </is>
      </c>
      <c r="H373" t="inlineStr">
        <is>
          <t>Kommuner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46289</v>
      </c>
      <c r="F374" t="inlineStr">
        <is>
          <t>JÖNKÖPINGS LÄN</t>
        </is>
      </c>
      <c r="G374" t="inlineStr">
        <is>
          <t>EKSJÖ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46289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46289</v>
      </c>
      <c r="F376" t="inlineStr">
        <is>
          <t>JÖNKÖPINGS LÄN</t>
        </is>
      </c>
      <c r="G376" t="inlineStr">
        <is>
          <t>EKSJÖ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64106-2025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46289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46289</v>
      </c>
      <c r="F378" t="inlineStr">
        <is>
          <t>JÖNKÖPINGS LÄN</t>
        </is>
      </c>
      <c r="G378" t="inlineStr">
        <is>
          <t>EKSJÖ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46289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46289</v>
      </c>
      <c r="F380" t="inlineStr">
        <is>
          <t>JÖNKÖPINGS LÄN</t>
        </is>
      </c>
      <c r="G380" t="inlineStr">
        <is>
          <t>EKSJÖ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46289</v>
      </c>
      <c r="F381" t="inlineStr">
        <is>
          <t>JÖNKÖPINGS LÄN</t>
        </is>
      </c>
      <c r="G381" t="inlineStr">
        <is>
          <t>EKSJÖ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44846</v>
      </c>
      <c r="E382" s="1" t="n">
        <v>46289</v>
      </c>
      <c r="F382" t="inlineStr">
        <is>
          <t>JÖNKÖPINGS LÄN</t>
        </is>
      </c>
      <c r="G382" t="inlineStr">
        <is>
          <t>EKSJÖ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46014-2022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46289</v>
      </c>
      <c r="F383" t="inlineStr">
        <is>
          <t>JÖNKÖPINGS LÄN</t>
        </is>
      </c>
      <c r="G383" t="inlineStr">
        <is>
          <t>EKSJÖ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46289</v>
      </c>
      <c r="F384" t="inlineStr">
        <is>
          <t>JÖNKÖPINGS LÄN</t>
        </is>
      </c>
      <c r="G384" t="inlineStr">
        <is>
          <t>EKSJÖ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45839</v>
      </c>
      <c r="E385" s="1" t="n">
        <v>46289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46289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33614-2025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46289</v>
      </c>
      <c r="F387" t="inlineStr">
        <is>
          <t>JÖNKÖPINGS LÄN</t>
        </is>
      </c>
      <c r="G387" t="inlineStr">
        <is>
          <t>EKSJÖ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33609-2025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46289</v>
      </c>
      <c r="F388" t="inlineStr">
        <is>
          <t>JÖNKÖPINGS LÄN</t>
        </is>
      </c>
      <c r="G388" t="inlineStr">
        <is>
          <t>EKSJÖ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46289</v>
      </c>
      <c r="F389" t="inlineStr">
        <is>
          <t>JÖNKÖPINGS LÄN</t>
        </is>
      </c>
      <c r="G389" t="inlineStr">
        <is>
          <t>EKSJÖ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46289</v>
      </c>
      <c r="F390" t="inlineStr">
        <is>
          <t>JÖNKÖPINGS LÄN</t>
        </is>
      </c>
      <c r="G390" t="inlineStr">
        <is>
          <t>EKSJÖ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46034</v>
      </c>
      <c r="E391" s="1" t="n">
        <v>46289</v>
      </c>
      <c r="F391" t="inlineStr">
        <is>
          <t>JÖNKÖPINGS LÄN</t>
        </is>
      </c>
      <c r="G391" t="inlineStr">
        <is>
          <t>EKSJÖ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11381-2022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44630</v>
      </c>
      <c r="E392" s="1" t="n">
        <v>46289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46289</v>
      </c>
      <c r="F393" t="inlineStr">
        <is>
          <t>JÖNKÖPINGS LÄN</t>
        </is>
      </c>
      <c r="G393" t="inlineStr">
        <is>
          <t>EKSJÖ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50275-2023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45209</v>
      </c>
      <c r="E394" s="1" t="n">
        <v>46289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46281</v>
      </c>
      <c r="E395" s="1" t="n">
        <v>46289</v>
      </c>
      <c r="F395" t="inlineStr">
        <is>
          <t>JÖNKÖPINGS LÄN</t>
        </is>
      </c>
      <c r="G395" t="inlineStr">
        <is>
          <t>EKSJÖ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47204-2022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44851</v>
      </c>
      <c r="E396" s="1" t="n">
        <v>46289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45160</v>
      </c>
      <c r="E397" s="1" t="n">
        <v>46289</v>
      </c>
      <c r="F397" t="inlineStr">
        <is>
          <t>JÖNKÖPINGS LÄN</t>
        </is>
      </c>
      <c r="G397" t="inlineStr">
        <is>
          <t>EKSJÖ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46283</v>
      </c>
      <c r="E398" s="1" t="n">
        <v>46289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46289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46577-2022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44848</v>
      </c>
      <c r="E400" s="1" t="n">
        <v>46289</v>
      </c>
      <c r="F400" t="inlineStr">
        <is>
          <t>JÖNKÖPINGS LÄN</t>
        </is>
      </c>
      <c r="G400" t="inlineStr">
        <is>
          <t>EKSJÖ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46196</v>
      </c>
      <c r="E401" s="1" t="n">
        <v>46289</v>
      </c>
      <c r="F401" t="inlineStr">
        <is>
          <t>JÖNKÖPINGS LÄN</t>
        </is>
      </c>
      <c r="G401" t="inlineStr">
        <is>
          <t>EKSJÖ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45532</v>
      </c>
      <c r="E402" s="1" t="n">
        <v>46289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10464-2023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44987</v>
      </c>
      <c r="E403" s="1" t="n">
        <v>46289</v>
      </c>
      <c r="F403" t="inlineStr">
        <is>
          <t>JÖNKÖPINGS LÄN</t>
        </is>
      </c>
      <c r="G403" t="inlineStr">
        <is>
          <t>EKSJÖ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46289</v>
      </c>
      <c r="F404" t="inlineStr">
        <is>
          <t>JÖNKÖPINGS LÄN</t>
        </is>
      </c>
      <c r="G404" t="inlineStr">
        <is>
          <t>EKSJÖ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13892-2024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45391</v>
      </c>
      <c r="E405" s="1" t="n">
        <v>46289</v>
      </c>
      <c r="F405" t="inlineStr">
        <is>
          <t>JÖNKÖPINGS LÄN</t>
        </is>
      </c>
      <c r="G405" t="inlineStr">
        <is>
          <t>EKSJÖ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9388-2026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46289</v>
      </c>
      <c r="F406" t="inlineStr">
        <is>
          <t>JÖNKÖPINGS LÄN</t>
        </is>
      </c>
      <c r="G406" t="inlineStr">
        <is>
          <t>EKSJÖ</t>
        </is>
      </c>
      <c r="H406" t="inlineStr">
        <is>
          <t>Kommuner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46289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45367-2024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45576</v>
      </c>
      <c r="E408" s="1" t="n">
        <v>46289</v>
      </c>
      <c r="F408" t="inlineStr">
        <is>
          <t>JÖNKÖPINGS LÄN</t>
        </is>
      </c>
      <c r="G408" t="inlineStr">
        <is>
          <t>EKSJÖ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26706-2022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44739</v>
      </c>
      <c r="E409" s="1" t="n">
        <v>46289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71313-2021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44539</v>
      </c>
      <c r="E410" s="1" t="n">
        <v>46289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45842</v>
      </c>
      <c r="E411" s="1" t="n">
        <v>46289</v>
      </c>
      <c r="F411" t="inlineStr">
        <is>
          <t>JÖNKÖPINGS LÄN</t>
        </is>
      </c>
      <c r="G411" t="inlineStr">
        <is>
          <t>EKSJÖ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44939</v>
      </c>
      <c r="E412" s="1" t="n">
        <v>46289</v>
      </c>
      <c r="F412" t="inlineStr">
        <is>
          <t>JÖNKÖPINGS LÄN</t>
        </is>
      </c>
      <c r="G412" t="inlineStr">
        <is>
          <t>EKSJÖ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45086</v>
      </c>
      <c r="E413" s="1" t="n">
        <v>46289</v>
      </c>
      <c r="F413" t="inlineStr">
        <is>
          <t>JÖNKÖPINGS LÄN</t>
        </is>
      </c>
      <c r="G413" t="inlineStr">
        <is>
          <t>EKSJÖ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26054-2023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46289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44974</v>
      </c>
      <c r="E415" s="1" t="n">
        <v>46289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45051</v>
      </c>
      <c r="E416" s="1" t="n">
        <v>46289</v>
      </c>
      <c r="F416" t="inlineStr">
        <is>
          <t>JÖNKÖPINGS LÄN</t>
        </is>
      </c>
      <c r="G416" t="inlineStr">
        <is>
          <t>EKSJÖ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46289</v>
      </c>
      <c r="F417" t="inlineStr">
        <is>
          <t>JÖNKÖPINGS LÄN</t>
        </is>
      </c>
      <c r="G417" t="inlineStr">
        <is>
          <t>EKSJÖ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33644-2022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44789</v>
      </c>
      <c r="E418" s="1" t="n">
        <v>46289</v>
      </c>
      <c r="F418" t="inlineStr">
        <is>
          <t>JÖNKÖPINGS LÄN</t>
        </is>
      </c>
      <c r="G418" t="inlineStr">
        <is>
          <t>EKSJÖ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45695</v>
      </c>
      <c r="E419" s="1" t="n">
        <v>46289</v>
      </c>
      <c r="F419" t="inlineStr">
        <is>
          <t>JÖNKÖPINGS LÄN</t>
        </is>
      </c>
      <c r="G419" t="inlineStr">
        <is>
          <t>EKSJÖ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45411</v>
      </c>
      <c r="E420" s="1" t="n">
        <v>46289</v>
      </c>
      <c r="F420" t="inlineStr">
        <is>
          <t>JÖNKÖPINGS LÄN</t>
        </is>
      </c>
      <c r="G420" t="inlineStr">
        <is>
          <t>EKSJÖ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45785</v>
      </c>
      <c r="E421" s="1" t="n">
        <v>46289</v>
      </c>
      <c r="F421" t="inlineStr">
        <is>
          <t>JÖNKÖPINGS LÄN</t>
        </is>
      </c>
      <c r="G421" t="inlineStr">
        <is>
          <t>EKSJÖ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46289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46289</v>
      </c>
      <c r="F423" t="inlineStr">
        <is>
          <t>JÖNKÖPINGS LÄN</t>
        </is>
      </c>
      <c r="G423" t="inlineStr">
        <is>
          <t>EKSJÖ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46289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44925</v>
      </c>
      <c r="E425" s="1" t="n">
        <v>46289</v>
      </c>
      <c r="F425" t="inlineStr">
        <is>
          <t>JÖNKÖPINGS LÄN</t>
        </is>
      </c>
      <c r="G425" t="inlineStr">
        <is>
          <t>EKSJÖ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15750-2026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46107</v>
      </c>
      <c r="E426" s="1" t="n">
        <v>46289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15755-2026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46289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46289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46289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46289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23869-2023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45078</v>
      </c>
      <c r="E431" s="1" t="n">
        <v>46289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45154</v>
      </c>
      <c r="E432" s="1" t="n">
        <v>46289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65554-2021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44516</v>
      </c>
      <c r="E433" s="1" t="n">
        <v>46289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46289</v>
      </c>
      <c r="F434" t="inlineStr">
        <is>
          <t>JÖNKÖPINGS LÄN</t>
        </is>
      </c>
      <c r="G434" t="inlineStr">
        <is>
          <t>EKSJÖ</t>
        </is>
      </c>
      <c r="H434" t="inlineStr">
        <is>
          <t>Kommuner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46289</v>
      </c>
      <c r="F435" t="inlineStr">
        <is>
          <t>JÖNKÖPINGS LÄN</t>
        </is>
      </c>
      <c r="G435" t="inlineStr">
        <is>
          <t>EKSJÖ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45461</v>
      </c>
      <c r="E436" s="1" t="n">
        <v>46289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45860</v>
      </c>
      <c r="E437" s="1" t="n">
        <v>46289</v>
      </c>
      <c r="F437" t="inlineStr">
        <is>
          <t>JÖNKÖPINGS LÄN</t>
        </is>
      </c>
      <c r="G437" t="inlineStr">
        <is>
          <t>EKSJÖ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45860</v>
      </c>
      <c r="E438" s="1" t="n">
        <v>46289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45278</v>
      </c>
      <c r="E439" s="1" t="n">
        <v>46289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46289</v>
      </c>
      <c r="F440" t="inlineStr">
        <is>
          <t>JÖNKÖPINGS LÄN</t>
        </is>
      </c>
      <c r="G440" t="inlineStr">
        <is>
          <t>EKSJÖ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28024-2022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44746</v>
      </c>
      <c r="E441" s="1" t="n">
        <v>46289</v>
      </c>
      <c r="F441" t="inlineStr">
        <is>
          <t>JÖNKÖPINGS LÄN</t>
        </is>
      </c>
      <c r="G441" t="inlineStr">
        <is>
          <t>EKSJÖ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32333-2022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44781</v>
      </c>
      <c r="E442" s="1" t="n">
        <v>46289</v>
      </c>
      <c r="F442" t="inlineStr">
        <is>
          <t>JÖNKÖPINGS LÄN</t>
        </is>
      </c>
      <c r="G442" t="inlineStr">
        <is>
          <t>EKSJÖ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44781</v>
      </c>
      <c r="E443" s="1" t="n">
        <v>46289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46113</v>
      </c>
      <c r="E444" s="1" t="n">
        <v>46289</v>
      </c>
      <c r="F444" t="inlineStr">
        <is>
          <t>JÖNKÖPINGS LÄN</t>
        </is>
      </c>
      <c r="G444" t="inlineStr">
        <is>
          <t>EKSJÖ</t>
        </is>
      </c>
      <c r="H444" t="inlineStr">
        <is>
          <t>Övriga Aktiebolag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46113</v>
      </c>
      <c r="E445" s="1" t="n">
        <v>46289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46289</v>
      </c>
      <c r="F446" t="inlineStr">
        <is>
          <t>JÖNKÖPINGS LÄN</t>
        </is>
      </c>
      <c r="G446" t="inlineStr">
        <is>
          <t>EKSJÖ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46289</v>
      </c>
      <c r="F447" t="inlineStr">
        <is>
          <t>JÖNKÖPINGS LÄN</t>
        </is>
      </c>
      <c r="G447" t="inlineStr">
        <is>
          <t>EKSJÖ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45680</v>
      </c>
      <c r="E448" s="1" t="n">
        <v>46289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45866</v>
      </c>
      <c r="E449" s="1" t="n">
        <v>46289</v>
      </c>
      <c r="F449" t="inlineStr">
        <is>
          <t>JÖNKÖPINGS LÄN</t>
        </is>
      </c>
      <c r="G449" t="inlineStr">
        <is>
          <t>EKSJÖ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46289</v>
      </c>
      <c r="F450" t="inlineStr">
        <is>
          <t>JÖNKÖPINGS LÄN</t>
        </is>
      </c>
      <c r="G450" t="inlineStr">
        <is>
          <t>EKSJÖ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46289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64541-2023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45281</v>
      </c>
      <c r="E452" s="1" t="n">
        <v>46289</v>
      </c>
      <c r="F452" t="inlineStr">
        <is>
          <t>JÖNKÖPINGS LÄN</t>
        </is>
      </c>
      <c r="G452" t="inlineStr">
        <is>
          <t>EKSJÖ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44949</v>
      </c>
      <c r="E453" s="1" t="n">
        <v>46289</v>
      </c>
      <c r="F453" t="inlineStr">
        <is>
          <t>JÖNKÖPINGS LÄN</t>
        </is>
      </c>
      <c r="G453" t="inlineStr">
        <is>
          <t>EKSJÖ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46289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46127</v>
      </c>
      <c r="E455" s="1" t="n">
        <v>46289</v>
      </c>
      <c r="F455" t="inlineStr">
        <is>
          <t>JÖNKÖPINGS LÄN</t>
        </is>
      </c>
      <c r="G455" t="inlineStr">
        <is>
          <t>EKSJÖ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46289</v>
      </c>
      <c r="F456" t="inlineStr">
        <is>
          <t>JÖNKÖPINGS LÄN</t>
        </is>
      </c>
      <c r="G456" t="inlineStr">
        <is>
          <t>EKSJÖ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46289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64993-2023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45286</v>
      </c>
      <c r="E458" s="1" t="n">
        <v>46289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46289</v>
      </c>
      <c r="F459" t="inlineStr">
        <is>
          <t>JÖNKÖPINGS LÄN</t>
        </is>
      </c>
      <c r="G459" t="inlineStr">
        <is>
          <t>EKSJÖ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45874</v>
      </c>
      <c r="E460" s="1" t="n">
        <v>46289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45659</v>
      </c>
      <c r="E461" s="1" t="n">
        <v>46289</v>
      </c>
      <c r="F461" t="inlineStr">
        <is>
          <t>JÖNKÖPINGS LÄN</t>
        </is>
      </c>
      <c r="G461" t="inlineStr">
        <is>
          <t>EKSJÖ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18337-2025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45762</v>
      </c>
      <c r="E462" s="1" t="n">
        <v>46289</v>
      </c>
      <c r="F462" t="inlineStr">
        <is>
          <t>JÖNKÖPINGS LÄN</t>
        </is>
      </c>
      <c r="G462" t="inlineStr">
        <is>
          <t>EKSJÖ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11022-2024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45370</v>
      </c>
      <c r="E463" s="1" t="n">
        <v>46289</v>
      </c>
      <c r="F463" t="inlineStr">
        <is>
          <t>JÖNKÖPINGS LÄN</t>
        </is>
      </c>
      <c r="G463" t="inlineStr">
        <is>
          <t>EKSJÖ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45075</v>
      </c>
      <c r="E464" s="1" t="n">
        <v>46289</v>
      </c>
      <c r="F464" t="inlineStr">
        <is>
          <t>JÖNKÖPINGS LÄN</t>
        </is>
      </c>
      <c r="G464" t="inlineStr">
        <is>
          <t>EKSJÖ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27395-2023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45096</v>
      </c>
      <c r="E465" s="1" t="n">
        <v>46289</v>
      </c>
      <c r="F465" t="inlineStr">
        <is>
          <t>JÖNKÖPINGS LÄN</t>
        </is>
      </c>
      <c r="G465" t="inlineStr">
        <is>
          <t>EKSJÖ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36306-2023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45152</v>
      </c>
      <c r="E466" s="1" t="n">
        <v>46289</v>
      </c>
      <c r="F466" t="inlineStr">
        <is>
          <t>JÖNKÖPINGS LÄN</t>
        </is>
      </c>
      <c r="G466" t="inlineStr">
        <is>
          <t>EKSJÖ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45628</v>
      </c>
      <c r="E467" s="1" t="n">
        <v>46289</v>
      </c>
      <c r="F467" t="inlineStr">
        <is>
          <t>JÖNKÖPINGS LÄN</t>
        </is>
      </c>
      <c r="G467" t="inlineStr">
        <is>
          <t>EKSJÖ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45842</v>
      </c>
      <c r="E468" s="1" t="n">
        <v>46289</v>
      </c>
      <c r="F468" t="inlineStr">
        <is>
          <t>JÖNKÖPINGS LÄN</t>
        </is>
      </c>
      <c r="G468" t="inlineStr">
        <is>
          <t>EKSJÖ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53053-2021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44467</v>
      </c>
      <c r="E469" s="1" t="n">
        <v>46289</v>
      </c>
      <c r="F469" t="inlineStr">
        <is>
          <t>JÖNKÖPINGS LÄN</t>
        </is>
      </c>
      <c r="G469" t="inlineStr">
        <is>
          <t>EKSJÖ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46289</v>
      </c>
      <c r="F470" t="inlineStr">
        <is>
          <t>JÖNKÖPINGS LÄN</t>
        </is>
      </c>
      <c r="G470" t="inlineStr">
        <is>
          <t>EKSJÖ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44925</v>
      </c>
      <c r="E471" s="1" t="n">
        <v>46289</v>
      </c>
      <c r="F471" t="inlineStr">
        <is>
          <t>JÖNKÖPINGS LÄN</t>
        </is>
      </c>
      <c r="G471" t="inlineStr">
        <is>
          <t>EKSJÖ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46289</v>
      </c>
      <c r="F472" t="inlineStr">
        <is>
          <t>JÖNKÖPINGS LÄN</t>
        </is>
      </c>
      <c r="G472" t="inlineStr">
        <is>
          <t>EKSJÖ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38102-2025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46289</v>
      </c>
      <c r="F473" t="inlineStr">
        <is>
          <t>JÖNKÖPINGS LÄN</t>
        </is>
      </c>
      <c r="G473" t="inlineStr">
        <is>
          <t>EKSJÖ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46289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44940</v>
      </c>
      <c r="E475" s="1" t="n">
        <v>46289</v>
      </c>
      <c r="F475" t="inlineStr">
        <is>
          <t>JÖNKÖPINGS LÄN</t>
        </is>
      </c>
      <c r="G475" t="inlineStr">
        <is>
          <t>EKSJÖ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44941</v>
      </c>
      <c r="E476" s="1" t="n">
        <v>46289</v>
      </c>
      <c r="F476" t="inlineStr">
        <is>
          <t>JÖNKÖPINGS LÄN</t>
        </is>
      </c>
      <c r="G476" t="inlineStr">
        <is>
          <t>EKSJÖ</t>
        </is>
      </c>
      <c r="H476" t="inlineStr">
        <is>
          <t>Övriga Aktiebolag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45877</v>
      </c>
      <c r="E477" s="1" t="n">
        <v>46289</v>
      </c>
      <c r="F477" t="inlineStr">
        <is>
          <t>JÖNKÖPINGS LÄN</t>
        </is>
      </c>
      <c r="G477" t="inlineStr">
        <is>
          <t>EKSJÖ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28438-2025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46289</v>
      </c>
      <c r="F478" t="inlineStr">
        <is>
          <t>JÖNKÖPINGS LÄN</t>
        </is>
      </c>
      <c r="G478" t="inlineStr">
        <is>
          <t>EKSJÖ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45842</v>
      </c>
      <c r="E479" s="1" t="n">
        <v>46289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49919-2023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45214</v>
      </c>
      <c r="E480" s="1" t="n">
        <v>46289</v>
      </c>
      <c r="F480" t="inlineStr">
        <is>
          <t>JÖNKÖPINGS LÄN</t>
        </is>
      </c>
      <c r="G480" t="inlineStr">
        <is>
          <t>EKSJÖ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46289</v>
      </c>
      <c r="F481" t="inlineStr">
        <is>
          <t>JÖNKÖPINGS LÄN</t>
        </is>
      </c>
      <c r="G481" t="inlineStr">
        <is>
          <t>EKSJÖ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45894</v>
      </c>
      <c r="E482" s="1" t="n">
        <v>46289</v>
      </c>
      <c r="F482" t="inlineStr">
        <is>
          <t>JÖNKÖPINGS LÄN</t>
        </is>
      </c>
      <c r="G482" t="inlineStr">
        <is>
          <t>EKSJÖ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45762</v>
      </c>
      <c r="E483" s="1" t="n">
        <v>46289</v>
      </c>
      <c r="F483" t="inlineStr">
        <is>
          <t>JÖNKÖPINGS LÄN</t>
        </is>
      </c>
      <c r="G483" t="inlineStr">
        <is>
          <t>EKSJÖ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49681-2023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45212</v>
      </c>
      <c r="E484" s="1" t="n">
        <v>46289</v>
      </c>
      <c r="F484" t="inlineStr">
        <is>
          <t>JÖNKÖPINGS LÄN</t>
        </is>
      </c>
      <c r="G484" t="inlineStr">
        <is>
          <t>EKSJÖ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61850-2024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45649</v>
      </c>
      <c r="E485" s="1" t="n">
        <v>46289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34772-2023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45141</v>
      </c>
      <c r="E486" s="1" t="n">
        <v>46289</v>
      </c>
      <c r="F486" t="inlineStr">
        <is>
          <t>JÖNKÖPINGS LÄN</t>
        </is>
      </c>
      <c r="G486" t="inlineStr">
        <is>
          <t>EKSJÖ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50516-2025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45945</v>
      </c>
      <c r="E487" s="1" t="n">
        <v>46289</v>
      </c>
      <c r="F487" t="inlineStr">
        <is>
          <t>JÖNKÖPINGS LÄN</t>
        </is>
      </c>
      <c r="G487" t="inlineStr">
        <is>
          <t>EKSJÖ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20068-2023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45054</v>
      </c>
      <c r="E488" s="1" t="n">
        <v>46289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44846</v>
      </c>
      <c r="E489" s="1" t="n">
        <v>46289</v>
      </c>
      <c r="F489" t="inlineStr">
        <is>
          <t>JÖNKÖPINGS LÄN</t>
        </is>
      </c>
      <c r="G489" t="inlineStr">
        <is>
          <t>EKSJÖ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46289</v>
      </c>
      <c r="F490" t="inlineStr">
        <is>
          <t>JÖNKÖPINGS LÄN</t>
        </is>
      </c>
      <c r="G490" t="inlineStr">
        <is>
          <t>EKSJÖ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45493-2022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44845</v>
      </c>
      <c r="E491" s="1" t="n">
        <v>46289</v>
      </c>
      <c r="F491" t="inlineStr">
        <is>
          <t>JÖNKÖPINGS LÄN</t>
        </is>
      </c>
      <c r="G491" t="inlineStr">
        <is>
          <t>EKSJÖ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46289</v>
      </c>
      <c r="F492" t="inlineStr">
        <is>
          <t>JÖNKÖPINGS LÄN</t>
        </is>
      </c>
      <c r="G492" t="inlineStr">
        <is>
          <t>EKSJÖ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46289</v>
      </c>
      <c r="F493" t="inlineStr">
        <is>
          <t>JÖNKÖPINGS LÄN</t>
        </is>
      </c>
      <c r="G493" t="inlineStr">
        <is>
          <t>EKSJÖ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44803</v>
      </c>
      <c r="E494" s="1" t="n">
        <v>46289</v>
      </c>
      <c r="F494" t="inlineStr">
        <is>
          <t>JÖNKÖPINGS LÄN</t>
        </is>
      </c>
      <c r="G494" t="inlineStr">
        <is>
          <t>EKSJÖ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45208</v>
      </c>
      <c r="E495" s="1" t="n">
        <v>46289</v>
      </c>
      <c r="F495" t="inlineStr">
        <is>
          <t>JÖNKÖPINGS LÄN</t>
        </is>
      </c>
      <c r="G495" t="inlineStr">
        <is>
          <t>EKSJÖ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45107</v>
      </c>
      <c r="E496" s="1" t="n">
        <v>46289</v>
      </c>
      <c r="F496" t="inlineStr">
        <is>
          <t>JÖNKÖPINGS LÄN</t>
        </is>
      </c>
      <c r="G496" t="inlineStr">
        <is>
          <t>EKSJÖ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44925</v>
      </c>
      <c r="E497" s="1" t="n">
        <v>46289</v>
      </c>
      <c r="F497" t="inlineStr">
        <is>
          <t>JÖNKÖPINGS LÄN</t>
        </is>
      </c>
      <c r="G497" t="inlineStr">
        <is>
          <t>EKSJÖ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45818</v>
      </c>
      <c r="E498" s="1" t="n">
        <v>46289</v>
      </c>
      <c r="F498" t="inlineStr">
        <is>
          <t>JÖNKÖPINGS LÄN</t>
        </is>
      </c>
      <c r="G498" t="inlineStr">
        <is>
          <t>EKSJÖ</t>
        </is>
      </c>
      <c r="H498" t="inlineStr">
        <is>
          <t>Övriga Aktiebolag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11723-2024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46289</v>
      </c>
      <c r="F499" t="inlineStr">
        <is>
          <t>JÖNKÖPINGS LÄN</t>
        </is>
      </c>
      <c r="G499" t="inlineStr">
        <is>
          <t>EKSJÖ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50410-2024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45601</v>
      </c>
      <c r="E500" s="1" t="n">
        <v>46289</v>
      </c>
      <c r="F500" t="inlineStr">
        <is>
          <t>JÖNKÖPINGS LÄN</t>
        </is>
      </c>
      <c r="G500" t="inlineStr">
        <is>
          <t>EKSJÖ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45308</v>
      </c>
      <c r="E501" s="1" t="n">
        <v>46289</v>
      </c>
      <c r="F501" t="inlineStr">
        <is>
          <t>JÖNKÖPINGS LÄN</t>
        </is>
      </c>
      <c r="G501" t="inlineStr">
        <is>
          <t>EKSJÖ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46289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45463</v>
      </c>
      <c r="E503" s="1" t="n">
        <v>46289</v>
      </c>
      <c r="F503" t="inlineStr">
        <is>
          <t>JÖNKÖPINGS LÄN</t>
        </is>
      </c>
      <c r="G503" t="inlineStr">
        <is>
          <t>EKSJÖ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38201-2023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46289</v>
      </c>
      <c r="F504" t="inlineStr">
        <is>
          <t>JÖNKÖPINGS LÄN</t>
        </is>
      </c>
      <c r="G504" t="inlineStr">
        <is>
          <t>EKSJÖ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54470-2024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45617</v>
      </c>
      <c r="E505" s="1" t="n">
        <v>46289</v>
      </c>
      <c r="F505" t="inlineStr">
        <is>
          <t>JÖNKÖPINGS LÄN</t>
        </is>
      </c>
      <c r="G505" t="inlineStr">
        <is>
          <t>EKSJÖ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38106-2025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45882</v>
      </c>
      <c r="E506" s="1" t="n">
        <v>46289</v>
      </c>
      <c r="F506" t="inlineStr">
        <is>
          <t>JÖNKÖPINGS LÄN</t>
        </is>
      </c>
      <c r="G506" t="inlineStr">
        <is>
          <t>EKSJÖ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46289</v>
      </c>
      <c r="F507" t="inlineStr">
        <is>
          <t>JÖNKÖPINGS LÄN</t>
        </is>
      </c>
      <c r="G507" t="inlineStr">
        <is>
          <t>EKSJÖ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27775-2024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45475</v>
      </c>
      <c r="E508" s="1" t="n">
        <v>46289</v>
      </c>
      <c r="F508" t="inlineStr">
        <is>
          <t>JÖNKÖPINGS LÄN</t>
        </is>
      </c>
      <c r="G508" t="inlineStr">
        <is>
          <t>EKSJÖ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46289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45677</v>
      </c>
      <c r="E510" s="1" t="n">
        <v>46289</v>
      </c>
      <c r="F510" t="inlineStr">
        <is>
          <t>JÖNKÖPINGS LÄN</t>
        </is>
      </c>
      <c r="G510" t="inlineStr">
        <is>
          <t>EKSJÖ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10972-2025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46289</v>
      </c>
      <c r="F511" t="inlineStr">
        <is>
          <t>JÖNKÖPINGS LÄN</t>
        </is>
      </c>
      <c r="G511" t="inlineStr">
        <is>
          <t>EKSJÖ</t>
        </is>
      </c>
      <c r="I511" t="n">
        <v>8.6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51541-2023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45222</v>
      </c>
      <c r="E512" s="1" t="n">
        <v>46289</v>
      </c>
      <c r="F512" t="inlineStr">
        <is>
          <t>JÖNKÖPINGS LÄN</t>
        </is>
      </c>
      <c r="G512" t="inlineStr">
        <is>
          <t>EKSJÖ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45338</v>
      </c>
      <c r="E513" s="1" t="n">
        <v>46289</v>
      </c>
      <c r="F513" t="inlineStr">
        <is>
          <t>JÖNKÖPINGS LÄN</t>
        </is>
      </c>
      <c r="G513" t="inlineStr">
        <is>
          <t>EKSJÖ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45016-2024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45575</v>
      </c>
      <c r="E514" s="1" t="n">
        <v>46289</v>
      </c>
      <c r="F514" t="inlineStr">
        <is>
          <t>JÖNKÖPINGS LÄN</t>
        </is>
      </c>
      <c r="G514" t="inlineStr">
        <is>
          <t>EKSJÖ</t>
        </is>
      </c>
      <c r="H514" t="inlineStr">
        <is>
          <t>Övriga Aktiebolag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44991</v>
      </c>
      <c r="E515" s="1" t="n">
        <v>46289</v>
      </c>
      <c r="F515" t="inlineStr">
        <is>
          <t>JÖNKÖPINGS LÄN</t>
        </is>
      </c>
      <c r="G515" t="inlineStr">
        <is>
          <t>EKSJÖ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50287-2024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45600</v>
      </c>
      <c r="E516" s="1" t="n">
        <v>46289</v>
      </c>
      <c r="F516" t="inlineStr">
        <is>
          <t>JÖNKÖPINGS LÄN</t>
        </is>
      </c>
      <c r="G516" t="inlineStr">
        <is>
          <t>EKSJÖ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46289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19469-2025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45770</v>
      </c>
      <c r="E518" s="1" t="n">
        <v>46289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46289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46289</v>
      </c>
      <c r="F520" t="inlineStr">
        <is>
          <t>JÖNKÖPINGS LÄN</t>
        </is>
      </c>
      <c r="G520" t="inlineStr">
        <is>
          <t>EKSJÖ</t>
        </is>
      </c>
      <c r="H520" t="inlineStr">
        <is>
          <t>Kommuner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20960-2025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45777</v>
      </c>
      <c r="E521" s="1" t="n">
        <v>46289</v>
      </c>
      <c r="F521" t="inlineStr">
        <is>
          <t>JÖNKÖPINGS LÄN</t>
        </is>
      </c>
      <c r="G521" t="inlineStr">
        <is>
          <t>EKSJÖ</t>
        </is>
      </c>
      <c r="H521" t="inlineStr">
        <is>
          <t>Kommuner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21224-2025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45779</v>
      </c>
      <c r="E522" s="1" t="n">
        <v>46289</v>
      </c>
      <c r="F522" t="inlineStr">
        <is>
          <t>JÖNKÖPINGS LÄN</t>
        </is>
      </c>
      <c r="G522" t="inlineStr">
        <is>
          <t>EKSJÖ</t>
        </is>
      </c>
      <c r="H522" t="inlineStr">
        <is>
          <t>Kommuner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45637</v>
      </c>
      <c r="E523" s="1" t="n">
        <v>46289</v>
      </c>
      <c r="F523" t="inlineStr">
        <is>
          <t>JÖNKÖPINGS LÄN</t>
        </is>
      </c>
      <c r="G523" t="inlineStr">
        <is>
          <t>EKSJÖ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45175</v>
      </c>
      <c r="E524" s="1" t="n">
        <v>46289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63439-2025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46013</v>
      </c>
      <c r="E525" s="1" t="n">
        <v>46289</v>
      </c>
      <c r="F525" t="inlineStr">
        <is>
          <t>JÖNKÖPINGS LÄN</t>
        </is>
      </c>
      <c r="G525" t="inlineStr">
        <is>
          <t>EKSJÖ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46289</v>
      </c>
      <c r="F526" t="inlineStr">
        <is>
          <t>JÖNKÖPINGS LÄN</t>
        </is>
      </c>
      <c r="G526" t="inlineStr">
        <is>
          <t>EKSJÖ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60920-2025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45996</v>
      </c>
      <c r="E527" s="1" t="n">
        <v>46289</v>
      </c>
      <c r="F527" t="inlineStr">
        <is>
          <t>JÖNKÖPINGS LÄN</t>
        </is>
      </c>
      <c r="G527" t="inlineStr">
        <is>
          <t>EKSJÖ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46289</v>
      </c>
      <c r="F528" t="inlineStr">
        <is>
          <t>JÖNKÖPINGS LÄN</t>
        </is>
      </c>
      <c r="G528" t="inlineStr">
        <is>
          <t>EKSJÖ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46289</v>
      </c>
      <c r="F529" t="inlineStr">
        <is>
          <t>JÖNKÖPINGS LÄN</t>
        </is>
      </c>
      <c r="G529" t="inlineStr">
        <is>
          <t>EKSJÖ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23535-2026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46289</v>
      </c>
      <c r="F530" t="inlineStr">
        <is>
          <t>JÖNKÖPINGS LÄN</t>
        </is>
      </c>
      <c r="G530" t="inlineStr">
        <is>
          <t>EKSJÖ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46289</v>
      </c>
      <c r="F531" t="inlineStr">
        <is>
          <t>JÖNKÖPINGS LÄN</t>
        </is>
      </c>
      <c r="G531" t="inlineStr">
        <is>
          <t>EKSJÖ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46289</v>
      </c>
      <c r="F532" t="inlineStr">
        <is>
          <t>JÖNKÖPINGS LÄN</t>
        </is>
      </c>
      <c r="G532" t="inlineStr">
        <is>
          <t>EKSJÖ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23488-2026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46163</v>
      </c>
      <c r="E533" s="1" t="n">
        <v>46289</v>
      </c>
      <c r="F533" t="inlineStr">
        <is>
          <t>JÖNKÖPINGS LÄN</t>
        </is>
      </c>
      <c r="G533" t="inlineStr">
        <is>
          <t>EKSJÖ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46289</v>
      </c>
      <c r="F534" t="inlineStr">
        <is>
          <t>JÖNKÖPINGS LÄN</t>
        </is>
      </c>
      <c r="G534" t="inlineStr">
        <is>
          <t>EKSJÖ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46289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45916</v>
      </c>
      <c r="E536" s="1" t="n">
        <v>46289</v>
      </c>
      <c r="F536" t="inlineStr">
        <is>
          <t>JÖNKÖPINGS LÄN</t>
        </is>
      </c>
      <c r="G536" t="inlineStr">
        <is>
          <t>EKSJÖ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46289</v>
      </c>
      <c r="F537" t="inlineStr">
        <is>
          <t>JÖNKÖPINGS LÄN</t>
        </is>
      </c>
      <c r="G537" t="inlineStr">
        <is>
          <t>EKSJÖ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46289</v>
      </c>
      <c r="F538" t="inlineStr">
        <is>
          <t>JÖNKÖPINGS LÄN</t>
        </is>
      </c>
      <c r="G538" t="inlineStr">
        <is>
          <t>EKSJÖ</t>
        </is>
      </c>
      <c r="I538" t="n">
        <v>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46175</v>
      </c>
      <c r="E539" s="1" t="n">
        <v>46289</v>
      </c>
      <c r="F539" t="inlineStr">
        <is>
          <t>JÖNKÖPINGS LÄN</t>
        </is>
      </c>
      <c r="G539" t="inlineStr">
        <is>
          <t>EKSJÖ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46289</v>
      </c>
      <c r="F540" t="inlineStr">
        <is>
          <t>JÖNKÖPINGS LÄN</t>
        </is>
      </c>
      <c r="G540" t="inlineStr">
        <is>
          <t>EKSJÖ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46289</v>
      </c>
      <c r="F541" t="inlineStr">
        <is>
          <t>JÖNKÖPINGS LÄN</t>
        </is>
      </c>
      <c r="G541" t="inlineStr">
        <is>
          <t>EKSJÖ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46289</v>
      </c>
      <c r="F542" t="inlineStr">
        <is>
          <t>JÖNKÖPINGS LÄN</t>
        </is>
      </c>
      <c r="G542" t="inlineStr">
        <is>
          <t>EKSJÖ</t>
        </is>
      </c>
      <c r="H542" t="inlineStr">
        <is>
          <t>Kyrkan</t>
        </is>
      </c>
      <c r="I542" t="n">
        <v>15.2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26405-2026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46289</v>
      </c>
      <c r="F543" t="inlineStr">
        <is>
          <t>JÖNKÖPINGS LÄN</t>
        </is>
      </c>
      <c r="G543" t="inlineStr">
        <is>
          <t>EKSJÖ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46289</v>
      </c>
      <c r="F544" t="inlineStr">
        <is>
          <t>JÖNKÖPINGS LÄN</t>
        </is>
      </c>
      <c r="G544" t="inlineStr">
        <is>
          <t>EKSJÖ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26650-2026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46289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46184</v>
      </c>
      <c r="E546" s="1" t="n">
        <v>46289</v>
      </c>
      <c r="F546" t="inlineStr">
        <is>
          <t>JÖNKÖPINGS LÄN</t>
        </is>
      </c>
      <c r="G546" t="inlineStr">
        <is>
          <t>EKSJÖ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26649-2026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46289</v>
      </c>
      <c r="F547" t="inlineStr">
        <is>
          <t>JÖNKÖPINGS LÄN</t>
        </is>
      </c>
      <c r="G547" t="inlineStr">
        <is>
          <t>EKSJÖ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46289</v>
      </c>
      <c r="F548" t="inlineStr">
        <is>
          <t>JÖNKÖPINGS LÄN</t>
        </is>
      </c>
      <c r="G548" t="inlineStr">
        <is>
          <t>EKSJÖ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46289</v>
      </c>
      <c r="F549" t="inlineStr">
        <is>
          <t>JÖNKÖPINGS LÄN</t>
        </is>
      </c>
      <c r="G549" t="inlineStr">
        <is>
          <t>EKSJÖ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46289</v>
      </c>
      <c r="F550" t="inlineStr">
        <is>
          <t>JÖNKÖPINGS LÄN</t>
        </is>
      </c>
      <c r="G550" t="inlineStr">
        <is>
          <t>EKSJÖ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28486-2026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46289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46199</v>
      </c>
      <c r="E552" s="1" t="n">
        <v>46289</v>
      </c>
      <c r="F552" t="inlineStr">
        <is>
          <t>JÖNKÖPINGS LÄN</t>
        </is>
      </c>
      <c r="G552" t="inlineStr">
        <is>
          <t>EKSJÖ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46289</v>
      </c>
      <c r="F553" t="inlineStr">
        <is>
          <t>JÖNKÖPINGS LÄN</t>
        </is>
      </c>
      <c r="G553" t="inlineStr">
        <is>
          <t>EKSJÖ</t>
        </is>
      </c>
      <c r="I553" t="n">
        <v>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46289</v>
      </c>
      <c r="F554" t="inlineStr">
        <is>
          <t>JÖNKÖPINGS LÄN</t>
        </is>
      </c>
      <c r="G554" t="inlineStr">
        <is>
          <t>EKSJÖ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46289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46289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46289</v>
      </c>
      <c r="F557" t="inlineStr">
        <is>
          <t>JÖNKÖPINGS LÄN</t>
        </is>
      </c>
      <c r="G557" t="inlineStr">
        <is>
          <t>EKSJÖ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31331-2026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46289</v>
      </c>
      <c r="F558" t="inlineStr">
        <is>
          <t>JÖNKÖPINGS LÄN</t>
        </is>
      </c>
      <c r="G558" t="inlineStr">
        <is>
          <t>EKSJÖ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46289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46289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46212</v>
      </c>
      <c r="E561" s="1" t="n">
        <v>46289</v>
      </c>
      <c r="F561" t="inlineStr">
        <is>
          <t>JÖNKÖPINGS LÄN</t>
        </is>
      </c>
      <c r="G561" t="inlineStr">
        <is>
          <t>EKSJÖ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46289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46289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46289</v>
      </c>
      <c r="F564" t="inlineStr">
        <is>
          <t>JÖNKÖPINGS LÄN</t>
        </is>
      </c>
      <c r="G564" t="inlineStr">
        <is>
          <t>EKSJÖ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46289</v>
      </c>
      <c r="F565" t="inlineStr">
        <is>
          <t>JÖNKÖPINGS LÄN</t>
        </is>
      </c>
      <c r="G565" t="inlineStr">
        <is>
          <t>EKSJÖ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46289</v>
      </c>
      <c r="F566" t="inlineStr">
        <is>
          <t>JÖNKÖPINGS LÄN</t>
        </is>
      </c>
      <c r="G566" t="inlineStr">
        <is>
          <t>EKSJÖ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46289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46289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46289</v>
      </c>
      <c r="F569" t="inlineStr">
        <is>
          <t>JÖNKÖPINGS LÄN</t>
        </is>
      </c>
      <c r="G569" t="inlineStr">
        <is>
          <t>EKSJÖ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46289</v>
      </c>
      <c r="F570" t="inlineStr">
        <is>
          <t>JÖNKÖPINGS LÄN</t>
        </is>
      </c>
      <c r="G570" t="inlineStr">
        <is>
          <t>EKSJÖ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19497-2025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46289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46260</v>
      </c>
      <c r="E572" s="1" t="n">
        <v>46289</v>
      </c>
      <c r="F572" t="inlineStr">
        <is>
          <t>JÖNKÖPINGS LÄN</t>
        </is>
      </c>
      <c r="G572" t="inlineStr">
        <is>
          <t>EKSJÖ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46289</v>
      </c>
      <c r="F573" t="inlineStr">
        <is>
          <t>JÖNKÖPINGS LÄN</t>
        </is>
      </c>
      <c r="G573" t="inlineStr">
        <is>
          <t>EKSJÖ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46289</v>
      </c>
      <c r="F574" t="inlineStr">
        <is>
          <t>JÖNKÖPINGS LÄN</t>
        </is>
      </c>
      <c r="G574" t="inlineStr">
        <is>
          <t>EKSJÖ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46247</v>
      </c>
      <c r="E575" s="1" t="n">
        <v>46289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36700-2026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46289</v>
      </c>
      <c r="F576" t="inlineStr">
        <is>
          <t>JÖNKÖPINGS LÄN</t>
        </is>
      </c>
      <c r="G576" t="inlineStr">
        <is>
          <t>EKSJÖ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46289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37074-2026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46273</v>
      </c>
      <c r="E578" s="1" t="n">
        <v>46289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46274</v>
      </c>
      <c r="E579" s="1" t="n">
        <v>46289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38207-2026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46281</v>
      </c>
      <c r="E580" s="1" t="n">
        <v>46289</v>
      </c>
      <c r="F580" t="inlineStr">
        <is>
          <t>JÖNKÖPINGS LÄN</t>
        </is>
      </c>
      <c r="G580" t="inlineStr">
        <is>
          <t>EKSJÖ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545-2024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46289</v>
      </c>
      <c r="F581" t="inlineStr">
        <is>
          <t>JÖNKÖPINGS LÄN</t>
        </is>
      </c>
      <c r="G581" t="inlineStr">
        <is>
          <t>EKSJÖ</t>
        </is>
      </c>
      <c r="I581" t="n">
        <v>40.5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538-2024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46289</v>
      </c>
      <c r="F582" t="inlineStr">
        <is>
          <t>JÖNKÖPINGS LÄN</t>
        </is>
      </c>
      <c r="G582" t="inlineStr">
        <is>
          <t>EKSJÖ</t>
        </is>
      </c>
      <c r="I582" t="n">
        <v>25.6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544-2024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46289</v>
      </c>
      <c r="F583" t="inlineStr">
        <is>
          <t>JÖNKÖPINGS LÄN</t>
        </is>
      </c>
      <c r="G583" t="inlineStr">
        <is>
          <t>EKSJÖ</t>
        </is>
      </c>
      <c r="I583" t="n">
        <v>37.3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549-2024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46289</v>
      </c>
      <c r="F584" t="inlineStr">
        <is>
          <t>JÖNKÖPINGS LÄN</t>
        </is>
      </c>
      <c r="G584" t="inlineStr">
        <is>
          <t>EKSJÖ</t>
        </is>
      </c>
      <c r="I584" t="n">
        <v>30.9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46289</v>
      </c>
      <c r="F585" t="inlineStr">
        <is>
          <t>JÖNKÖPINGS LÄN</t>
        </is>
      </c>
      <c r="G585" t="inlineStr">
        <is>
          <t>EKSJÖ</t>
        </is>
      </c>
      <c r="I585" t="n">
        <v>33.4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46289</v>
      </c>
      <c r="F586" t="inlineStr">
        <is>
          <t>JÖNKÖPINGS LÄN</t>
        </is>
      </c>
      <c r="G586" t="inlineStr">
        <is>
          <t>EKSJÖ</t>
        </is>
      </c>
      <c r="I586" t="n">
        <v>22.7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541-2024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46289</v>
      </c>
      <c r="F587" t="inlineStr">
        <is>
          <t>JÖNKÖPINGS LÄN</t>
        </is>
      </c>
      <c r="G587" t="inlineStr">
        <is>
          <t>EKSJÖ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2270-2023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46289</v>
      </c>
      <c r="F588" t="inlineStr">
        <is>
          <t>JÖNKÖPINGS LÄN</t>
        </is>
      </c>
      <c r="G588" t="inlineStr">
        <is>
          <t>EKSJÖ</t>
        </is>
      </c>
      <c r="I588" t="n">
        <v>9.9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4938-2024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45628</v>
      </c>
      <c r="E589" s="1" t="n">
        <v>46289</v>
      </c>
      <c r="F589" t="inlineStr">
        <is>
          <t>JÖNKÖPINGS LÄN</t>
        </is>
      </c>
      <c r="G589" t="inlineStr">
        <is>
          <t>EKSJÖ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546-2024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46289</v>
      </c>
      <c r="F590" t="inlineStr">
        <is>
          <t>JÖNKÖPINGS LÄN</t>
        </is>
      </c>
      <c r="G590" t="inlineStr">
        <is>
          <t>EKSJÖ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46289</v>
      </c>
      <c r="F591" t="inlineStr">
        <is>
          <t>JÖNKÖPINGS LÄN</t>
        </is>
      </c>
      <c r="G591" t="inlineStr">
        <is>
          <t>EKSJÖ</t>
        </is>
      </c>
      <c r="I591" t="n">
        <v>25.9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543-2024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46289</v>
      </c>
      <c r="F592" t="inlineStr">
        <is>
          <t>JÖNKÖPINGS LÄN</t>
        </is>
      </c>
      <c r="G592" t="inlineStr">
        <is>
          <t>EKSJÖ</t>
        </is>
      </c>
      <c r="I592" t="n">
        <v>21.4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1407-2023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46289</v>
      </c>
      <c r="F593" t="inlineStr">
        <is>
          <t>JÖNKÖPINGS LÄN</t>
        </is>
      </c>
      <c r="G593" t="inlineStr">
        <is>
          <t>EKSJÖ</t>
        </is>
      </c>
      <c r="I593" t="n">
        <v>60.7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539-2024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46289</v>
      </c>
      <c r="F594" t="inlineStr">
        <is>
          <t>JÖNKÖPINGS LÄN</t>
        </is>
      </c>
      <c r="G594" t="inlineStr">
        <is>
          <t>EKSJÖ</t>
        </is>
      </c>
      <c r="I594" t="n">
        <v>41.7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2244-2023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45100</v>
      </c>
      <c r="E595" s="1" t="n">
        <v>46289</v>
      </c>
      <c r="F595" t="inlineStr">
        <is>
          <t>JÖNKÖPINGS LÄN</t>
        </is>
      </c>
      <c r="G595" t="inlineStr">
        <is>
          <t>EKSJÖ</t>
        </is>
      </c>
      <c r="I595" t="n">
        <v>26.1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2704-2023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45155</v>
      </c>
      <c r="E596" s="1" t="n">
        <v>46289</v>
      </c>
      <c r="F596" t="inlineStr">
        <is>
          <t>JÖNKÖPINGS LÄN</t>
        </is>
      </c>
      <c r="G596" t="inlineStr">
        <is>
          <t>EKSJÖ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1298-2025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45770</v>
      </c>
      <c r="E597" s="1" t="n">
        <v>46289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949-2025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45741</v>
      </c>
      <c r="E598" s="1" t="n">
        <v>46289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583-2025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45712</v>
      </c>
      <c r="E599" s="1" t="n">
        <v>46289</v>
      </c>
      <c r="F599" t="inlineStr">
        <is>
          <t>JÖNKÖPINGS LÄN</t>
        </is>
      </c>
      <c r="G599" t="inlineStr">
        <is>
          <t>EKSJÖ</t>
        </is>
      </c>
      <c r="I599" t="n">
        <v>18.6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524-2025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45707</v>
      </c>
      <c r="E600" s="1" t="n">
        <v>46289</v>
      </c>
      <c r="F600" t="inlineStr">
        <is>
          <t>JÖNKÖPINGS LÄN</t>
        </is>
      </c>
      <c r="G600" t="inlineStr">
        <is>
          <t>EKSJÖ</t>
        </is>
      </c>
      <c r="I600" t="n">
        <v>114.6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1670-2025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45804</v>
      </c>
      <c r="E601" s="1" t="n">
        <v>46289</v>
      </c>
      <c r="F601" t="inlineStr">
        <is>
          <t>JÖNKÖPINGS LÄN</t>
        </is>
      </c>
      <c r="G601" t="inlineStr">
        <is>
          <t>EKSJÖ</t>
        </is>
      </c>
      <c r="I601" t="n">
        <v>21.5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2606-2025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45916</v>
      </c>
      <c r="E602" s="1" t="n">
        <v>46289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2834-2025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45940</v>
      </c>
      <c r="E603" s="1" t="n">
        <v>46289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1004-2026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46121</v>
      </c>
      <c r="E604" s="1" t="n">
        <v>46289</v>
      </c>
      <c r="F604" t="inlineStr">
        <is>
          <t>JÖNKÖPINGS LÄN</t>
        </is>
      </c>
      <c r="G604" t="inlineStr">
        <is>
          <t>EKSJÖ</t>
        </is>
      </c>
      <c r="I604" t="n">
        <v>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1412-2026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46154</v>
      </c>
      <c r="E605" s="1" t="n">
        <v>46289</v>
      </c>
      <c r="F605" t="inlineStr">
        <is>
          <t>JÖNKÖPINGS LÄN</t>
        </is>
      </c>
      <c r="G605" t="inlineStr">
        <is>
          <t>EKSJÖ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1521-2026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46166</v>
      </c>
      <c r="E606" s="1" t="n">
        <v>46289</v>
      </c>
      <c r="F606" t="inlineStr">
        <is>
          <t>JÖNKÖPINGS LÄN</t>
        </is>
      </c>
      <c r="G606" t="inlineStr">
        <is>
          <t>EKSJÖ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1826-2026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46289</v>
      </c>
      <c r="F607" t="inlineStr">
        <is>
          <t>JÖNKÖPINGS LÄN</t>
        </is>
      </c>
      <c r="G607" t="inlineStr">
        <is>
          <t>EKSJÖ</t>
        </is>
      </c>
      <c r="I607" t="n">
        <v>117.5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1825-2026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46289</v>
      </c>
      <c r="F608" t="inlineStr">
        <is>
          <t>JÖNKÖPINGS LÄN</t>
        </is>
      </c>
      <c r="G608" t="inlineStr">
        <is>
          <t>EKSJÖ</t>
        </is>
      </c>
      <c r="I608" t="n">
        <v>14.8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1842-2026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46153</v>
      </c>
      <c r="E609" s="1" t="n">
        <v>46289</v>
      </c>
      <c r="F609" t="inlineStr">
        <is>
          <t>JÖNKÖPINGS LÄN</t>
        </is>
      </c>
      <c r="G609" t="inlineStr">
        <is>
          <t>EKSJÖ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1973-2026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46210</v>
      </c>
      <c r="E610" s="1" t="n">
        <v>46289</v>
      </c>
      <c r="F610" t="inlineStr">
        <is>
          <t>JÖNKÖPINGS LÄN</t>
        </is>
      </c>
      <c r="G610" t="inlineStr">
        <is>
          <t>EKSJÖ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2026-09-24T01:52:56Z</dcterms:created>
  <dcterms:modified xmlns:dcterms="http://purl.org/dc/terms/" xmlns:xsi="http://www.w3.org/2001/XMLSchema-instance" xsi:type="dcterms:W3CDTF">2026-09-24T01:52:57Z</dcterms:modified>
</cp:coreProperties>
</file>