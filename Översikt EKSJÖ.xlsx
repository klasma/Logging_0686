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46234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46234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46234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46234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41029-2025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46234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4.4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Gränsticka</t>
        </is>
      </c>
      <c r="W26">
        <f>HYPERLINK("https://klasma.github.io/Logging_0686/artfynd/A 41029-2025 artfynd.xlsx", "A 41029-2025")</f>
        <v/>
      </c>
      <c r="X26">
        <f>HYPERLINK("https://klasma.github.io/Logging_0686/kartor/A 41029-2025 karta.png", "A 41029-2025")</f>
        <v/>
      </c>
      <c r="Y26">
        <f>HYPERLINK("https://klasma.github.io/Logging_0686/kartor_geotiff/A 41029-2025 georefererad karta.tif", "A 41029-2025")</f>
        <v/>
      </c>
      <c r="AA26">
        <f>HYPERLINK("https://klasma.github.io/Logging_0686/klagomål/A 41029-2025 FSC-klagomål.docx", "A 41029-2025")</f>
        <v/>
      </c>
      <c r="AB26">
        <f>HYPERLINK("https://klasma.github.io/Logging_0686/klagomålsmail/A 41029-2025 FSC-klagomål mail.docx", "A 41029-2025")</f>
        <v/>
      </c>
      <c r="AC26">
        <f>HYPERLINK("https://klasma.github.io/Logging_0686/tillsyn/A 41029-2025 tillsynsbegäran.docx", "A 41029-2025")</f>
        <v/>
      </c>
      <c r="AD26">
        <f>HYPERLINK("https://klasma.github.io/Logging_0686/tillsynsmail/A 41029-2025 tillsynsbegäran mail.docx", "A 41029-2025")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46234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46234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52446-2025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45954</v>
      </c>
      <c r="E29" s="1" t="n">
        <v>46234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25</v>
      </c>
      <c r="U29" t="n">
        <v>0</v>
      </c>
      <c r="V29" s="2" t="inlineStr">
        <is>
          <t>Ask</t>
        </is>
      </c>
      <c r="W29">
        <f>HYPERLINK("https://klasma.github.io/Logging_0686/artfynd/A 52446-2025 artfynd.xlsx", "A 52446-2025")</f>
        <v/>
      </c>
      <c r="X29">
        <f>HYPERLINK("https://klasma.github.io/Logging_0686/kartor/A 52446-2025 karta.png", "A 52446-2025")</f>
        <v/>
      </c>
      <c r="Y29">
        <f>HYPERLINK("https://klasma.github.io/Logging_0686/kartor_geotiff/A 52446-2025 georefererad karta.tif", "A 52446-2025")</f>
        <v/>
      </c>
      <c r="AA29">
        <f>HYPERLINK("https://klasma.github.io/Logging_0686/klagomål/A 52446-2025 FSC-klagomål.docx", "A 52446-2025")</f>
        <v/>
      </c>
      <c r="AB29">
        <f>HYPERLINK("https://klasma.github.io/Logging_0686/klagomålsmail/A 52446-2025 FSC-klagomål mail.docx", "A 52446-2025")</f>
        <v/>
      </c>
      <c r="AC29">
        <f>HYPERLINK("https://klasma.github.io/Logging_0686/tillsyn/A 52446-2025 tillsynsbegäran.docx", "A 52446-2025")</f>
        <v/>
      </c>
      <c r="AD29">
        <f>HYPERLINK("https://klasma.github.io/Logging_0686/tillsynsmail/A 52446-2025 tillsynsbegäran mail.docx", "A 52446-2025")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46234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48033-2023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45204</v>
      </c>
      <c r="E31" s="1" t="n">
        <v>46234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0</v>
      </c>
      <c r="V31" s="2" t="inlineStr">
        <is>
          <t>Ask</t>
        </is>
      </c>
      <c r="W31">
        <f>HYPERLINK("https://klasma.github.io/Logging_0686/artfynd/A 48033-2023 artfynd.xlsx", "A 48033-2023")</f>
        <v/>
      </c>
      <c r="X31">
        <f>HYPERLINK("https://klasma.github.io/Logging_0686/kartor/A 48033-2023 karta.png", "A 48033-2023")</f>
        <v/>
      </c>
      <c r="Y31">
        <f>HYPERLINK("https://klasma.github.io/Logging_0686/kartor_geotiff/A 48033-2023 georefererad karta.tif", "A 48033-2023")</f>
        <v/>
      </c>
      <c r="AA31">
        <f>HYPERLINK("https://klasma.github.io/Logging_0686/klagomål/A 48033-2023 FSC-klagomål.docx", "A 48033-2023")</f>
        <v/>
      </c>
      <c r="AB31">
        <f>HYPERLINK("https://klasma.github.io/Logging_0686/klagomålsmail/A 48033-2023 FSC-klagomål mail.docx", "A 48033-2023")</f>
        <v/>
      </c>
      <c r="AC31">
        <f>HYPERLINK("https://klasma.github.io/Logging_0686/tillsyn/A 48033-2023 tillsynsbegäran.docx", "A 48033-2023")</f>
        <v/>
      </c>
      <c r="AD31">
        <f>HYPERLINK("https://klasma.github.io/Logging_0686/tillsynsmail/A 48033-2023 tillsynsbegäran mail.docx", "A 48033-2023")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46234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46234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47729-2022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46234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Tibast</t>
        </is>
      </c>
      <c r="W34">
        <f>HYPERLINK("https://klasma.github.io/Logging_0686/artfynd/A 47729-2022 artfynd.xlsx", "A 47729-2022")</f>
        <v/>
      </c>
      <c r="X34">
        <f>HYPERLINK("https://klasma.github.io/Logging_0686/kartor/A 47729-2022 karta.png", "A 47729-2022")</f>
        <v/>
      </c>
      <c r="Y34">
        <f>HYPERLINK("https://klasma.github.io/Logging_0686/kartor_geotiff/A 47729-2022 georefererad karta.tif", "A 47729-2022")</f>
        <v/>
      </c>
      <c r="AA34">
        <f>HYPERLINK("https://klasma.github.io/Logging_0686/klagomål/A 47729-2022 FSC-klagomål.docx", "A 47729-2022")</f>
        <v/>
      </c>
      <c r="AB34">
        <f>HYPERLINK("https://klasma.github.io/Logging_0686/klagomålsmail/A 47729-2022 FSC-klagomål mail.docx", "A 47729-2022")</f>
        <v/>
      </c>
      <c r="AC34">
        <f>HYPERLINK("https://klasma.github.io/Logging_0686/tillsyn/A 47729-2022 tillsynsbegäran.docx", "A 47729-2022")</f>
        <v/>
      </c>
      <c r="AD34">
        <f>HYPERLINK("https://klasma.github.io/Logging_0686/tillsynsmail/A 47729-2022 tillsynsbegäran mail.docx", "A 47729-2022")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46234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46234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46234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46234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46234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46234</v>
      </c>
      <c r="F40" t="inlineStr">
        <is>
          <t>JÖNKÖPINGS LÄN</t>
        </is>
      </c>
      <c r="G40" t="inlineStr">
        <is>
          <t>EKSJÖ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HYPERLINK("https://klasma.github.io/Logging_0686/artfynd/A 58-2023 artfynd.xlsx", "A 58-2023")</f>
        <v/>
      </c>
      <c r="X40">
        <f>HYPERLINK("https://klasma.github.io/Logging_0686/kartor/A 58-2023 karta.png", "A 58-2023")</f>
        <v/>
      </c>
      <c r="Y40">
        <f>HYPERLINK("https://klasma.github.io/Logging_0686/kartor_geotiff/A 58-2023 georefererad karta.tif", "A 58-2023")</f>
        <v/>
      </c>
      <c r="AA40">
        <f>HYPERLINK("https://klasma.github.io/Logging_0686/klagomål/A 58-2023 FSC-klagomål.docx", "A 58-2023")</f>
        <v/>
      </c>
      <c r="AB40">
        <f>HYPERLINK("https://klasma.github.io/Logging_0686/klagomålsmail/A 58-2023 FSC-klagomål mail.docx", "A 58-2023")</f>
        <v/>
      </c>
      <c r="AC40">
        <f>HYPERLINK("https://klasma.github.io/Logging_0686/tillsyn/A 58-2023 tillsynsbegäran.docx", "A 58-2023")</f>
        <v/>
      </c>
      <c r="AD40">
        <f>HYPERLINK("https://klasma.github.io/Logging_0686/tillsynsmail/A 58-2023 tillsynsbegäran mail.docx", "A 58-2023")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46234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46234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Spindelört</t>
        </is>
      </c>
      <c r="W42">
        <f>HYPERLINK("https://klasma.github.io/Logging_0686/artfynd/A 23536-2026 artfynd.xlsx", "A 23536-2026")</f>
        <v/>
      </c>
      <c r="X42">
        <f>HYPERLINK("https://klasma.github.io/Logging_0686/kartor/A 23536-2026 karta.png", "A 23536-2026")</f>
        <v/>
      </c>
      <c r="Y42">
        <f>HYPERLINK("https://klasma.github.io/Logging_0686/kartor_geotiff/A 23536-2026 georefererad karta.tif", "A 23536-2026")</f>
        <v/>
      </c>
      <c r="AA42">
        <f>HYPERLINK("https://klasma.github.io/Logging_0686/klagomål/A 23536-2026 FSC-klagomål.docx", "A 23536-2026")</f>
        <v/>
      </c>
      <c r="AB42">
        <f>HYPERLINK("https://klasma.github.io/Logging_0686/klagomålsmail/A 23536-2026 FSC-klagomål mail.docx", "A 23536-2026")</f>
        <v/>
      </c>
      <c r="AC42">
        <f>HYPERLINK("https://klasma.github.io/Logging_0686/tillsyn/A 23536-2026 tillsynsbegäran.docx", "A 23536-2026")</f>
        <v/>
      </c>
      <c r="AD42">
        <f>HYPERLINK("https://klasma.github.io/Logging_0686/tillsynsmail/A 23536-2026 tillsynsbegäran mail.docx", "A 23536-2026")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46234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46234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46234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46234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46234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46234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46234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44431</v>
      </c>
      <c r="E59" s="1" t="n">
        <v>46234</v>
      </c>
      <c r="F59" t="inlineStr">
        <is>
          <t>JÖNKÖPINGS LÄN</t>
        </is>
      </c>
      <c r="G59" t="inlineStr">
        <is>
          <t>EKSJÖ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46234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46234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46234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46234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46234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46234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46234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46234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46234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46234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46234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46234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46234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46234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46234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46234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46234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46234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46234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46234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46234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46234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46234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46234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46234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46234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46234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46234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46234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46234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46234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46234</v>
      </c>
      <c r="F93" t="inlineStr">
        <is>
          <t>JÖNKÖPINGS LÄN</t>
        </is>
      </c>
      <c r="G93" t="inlineStr">
        <is>
          <t>EKSJÖ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46234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46234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46234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46234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46234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46234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46234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46234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46234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46234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46234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46234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46234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46234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46234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46234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46234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46234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46234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46234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46234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46234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46234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46234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46234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46234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46234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46234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46234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44861</v>
      </c>
      <c r="E123" s="1" t="n">
        <v>46234</v>
      </c>
      <c r="F123" t="inlineStr">
        <is>
          <t>JÖNKÖPINGS LÄN</t>
        </is>
      </c>
      <c r="G123" t="inlineStr">
        <is>
          <t>EKSJÖ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45003</v>
      </c>
      <c r="E124" s="1" t="n">
        <v>46234</v>
      </c>
      <c r="F124" t="inlineStr">
        <is>
          <t>JÖNKÖPINGS LÄN</t>
        </is>
      </c>
      <c r="G124" t="inlineStr">
        <is>
          <t>EKSJÖ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46234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46234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45643</v>
      </c>
      <c r="E127" s="1" t="n">
        <v>46234</v>
      </c>
      <c r="F127" t="inlineStr">
        <is>
          <t>JÖNKÖPINGS LÄN</t>
        </is>
      </c>
      <c r="G127" t="inlineStr">
        <is>
          <t>EKSJÖ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46234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46234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46234</v>
      </c>
      <c r="F130" t="inlineStr">
        <is>
          <t>JÖNKÖPINGS LÄN</t>
        </is>
      </c>
      <c r="G130" t="inlineStr">
        <is>
          <t>EKSJÖ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46234</v>
      </c>
      <c r="F131" t="inlineStr">
        <is>
          <t>JÖNKÖPINGS LÄN</t>
        </is>
      </c>
      <c r="G131" t="inlineStr">
        <is>
          <t>EKSJÖ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46234</v>
      </c>
      <c r="F132" t="inlineStr">
        <is>
          <t>JÖNKÖPINGS LÄN</t>
        </is>
      </c>
      <c r="G132" t="inlineStr">
        <is>
          <t>EKSJÖ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46234</v>
      </c>
      <c r="F133" t="inlineStr">
        <is>
          <t>JÖNKÖPINGS LÄN</t>
        </is>
      </c>
      <c r="G133" t="inlineStr">
        <is>
          <t>EKSJÖ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44412</v>
      </c>
      <c r="E134" s="1" t="n">
        <v>46234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46234</v>
      </c>
      <c r="F135" t="inlineStr">
        <is>
          <t>JÖNKÖPINGS LÄN</t>
        </is>
      </c>
      <c r="G135" t="inlineStr">
        <is>
          <t>EKSJÖ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46234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46234</v>
      </c>
      <c r="F137" t="inlineStr">
        <is>
          <t>JÖNKÖPINGS LÄN</t>
        </is>
      </c>
      <c r="G137" t="inlineStr">
        <is>
          <t>EKSJÖ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46234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46234</v>
      </c>
      <c r="F139" t="inlineStr">
        <is>
          <t>JÖNKÖPINGS LÄN</t>
        </is>
      </c>
      <c r="G139" t="inlineStr">
        <is>
          <t>EKSJÖ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46234</v>
      </c>
      <c r="F140" t="inlineStr">
        <is>
          <t>JÖNKÖPINGS LÄN</t>
        </is>
      </c>
      <c r="G140" t="inlineStr">
        <is>
          <t>EKSJÖ</t>
        </is>
      </c>
      <c r="H140" t="inlineStr">
        <is>
          <t>Kommuner</t>
        </is>
      </c>
      <c r="I140" t="n">
        <v>9.6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46234</v>
      </c>
      <c r="F141" t="inlineStr">
        <is>
          <t>JÖNKÖPINGS LÄN</t>
        </is>
      </c>
      <c r="G141" t="inlineStr">
        <is>
          <t>EKSJÖ</t>
        </is>
      </c>
      <c r="H141" t="inlineStr">
        <is>
          <t>Kommuner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46234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46234</v>
      </c>
      <c r="F143" t="inlineStr">
        <is>
          <t>JÖNKÖPINGS LÄN</t>
        </is>
      </c>
      <c r="G143" t="inlineStr">
        <is>
          <t>EKSJÖ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46234</v>
      </c>
      <c r="F144" t="inlineStr">
        <is>
          <t>JÖNKÖPINGS LÄN</t>
        </is>
      </c>
      <c r="G144" t="inlineStr">
        <is>
          <t>EKSJÖ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46234</v>
      </c>
      <c r="F145" t="inlineStr">
        <is>
          <t>JÖNKÖPINGS LÄN</t>
        </is>
      </c>
      <c r="G145" t="inlineStr">
        <is>
          <t>EKSJÖ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44925</v>
      </c>
      <c r="E146" s="1" t="n">
        <v>46234</v>
      </c>
      <c r="F146" t="inlineStr">
        <is>
          <t>JÖNKÖPINGS LÄN</t>
        </is>
      </c>
      <c r="G146" t="inlineStr">
        <is>
          <t>EKSJÖ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45706</v>
      </c>
      <c r="E147" s="1" t="n">
        <v>46234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45345</v>
      </c>
      <c r="E148" s="1" t="n">
        <v>46234</v>
      </c>
      <c r="F148" t="inlineStr">
        <is>
          <t>JÖNKÖPINGS LÄN</t>
        </is>
      </c>
      <c r="G148" t="inlineStr">
        <is>
          <t>EKSJÖ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46234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45786</v>
      </c>
      <c r="E150" s="1" t="n">
        <v>46234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46234</v>
      </c>
      <c r="F151" t="inlineStr">
        <is>
          <t>JÖNKÖPINGS LÄN</t>
        </is>
      </c>
      <c r="G151" t="inlineStr">
        <is>
          <t>EKSJÖ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45837</v>
      </c>
      <c r="E152" s="1" t="n">
        <v>46234</v>
      </c>
      <c r="F152" t="inlineStr">
        <is>
          <t>JÖNKÖPINGS LÄN</t>
        </is>
      </c>
      <c r="G152" t="inlineStr">
        <is>
          <t>EKSJÖ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46234</v>
      </c>
      <c r="F153" t="inlineStr">
        <is>
          <t>JÖNKÖPINGS LÄN</t>
        </is>
      </c>
      <c r="G153" t="inlineStr">
        <is>
          <t>EKSJÖ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46234</v>
      </c>
      <c r="F154" t="inlineStr">
        <is>
          <t>JÖNKÖPINGS LÄN</t>
        </is>
      </c>
      <c r="G154" t="inlineStr">
        <is>
          <t>EKSJÖ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46234</v>
      </c>
      <c r="F155" t="inlineStr">
        <is>
          <t>JÖNKÖPINGS LÄN</t>
        </is>
      </c>
      <c r="G155" t="inlineStr">
        <is>
          <t>EKSJÖ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46234</v>
      </c>
      <c r="F156" t="inlineStr">
        <is>
          <t>JÖNKÖPINGS LÄN</t>
        </is>
      </c>
      <c r="G156" t="inlineStr">
        <is>
          <t>EKSJÖ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45944</v>
      </c>
      <c r="E157" s="1" t="n">
        <v>46234</v>
      </c>
      <c r="F157" t="inlineStr">
        <is>
          <t>JÖNKÖPINGS LÄN</t>
        </is>
      </c>
      <c r="G157" t="inlineStr">
        <is>
          <t>EKSJÖ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46234</v>
      </c>
      <c r="F158" t="inlineStr">
        <is>
          <t>JÖNKÖPINGS LÄN</t>
        </is>
      </c>
      <c r="G158" t="inlineStr">
        <is>
          <t>EKSJÖ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46234</v>
      </c>
      <c r="F159" t="inlineStr">
        <is>
          <t>JÖNKÖPINGS LÄN</t>
        </is>
      </c>
      <c r="G159" t="inlineStr">
        <is>
          <t>EKSJÖ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45175</v>
      </c>
      <c r="E160" s="1" t="n">
        <v>46234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46234</v>
      </c>
      <c r="F161" t="inlineStr">
        <is>
          <t>JÖNKÖPINGS LÄN</t>
        </is>
      </c>
      <c r="G161" t="inlineStr">
        <is>
          <t>EKSJÖ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46234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22987-2025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45790</v>
      </c>
      <c r="E163" s="1" t="n">
        <v>46234</v>
      </c>
      <c r="F163" t="inlineStr">
        <is>
          <t>JÖNKÖPINGS LÄN</t>
        </is>
      </c>
      <c r="G163" t="inlineStr">
        <is>
          <t>EKSJÖ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46234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46234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46234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46234</v>
      </c>
      <c r="F167" t="inlineStr">
        <is>
          <t>JÖNKÖPINGS LÄN</t>
        </is>
      </c>
      <c r="G167" t="inlineStr">
        <is>
          <t>EKSJÖ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46234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46234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46234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46234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46234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46234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46234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46234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46234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46234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46234</v>
      </c>
      <c r="F178" t="inlineStr">
        <is>
          <t>JÖNKÖPINGS LÄN</t>
        </is>
      </c>
      <c r="G178" t="inlineStr">
        <is>
          <t>EKSJÖ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45355</v>
      </c>
      <c r="E179" s="1" t="n">
        <v>46234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45195</v>
      </c>
      <c r="E180" s="1" t="n">
        <v>46234</v>
      </c>
      <c r="F180" t="inlineStr">
        <is>
          <t>JÖNKÖPINGS LÄN</t>
        </is>
      </c>
      <c r="G180" t="inlineStr">
        <is>
          <t>EKSJÖ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45837</v>
      </c>
      <c r="E181" s="1" t="n">
        <v>46234</v>
      </c>
      <c r="F181" t="inlineStr">
        <is>
          <t>JÖNKÖPINGS LÄN</t>
        </is>
      </c>
      <c r="G181" t="inlineStr">
        <is>
          <t>EKSJÖ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50967-2021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44460</v>
      </c>
      <c r="E182" s="1" t="n">
        <v>46234</v>
      </c>
      <c r="F182" t="inlineStr">
        <is>
          <t>JÖNKÖPINGS LÄN</t>
        </is>
      </c>
      <c r="G182" t="inlineStr">
        <is>
          <t>EKSJÖ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46234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46234</v>
      </c>
      <c r="F184" t="inlineStr">
        <is>
          <t>JÖNKÖPINGS LÄN</t>
        </is>
      </c>
      <c r="G184" t="inlineStr">
        <is>
          <t>EKSJÖ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46234</v>
      </c>
      <c r="F185" t="inlineStr">
        <is>
          <t>JÖNKÖPINGS LÄN</t>
        </is>
      </c>
      <c r="G185" t="inlineStr">
        <is>
          <t>EKSJÖ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46234</v>
      </c>
      <c r="F186" t="inlineStr">
        <is>
          <t>JÖNKÖPINGS LÄN</t>
        </is>
      </c>
      <c r="G186" t="inlineStr">
        <is>
          <t>EKSJÖ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46234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14382-2025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45741</v>
      </c>
      <c r="E188" s="1" t="n">
        <v>46234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46234</v>
      </c>
      <c r="F189" t="inlineStr">
        <is>
          <t>JÖNKÖPINGS LÄN</t>
        </is>
      </c>
      <c r="G189" t="inlineStr">
        <is>
          <t>EKSJÖ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46234</v>
      </c>
      <c r="F190" t="inlineStr">
        <is>
          <t>JÖNKÖPINGS LÄN</t>
        </is>
      </c>
      <c r="G190" t="inlineStr">
        <is>
          <t>EKSJÖ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46234</v>
      </c>
      <c r="F191" t="inlineStr">
        <is>
          <t>JÖNKÖPINGS LÄN</t>
        </is>
      </c>
      <c r="G191" t="inlineStr">
        <is>
          <t>EKSJÖ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46234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46234</v>
      </c>
      <c r="F193" t="inlineStr">
        <is>
          <t>JÖNKÖPINGS LÄN</t>
        </is>
      </c>
      <c r="G193" t="inlineStr">
        <is>
          <t>EKSJÖ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46234</v>
      </c>
      <c r="F194" t="inlineStr">
        <is>
          <t>JÖNKÖPINGS LÄN</t>
        </is>
      </c>
      <c r="G194" t="inlineStr">
        <is>
          <t>EKSJÖ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46234</v>
      </c>
      <c r="F195" t="inlineStr">
        <is>
          <t>JÖNKÖPINGS LÄN</t>
        </is>
      </c>
      <c r="G195" t="inlineStr">
        <is>
          <t>EKSJÖ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46234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46234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46234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46234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46234</v>
      </c>
      <c r="F200" t="inlineStr">
        <is>
          <t>JÖNKÖPINGS LÄN</t>
        </is>
      </c>
      <c r="G200" t="inlineStr">
        <is>
          <t>EKSJÖ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45530</v>
      </c>
      <c r="E201" s="1" t="n">
        <v>46234</v>
      </c>
      <c r="F201" t="inlineStr">
        <is>
          <t>JÖNKÖPINGS LÄN</t>
        </is>
      </c>
      <c r="G201" t="inlineStr">
        <is>
          <t>EKSJÖ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46234</v>
      </c>
      <c r="F202" t="inlineStr">
        <is>
          <t>JÖNKÖPINGS LÄN</t>
        </is>
      </c>
      <c r="G202" t="inlineStr">
        <is>
          <t>EKSJÖ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46234</v>
      </c>
      <c r="F203" t="inlineStr">
        <is>
          <t>JÖNKÖPINGS LÄN</t>
        </is>
      </c>
      <c r="G203" t="inlineStr">
        <is>
          <t>EKSJÖ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46234</v>
      </c>
      <c r="F204" t="inlineStr">
        <is>
          <t>JÖNKÖPINGS LÄN</t>
        </is>
      </c>
      <c r="G204" t="inlineStr">
        <is>
          <t>EKSJÖ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44526-2025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45916</v>
      </c>
      <c r="E205" s="1" t="n">
        <v>46234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46234</v>
      </c>
      <c r="F206" t="inlineStr">
        <is>
          <t>JÖNKÖPINGS LÄN</t>
        </is>
      </c>
      <c r="G206" t="inlineStr">
        <is>
          <t>EKSJÖ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46234</v>
      </c>
      <c r="F207" t="inlineStr">
        <is>
          <t>JÖNKÖPINGS LÄN</t>
        </is>
      </c>
      <c r="G207" t="inlineStr">
        <is>
          <t>EKSJÖ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46234</v>
      </c>
      <c r="F208" t="inlineStr">
        <is>
          <t>JÖNKÖPINGS LÄN</t>
        </is>
      </c>
      <c r="G208" t="inlineStr">
        <is>
          <t>EKSJÖ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46234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46234</v>
      </c>
      <c r="F210" t="inlineStr">
        <is>
          <t>JÖNKÖPINGS LÄN</t>
        </is>
      </c>
      <c r="G210" t="inlineStr">
        <is>
          <t>EKSJÖ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46234</v>
      </c>
      <c r="F211" t="inlineStr">
        <is>
          <t>JÖNKÖPINGS LÄN</t>
        </is>
      </c>
      <c r="G211" t="inlineStr">
        <is>
          <t>EKSJÖ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45485</v>
      </c>
      <c r="E212" s="1" t="n">
        <v>46234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46234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46234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46234</v>
      </c>
      <c r="F215" t="inlineStr">
        <is>
          <t>JÖNKÖPINGS LÄN</t>
        </is>
      </c>
      <c r="G215" t="inlineStr">
        <is>
          <t>EKSJÖ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46234</v>
      </c>
      <c r="F216" t="inlineStr">
        <is>
          <t>JÖNKÖPINGS LÄN</t>
        </is>
      </c>
      <c r="G216" t="inlineStr">
        <is>
          <t>EKSJÖ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46234</v>
      </c>
      <c r="F217" t="inlineStr">
        <is>
          <t>JÖNKÖPINGS LÄN</t>
        </is>
      </c>
      <c r="G217" t="inlineStr">
        <is>
          <t>EKSJÖ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46234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46234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46234</v>
      </c>
      <c r="F220" t="inlineStr">
        <is>
          <t>JÖNKÖPINGS LÄN</t>
        </is>
      </c>
      <c r="G220" t="inlineStr">
        <is>
          <t>EKSJÖ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46234</v>
      </c>
      <c r="F221" t="inlineStr">
        <is>
          <t>JÖNKÖPINGS LÄN</t>
        </is>
      </c>
      <c r="G221" t="inlineStr">
        <is>
          <t>EKSJÖ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46234</v>
      </c>
      <c r="F222" t="inlineStr">
        <is>
          <t>JÖNKÖPINGS LÄN</t>
        </is>
      </c>
      <c r="G222" t="inlineStr">
        <is>
          <t>EKSJÖ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46234</v>
      </c>
      <c r="F223" t="inlineStr">
        <is>
          <t>JÖNKÖPINGS LÄN</t>
        </is>
      </c>
      <c r="G223" t="inlineStr">
        <is>
          <t>EKSJÖ</t>
        </is>
      </c>
      <c r="H223" t="inlineStr">
        <is>
          <t>Kyrkan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45463</v>
      </c>
      <c r="E224" s="1" t="n">
        <v>46234</v>
      </c>
      <c r="F224" t="inlineStr">
        <is>
          <t>JÖNKÖPINGS LÄN</t>
        </is>
      </c>
      <c r="G224" t="inlineStr">
        <is>
          <t>EKSJÖ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46234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46234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46234</v>
      </c>
      <c r="F227" t="inlineStr">
        <is>
          <t>JÖNKÖPINGS LÄN</t>
        </is>
      </c>
      <c r="G227" t="inlineStr">
        <is>
          <t>EKSJÖ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52570-2025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46234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46234</v>
      </c>
      <c r="F229" t="inlineStr">
        <is>
          <t>JÖNKÖPINGS LÄN</t>
        </is>
      </c>
      <c r="G229" t="inlineStr">
        <is>
          <t>EKSJÖ</t>
        </is>
      </c>
      <c r="H229" t="inlineStr">
        <is>
          <t>Kyrkan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46234</v>
      </c>
      <c r="F230" t="inlineStr">
        <is>
          <t>JÖNKÖPINGS LÄN</t>
        </is>
      </c>
      <c r="G230" t="inlineStr">
        <is>
          <t>EKSJÖ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46234</v>
      </c>
      <c r="F231" t="inlineStr">
        <is>
          <t>JÖNKÖPINGS LÄN</t>
        </is>
      </c>
      <c r="G231" t="inlineStr">
        <is>
          <t>EKSJÖ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46234</v>
      </c>
      <c r="F232" t="inlineStr">
        <is>
          <t>JÖNKÖPINGS LÄN</t>
        </is>
      </c>
      <c r="G232" t="inlineStr">
        <is>
          <t>EKSJÖ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45147</v>
      </c>
      <c r="E233" s="1" t="n">
        <v>46234</v>
      </c>
      <c r="F233" t="inlineStr">
        <is>
          <t>JÖNKÖPINGS LÄN</t>
        </is>
      </c>
      <c r="G233" t="inlineStr">
        <is>
          <t>EKSJÖ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41440-2024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45560</v>
      </c>
      <c r="E234" s="1" t="n">
        <v>46234</v>
      </c>
      <c r="F234" t="inlineStr">
        <is>
          <t>JÖNKÖPINGS LÄN</t>
        </is>
      </c>
      <c r="G234" t="inlineStr">
        <is>
          <t>EKSJÖ</t>
        </is>
      </c>
      <c r="H234" t="inlineStr">
        <is>
          <t>Kyrkan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46234</v>
      </c>
      <c r="F235" t="inlineStr">
        <is>
          <t>JÖNKÖPINGS LÄN</t>
        </is>
      </c>
      <c r="G235" t="inlineStr">
        <is>
          <t>EKSJÖ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46234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45686</v>
      </c>
      <c r="E237" s="1" t="n">
        <v>46234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46234</v>
      </c>
      <c r="F238" t="inlineStr">
        <is>
          <t>JÖNKÖPINGS LÄN</t>
        </is>
      </c>
      <c r="G238" t="inlineStr">
        <is>
          <t>EKSJÖ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46234</v>
      </c>
      <c r="F239" t="inlineStr">
        <is>
          <t>JÖNKÖPINGS LÄN</t>
        </is>
      </c>
      <c r="G239" t="inlineStr">
        <is>
          <t>EKSJÖ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46234</v>
      </c>
      <c r="F240" t="inlineStr">
        <is>
          <t>JÖNKÖPINGS LÄN</t>
        </is>
      </c>
      <c r="G240" t="inlineStr">
        <is>
          <t>EKSJÖ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45845</v>
      </c>
      <c r="E241" s="1" t="n">
        <v>46234</v>
      </c>
      <c r="F241" t="inlineStr">
        <is>
          <t>JÖNKÖPINGS LÄN</t>
        </is>
      </c>
      <c r="G241" t="inlineStr">
        <is>
          <t>EKSJÖ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44574</v>
      </c>
      <c r="E242" s="1" t="n">
        <v>46234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46234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46234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46234</v>
      </c>
      <c r="F245" t="inlineStr">
        <is>
          <t>JÖNKÖPINGS LÄN</t>
        </is>
      </c>
      <c r="G245" t="inlineStr">
        <is>
          <t>EKSJÖ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43411-2022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44834</v>
      </c>
      <c r="E246" s="1" t="n">
        <v>46234</v>
      </c>
      <c r="F246" t="inlineStr">
        <is>
          <t>JÖNKÖPINGS LÄN</t>
        </is>
      </c>
      <c r="G246" t="inlineStr">
        <is>
          <t>EKSJÖ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46234</v>
      </c>
      <c r="F247" t="inlineStr">
        <is>
          <t>JÖNKÖPINGS LÄN</t>
        </is>
      </c>
      <c r="G247" t="inlineStr">
        <is>
          <t>EKSJÖ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45785</v>
      </c>
      <c r="E248" s="1" t="n">
        <v>46234</v>
      </c>
      <c r="F248" t="inlineStr">
        <is>
          <t>JÖNKÖPINGS LÄN</t>
        </is>
      </c>
      <c r="G248" t="inlineStr">
        <is>
          <t>EKSJÖ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46234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46234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46234</v>
      </c>
      <c r="F251" t="inlineStr">
        <is>
          <t>JÖNKÖPINGS LÄN</t>
        </is>
      </c>
      <c r="G251" t="inlineStr">
        <is>
          <t>EKSJÖ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45461</v>
      </c>
      <c r="E252" s="1" t="n">
        <v>46234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45418</v>
      </c>
      <c r="E253" s="1" t="n">
        <v>46234</v>
      </c>
      <c r="F253" t="inlineStr">
        <is>
          <t>JÖNKÖPINGS LÄN</t>
        </is>
      </c>
      <c r="G253" t="inlineStr">
        <is>
          <t>EKSJÖ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45860</v>
      </c>
      <c r="E254" s="1" t="n">
        <v>46234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45860</v>
      </c>
      <c r="E255" s="1" t="n">
        <v>46234</v>
      </c>
      <c r="F255" t="inlineStr">
        <is>
          <t>JÖNKÖPINGS LÄN</t>
        </is>
      </c>
      <c r="G255" t="inlineStr">
        <is>
          <t>EKSJÖ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44888</v>
      </c>
      <c r="E256" s="1" t="n">
        <v>46234</v>
      </c>
      <c r="F256" t="inlineStr">
        <is>
          <t>JÖNKÖPINGS LÄN</t>
        </is>
      </c>
      <c r="G256" t="inlineStr">
        <is>
          <t>EKSJÖ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46234</v>
      </c>
      <c r="F257" t="inlineStr">
        <is>
          <t>JÖNKÖPINGS LÄN</t>
        </is>
      </c>
      <c r="G257" t="inlineStr">
        <is>
          <t>EKSJÖ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55530-2025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46234</v>
      </c>
      <c r="F258" t="inlineStr">
        <is>
          <t>JÖNKÖPINGS LÄN</t>
        </is>
      </c>
      <c r="G258" t="inlineStr">
        <is>
          <t>EKSJÖ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46234</v>
      </c>
      <c r="F259" t="inlineStr">
        <is>
          <t>JÖNKÖPINGS LÄN</t>
        </is>
      </c>
      <c r="G259" t="inlineStr">
        <is>
          <t>EKSJÖ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42929-2021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44431</v>
      </c>
      <c r="E260" s="1" t="n">
        <v>46234</v>
      </c>
      <c r="F260" t="inlineStr">
        <is>
          <t>JÖNKÖPINGS LÄN</t>
        </is>
      </c>
      <c r="G260" t="inlineStr">
        <is>
          <t>EKSJÖ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46234</v>
      </c>
      <c r="F261" t="inlineStr">
        <is>
          <t>JÖNKÖPINGS LÄN</t>
        </is>
      </c>
      <c r="G261" t="inlineStr">
        <is>
          <t>EKSJÖ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46234</v>
      </c>
      <c r="F262" t="inlineStr">
        <is>
          <t>JÖNKÖPINGS LÄN</t>
        </is>
      </c>
      <c r="G262" t="inlineStr">
        <is>
          <t>EKSJÖ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46234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46234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45875</v>
      </c>
      <c r="E265" s="1" t="n">
        <v>46234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46234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46234</v>
      </c>
      <c r="F267" t="inlineStr">
        <is>
          <t>JÖNKÖPINGS LÄN</t>
        </is>
      </c>
      <c r="G267" t="inlineStr">
        <is>
          <t>EKSJÖ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46234</v>
      </c>
      <c r="F268" t="inlineStr">
        <is>
          <t>JÖNKÖPINGS LÄN</t>
        </is>
      </c>
      <c r="G268" t="inlineStr">
        <is>
          <t>EKSJÖ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46234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44803</v>
      </c>
      <c r="E270" s="1" t="n">
        <v>46234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46234</v>
      </c>
      <c r="F271" t="inlineStr">
        <is>
          <t>JÖNKÖPINGS LÄN</t>
        </is>
      </c>
      <c r="G271" t="inlineStr">
        <is>
          <t>EKSJÖ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45358</v>
      </c>
      <c r="E272" s="1" t="n">
        <v>46234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46234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46234</v>
      </c>
      <c r="F274" t="inlineStr">
        <is>
          <t>JÖNKÖPINGS LÄN</t>
        </is>
      </c>
      <c r="G274" t="inlineStr">
        <is>
          <t>EKSJÖ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46234</v>
      </c>
      <c r="F275" t="inlineStr">
        <is>
          <t>JÖNKÖPINGS LÄN</t>
        </is>
      </c>
      <c r="G275" t="inlineStr">
        <is>
          <t>EKSJÖ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46234</v>
      </c>
      <c r="F276" t="inlineStr">
        <is>
          <t>JÖNKÖPINGS LÄN</t>
        </is>
      </c>
      <c r="G276" t="inlineStr">
        <is>
          <t>EKSJÖ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46234</v>
      </c>
      <c r="F277" t="inlineStr">
        <is>
          <t>JÖNKÖPINGS LÄN</t>
        </is>
      </c>
      <c r="G277" t="inlineStr">
        <is>
          <t>EKSJÖ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46234</v>
      </c>
      <c r="F278" t="inlineStr">
        <is>
          <t>JÖNKÖPINGS LÄN</t>
        </is>
      </c>
      <c r="G278" t="inlineStr">
        <is>
          <t>EKSJÖ</t>
        </is>
      </c>
      <c r="H278" t="inlineStr">
        <is>
          <t>Övriga Aktiebolag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46234</v>
      </c>
      <c r="F279" t="inlineStr">
        <is>
          <t>JÖNKÖPINGS LÄN</t>
        </is>
      </c>
      <c r="G279" t="inlineStr">
        <is>
          <t>EKSJÖ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45758</v>
      </c>
      <c r="E280" s="1" t="n">
        <v>46234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46234</v>
      </c>
      <c r="F281" t="inlineStr">
        <is>
          <t>JÖNKÖPINGS LÄN</t>
        </is>
      </c>
      <c r="G281" t="inlineStr">
        <is>
          <t>EKSJÖ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46234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54292-2023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45232</v>
      </c>
      <c r="E283" s="1" t="n">
        <v>46234</v>
      </c>
      <c r="F283" t="inlineStr">
        <is>
          <t>JÖNKÖPINGS LÄN</t>
        </is>
      </c>
      <c r="G283" t="inlineStr">
        <is>
          <t>EKSJÖ</t>
        </is>
      </c>
      <c r="I283" t="n">
        <v>18.3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44580</v>
      </c>
      <c r="E284" s="1" t="n">
        <v>46234</v>
      </c>
      <c r="F284" t="inlineStr">
        <is>
          <t>JÖNKÖPINGS LÄN</t>
        </is>
      </c>
      <c r="G284" t="inlineStr">
        <is>
          <t>EKSJÖ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46234</v>
      </c>
      <c r="F285" t="inlineStr">
        <is>
          <t>JÖNKÖPINGS LÄN</t>
        </is>
      </c>
      <c r="G285" t="inlineStr">
        <is>
          <t>EKSJÖ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46234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50299-2023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46234</v>
      </c>
      <c r="F287" t="inlineStr">
        <is>
          <t>JÖNKÖPINGS LÄN</t>
        </is>
      </c>
      <c r="G287" t="inlineStr">
        <is>
          <t>EKSJÖ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46234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45008</v>
      </c>
      <c r="E289" s="1" t="n">
        <v>46234</v>
      </c>
      <c r="F289" t="inlineStr">
        <is>
          <t>JÖNKÖPINGS LÄN</t>
        </is>
      </c>
      <c r="G289" t="inlineStr">
        <is>
          <t>EKSJÖ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46234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46234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56322-2021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44477</v>
      </c>
      <c r="E292" s="1" t="n">
        <v>46234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46234</v>
      </c>
      <c r="F293" t="inlineStr">
        <is>
          <t>JÖNKÖPINGS LÄN</t>
        </is>
      </c>
      <c r="G293" t="inlineStr">
        <is>
          <t>EKSJÖ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46234</v>
      </c>
      <c r="F294" t="inlineStr">
        <is>
          <t>JÖNKÖPINGS LÄN</t>
        </is>
      </c>
      <c r="G294" t="inlineStr">
        <is>
          <t>EKSJÖ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46234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46234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45991</v>
      </c>
      <c r="E297" s="1" t="n">
        <v>46234</v>
      </c>
      <c r="F297" t="inlineStr">
        <is>
          <t>JÖNKÖPINGS LÄN</t>
        </is>
      </c>
      <c r="G297" t="inlineStr">
        <is>
          <t>EKSJÖ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46234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45328</v>
      </c>
      <c r="E299" s="1" t="n">
        <v>46234</v>
      </c>
      <c r="F299" t="inlineStr">
        <is>
          <t>JÖNKÖPINGS LÄN</t>
        </is>
      </c>
      <c r="G299" t="inlineStr">
        <is>
          <t>EKSJÖ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64419-2021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44511</v>
      </c>
      <c r="E300" s="1" t="n">
        <v>46234</v>
      </c>
      <c r="F300" t="inlineStr">
        <is>
          <t>JÖNKÖPINGS LÄN</t>
        </is>
      </c>
      <c r="G300" t="inlineStr">
        <is>
          <t>EKSJÖ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46234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44781</v>
      </c>
      <c r="E302" s="1" t="n">
        <v>46234</v>
      </c>
      <c r="F302" t="inlineStr">
        <is>
          <t>JÖNKÖPINGS LÄN</t>
        </is>
      </c>
      <c r="G302" t="inlineStr">
        <is>
          <t>EKSJÖ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32336-2022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44781</v>
      </c>
      <c r="E303" s="1" t="n">
        <v>46234</v>
      </c>
      <c r="F303" t="inlineStr">
        <is>
          <t>JÖNKÖPINGS LÄN</t>
        </is>
      </c>
      <c r="G303" t="inlineStr">
        <is>
          <t>EKSJÖ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19469-2025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45770</v>
      </c>
      <c r="E304" s="1" t="n">
        <v>46234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45770</v>
      </c>
      <c r="E305" s="1" t="n">
        <v>46234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46234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46234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54292-2023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45232</v>
      </c>
      <c r="E308" s="1" t="n">
        <v>46234</v>
      </c>
      <c r="F308" t="inlineStr">
        <is>
          <t>JÖNKÖPINGS LÄN</t>
        </is>
      </c>
      <c r="G308" t="inlineStr">
        <is>
          <t>EKSJÖ</t>
        </is>
      </c>
      <c r="I308" t="n">
        <v>18.3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46234</v>
      </c>
      <c r="F309" t="inlineStr">
        <is>
          <t>JÖNKÖPINGS LÄN</t>
        </is>
      </c>
      <c r="G309" t="inlineStr">
        <is>
          <t>EKSJÖ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45201</v>
      </c>
      <c r="E310" s="1" t="n">
        <v>46234</v>
      </c>
      <c r="F310" t="inlineStr">
        <is>
          <t>JÖNKÖPINGS LÄN</t>
        </is>
      </c>
      <c r="G310" t="inlineStr">
        <is>
          <t>EKSJÖ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46234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46234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46234</v>
      </c>
      <c r="F313" t="inlineStr">
        <is>
          <t>JÖNKÖPINGS LÄN</t>
        </is>
      </c>
      <c r="G313" t="inlineStr">
        <is>
          <t>EKSJÖ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46014</v>
      </c>
      <c r="E314" s="1" t="n">
        <v>46234</v>
      </c>
      <c r="F314" t="inlineStr">
        <is>
          <t>JÖNKÖPINGS LÄN</t>
        </is>
      </c>
      <c r="G314" t="inlineStr">
        <is>
          <t>EKSJÖ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46234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46234</v>
      </c>
      <c r="F316" t="inlineStr">
        <is>
          <t>JÖNKÖPINGS LÄN</t>
        </is>
      </c>
      <c r="G316" t="inlineStr">
        <is>
          <t>EKSJÖ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44991</v>
      </c>
      <c r="E317" s="1" t="n">
        <v>46234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45364</v>
      </c>
      <c r="E318" s="1" t="n">
        <v>46234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44945</v>
      </c>
      <c r="E319" s="1" t="n">
        <v>46234</v>
      </c>
      <c r="F319" t="inlineStr">
        <is>
          <t>JÖNKÖPINGS LÄN</t>
        </is>
      </c>
      <c r="G319" t="inlineStr">
        <is>
          <t>EKSJÖ</t>
        </is>
      </c>
      <c r="H319" t="inlineStr">
        <is>
          <t>Övriga Aktiebolag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45338</v>
      </c>
      <c r="E320" s="1" t="n">
        <v>46234</v>
      </c>
      <c r="F320" t="inlineStr">
        <is>
          <t>JÖNKÖPINGS LÄN</t>
        </is>
      </c>
      <c r="G320" t="inlineStr">
        <is>
          <t>EKSJÖ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46234</v>
      </c>
      <c r="F321" t="inlineStr">
        <is>
          <t>JÖNKÖPINGS LÄN</t>
        </is>
      </c>
      <c r="G321" t="inlineStr">
        <is>
          <t>EKSJÖ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46234</v>
      </c>
      <c r="F322" t="inlineStr">
        <is>
          <t>JÖNKÖPINGS LÄN</t>
        </is>
      </c>
      <c r="G322" t="inlineStr">
        <is>
          <t>EKSJÖ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46234</v>
      </c>
      <c r="F323" t="inlineStr">
        <is>
          <t>JÖNKÖPINGS LÄN</t>
        </is>
      </c>
      <c r="G323" t="inlineStr">
        <is>
          <t>EKSJÖ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45391</v>
      </c>
      <c r="E324" s="1" t="n">
        <v>46234</v>
      </c>
      <c r="F324" t="inlineStr">
        <is>
          <t>JÖNKÖPINGS LÄN</t>
        </is>
      </c>
      <c r="G324" t="inlineStr">
        <is>
          <t>EKSJÖ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46234</v>
      </c>
      <c r="F325" t="inlineStr">
        <is>
          <t>JÖNKÖPINGS LÄN</t>
        </is>
      </c>
      <c r="G325" t="inlineStr">
        <is>
          <t>EKSJÖ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46234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46234</v>
      </c>
      <c r="F327" t="inlineStr">
        <is>
          <t>JÖNKÖPINGS LÄN</t>
        </is>
      </c>
      <c r="G327" t="inlineStr">
        <is>
          <t>EKSJÖ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46234</v>
      </c>
      <c r="F328" t="inlineStr">
        <is>
          <t>JÖNKÖPINGS LÄN</t>
        </is>
      </c>
      <c r="G328" t="inlineStr">
        <is>
          <t>EKSJÖ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46234</v>
      </c>
      <c r="F329" t="inlineStr">
        <is>
          <t>JÖNKÖPINGS LÄN</t>
        </is>
      </c>
      <c r="G329" t="inlineStr">
        <is>
          <t>EKSJÖ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46234</v>
      </c>
      <c r="F330" t="inlineStr">
        <is>
          <t>JÖNKÖPINGS LÄN</t>
        </is>
      </c>
      <c r="G330" t="inlineStr">
        <is>
          <t>EKSJÖ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46234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46234</v>
      </c>
      <c r="F332" t="inlineStr">
        <is>
          <t>JÖNKÖPINGS LÄN</t>
        </is>
      </c>
      <c r="G332" t="inlineStr">
        <is>
          <t>EKSJÖ</t>
        </is>
      </c>
      <c r="H332" t="inlineStr">
        <is>
          <t>Kommuner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46234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46234</v>
      </c>
      <c r="F334" t="inlineStr">
        <is>
          <t>JÖNKÖPINGS LÄN</t>
        </is>
      </c>
      <c r="G334" t="inlineStr">
        <is>
          <t>EKSJÖ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46234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44746</v>
      </c>
      <c r="E336" s="1" t="n">
        <v>46234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46234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46234</v>
      </c>
      <c r="F338" t="inlineStr">
        <is>
          <t>JÖNKÖPINGS LÄN</t>
        </is>
      </c>
      <c r="G338" t="inlineStr">
        <is>
          <t>EKSJÖ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46234</v>
      </c>
      <c r="F339" t="inlineStr">
        <is>
          <t>JÖNKÖPINGS LÄN</t>
        </is>
      </c>
      <c r="G339" t="inlineStr">
        <is>
          <t>EKSJÖ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46234</v>
      </c>
      <c r="F340" t="inlineStr">
        <is>
          <t>JÖNKÖPINGS LÄN</t>
        </is>
      </c>
      <c r="G340" t="inlineStr">
        <is>
          <t>EKSJÖ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43100-2021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44431</v>
      </c>
      <c r="E341" s="1" t="n">
        <v>46234</v>
      </c>
      <c r="F341" t="inlineStr">
        <is>
          <t>JÖNKÖPINGS LÄN</t>
        </is>
      </c>
      <c r="G341" t="inlineStr">
        <is>
          <t>EKSJÖ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44928</v>
      </c>
      <c r="E342" s="1" t="n">
        <v>46234</v>
      </c>
      <c r="F342" t="inlineStr">
        <is>
          <t>JÖNKÖPINGS LÄN</t>
        </is>
      </c>
      <c r="G342" t="inlineStr">
        <is>
          <t>EKSJÖ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45071</v>
      </c>
      <c r="E343" s="1" t="n">
        <v>46234</v>
      </c>
      <c r="F343" t="inlineStr">
        <is>
          <t>JÖNKÖPINGS LÄN</t>
        </is>
      </c>
      <c r="G343" t="inlineStr">
        <is>
          <t>EKSJÖ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46234</v>
      </c>
      <c r="F344" t="inlineStr">
        <is>
          <t>JÖNKÖPINGS LÄN</t>
        </is>
      </c>
      <c r="G344" t="inlineStr">
        <is>
          <t>EKSJÖ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46234</v>
      </c>
      <c r="F345" t="inlineStr">
        <is>
          <t>JÖNKÖPINGS LÄN</t>
        </is>
      </c>
      <c r="G345" t="inlineStr">
        <is>
          <t>EKSJÖ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46234</v>
      </c>
      <c r="F346" t="inlineStr">
        <is>
          <t>JÖNKÖPINGS LÄN</t>
        </is>
      </c>
      <c r="G346" t="inlineStr">
        <is>
          <t>EKSJÖ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46234</v>
      </c>
      <c r="F347" t="inlineStr">
        <is>
          <t>JÖNKÖPINGS LÄN</t>
        </is>
      </c>
      <c r="G347" t="inlineStr">
        <is>
          <t>EKSJÖ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45173</v>
      </c>
      <c r="E348" s="1" t="n">
        <v>46234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46234</v>
      </c>
      <c r="F349" t="inlineStr">
        <is>
          <t>JÖNKÖPINGS LÄN</t>
        </is>
      </c>
      <c r="G349" t="inlineStr">
        <is>
          <t>EKSJÖ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46234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46234</v>
      </c>
      <c r="F351" t="inlineStr">
        <is>
          <t>JÖNKÖPINGS LÄN</t>
        </is>
      </c>
      <c r="G351" t="inlineStr">
        <is>
          <t>EKSJÖ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46234</v>
      </c>
      <c r="F352" t="inlineStr">
        <is>
          <t>JÖNKÖPINGS LÄN</t>
        </is>
      </c>
      <c r="G352" t="inlineStr">
        <is>
          <t>EKSJÖ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45334</v>
      </c>
      <c r="E353" s="1" t="n">
        <v>46234</v>
      </c>
      <c r="F353" t="inlineStr">
        <is>
          <t>JÖNKÖPINGS LÄN</t>
        </is>
      </c>
      <c r="G353" t="inlineStr">
        <is>
          <t>EKSJÖ</t>
        </is>
      </c>
      <c r="H353" t="inlineStr">
        <is>
          <t>Kommuner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46234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46234</v>
      </c>
      <c r="F355" t="inlineStr">
        <is>
          <t>JÖNKÖPINGS LÄN</t>
        </is>
      </c>
      <c r="G355" t="inlineStr">
        <is>
          <t>EKSJÖ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45373</v>
      </c>
      <c r="E356" s="1" t="n">
        <v>46234</v>
      </c>
      <c r="F356" t="inlineStr">
        <is>
          <t>JÖNKÖPINGS LÄN</t>
        </is>
      </c>
      <c r="G356" t="inlineStr">
        <is>
          <t>EKSJÖ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45337</v>
      </c>
      <c r="E357" s="1" t="n">
        <v>46234</v>
      </c>
      <c r="F357" t="inlineStr">
        <is>
          <t>JÖNKÖPINGS LÄN</t>
        </is>
      </c>
      <c r="G357" t="inlineStr">
        <is>
          <t>EKSJÖ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46234</v>
      </c>
      <c r="F358" t="inlineStr">
        <is>
          <t>JÖNKÖPINGS LÄN</t>
        </is>
      </c>
      <c r="G358" t="inlineStr">
        <is>
          <t>EKSJÖ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46234</v>
      </c>
      <c r="F359" t="inlineStr">
        <is>
          <t>JÖNKÖPINGS LÄN</t>
        </is>
      </c>
      <c r="G359" t="inlineStr">
        <is>
          <t>EKSJÖ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56469-2021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44480</v>
      </c>
      <c r="E360" s="1" t="n">
        <v>46234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46234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45677</v>
      </c>
      <c r="E362" s="1" t="n">
        <v>46234</v>
      </c>
      <c r="F362" t="inlineStr">
        <is>
          <t>JÖNKÖPINGS LÄN</t>
        </is>
      </c>
      <c r="G362" t="inlineStr">
        <is>
          <t>EKSJÖ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45666</v>
      </c>
      <c r="E363" s="1" t="n">
        <v>46234</v>
      </c>
      <c r="F363" t="inlineStr">
        <is>
          <t>JÖNKÖPINGS LÄN</t>
        </is>
      </c>
      <c r="G363" t="inlineStr">
        <is>
          <t>EKSJÖ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45680</v>
      </c>
      <c r="E364" s="1" t="n">
        <v>46234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11381-2022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44630</v>
      </c>
      <c r="E365" s="1" t="n">
        <v>46234</v>
      </c>
      <c r="F365" t="inlineStr">
        <is>
          <t>JÖNKÖPINGS LÄN</t>
        </is>
      </c>
      <c r="G365" t="inlineStr">
        <is>
          <t>EKSJÖ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64993-2023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45286</v>
      </c>
      <c r="E366" s="1" t="n">
        <v>46234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32344-2024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45512</v>
      </c>
      <c r="E367" s="1" t="n">
        <v>46234</v>
      </c>
      <c r="F367" t="inlineStr">
        <is>
          <t>JÖNKÖPINGS LÄN</t>
        </is>
      </c>
      <c r="G367" t="inlineStr">
        <is>
          <t>EKSJÖ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46234</v>
      </c>
      <c r="F368" t="inlineStr">
        <is>
          <t>JÖNKÖPINGS LÄN</t>
        </is>
      </c>
      <c r="G368" t="inlineStr">
        <is>
          <t>EKSJÖ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46234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12821-2024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45384</v>
      </c>
      <c r="E370" s="1" t="n">
        <v>46234</v>
      </c>
      <c r="F370" t="inlineStr">
        <is>
          <t>JÖNKÖPINGS LÄN</t>
        </is>
      </c>
      <c r="G370" t="inlineStr">
        <is>
          <t>EKSJÖ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46234</v>
      </c>
      <c r="F371" t="inlineStr">
        <is>
          <t>JÖNKÖPINGS LÄN</t>
        </is>
      </c>
      <c r="G371" t="inlineStr">
        <is>
          <t>EKSJÖ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46234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46234</v>
      </c>
      <c r="F373" t="inlineStr">
        <is>
          <t>JÖNKÖPINGS LÄN</t>
        </is>
      </c>
      <c r="G373" t="inlineStr">
        <is>
          <t>EKSJÖ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45741</v>
      </c>
      <c r="E374" s="1" t="n">
        <v>46234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45513</v>
      </c>
      <c r="E375" s="1" t="n">
        <v>46234</v>
      </c>
      <c r="F375" t="inlineStr">
        <is>
          <t>JÖNKÖPINGS LÄN</t>
        </is>
      </c>
      <c r="G375" t="inlineStr">
        <is>
          <t>EKSJÖ</t>
        </is>
      </c>
      <c r="H375" t="inlineStr">
        <is>
          <t>Kyrkan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46234</v>
      </c>
      <c r="F376" t="inlineStr">
        <is>
          <t>JÖNKÖPINGS LÄN</t>
        </is>
      </c>
      <c r="G376" t="inlineStr">
        <is>
          <t>EKSJÖ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46234</v>
      </c>
      <c r="F377" t="inlineStr">
        <is>
          <t>JÖNKÖPINGS LÄN</t>
        </is>
      </c>
      <c r="G377" t="inlineStr">
        <is>
          <t>EKSJÖ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45706</v>
      </c>
      <c r="E378" s="1" t="n">
        <v>46234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65554-2021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44516</v>
      </c>
      <c r="E379" s="1" t="n">
        <v>46234</v>
      </c>
      <c r="F379" t="inlineStr">
        <is>
          <t>JÖNKÖPINGS LÄN</t>
        </is>
      </c>
      <c r="G379" t="inlineStr">
        <is>
          <t>EKSJÖ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45576</v>
      </c>
      <c r="E380" s="1" t="n">
        <v>46234</v>
      </c>
      <c r="F380" t="inlineStr">
        <is>
          <t>JÖNKÖPINGS LÄN</t>
        </is>
      </c>
      <c r="G380" t="inlineStr">
        <is>
          <t>EKSJÖ</t>
        </is>
      </c>
      <c r="H380" t="inlineStr">
        <is>
          <t>Övriga Aktiebolag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61913-2022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44917</v>
      </c>
      <c r="E381" s="1" t="n">
        <v>46234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44846</v>
      </c>
      <c r="E382" s="1" t="n">
        <v>46234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46017-2022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46234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10309-2024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46234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44925</v>
      </c>
      <c r="E385" s="1" t="n">
        <v>46234</v>
      </c>
      <c r="F385" t="inlineStr">
        <is>
          <t>JÖNKÖPINGS LÄN</t>
        </is>
      </c>
      <c r="G385" t="inlineStr">
        <is>
          <t>EKSJÖ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55808-2023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45239</v>
      </c>
      <c r="E386" s="1" t="n">
        <v>46234</v>
      </c>
      <c r="F386" t="inlineStr">
        <is>
          <t>JÖNKÖPINGS LÄN</t>
        </is>
      </c>
      <c r="G386" t="inlineStr">
        <is>
          <t>EKSJÖ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46234</v>
      </c>
      <c r="F387" t="inlineStr">
        <is>
          <t>JÖNKÖPINGS LÄN</t>
        </is>
      </c>
      <c r="G387" t="inlineStr">
        <is>
          <t>EKSJÖ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45402</v>
      </c>
      <c r="E388" s="1" t="n">
        <v>46234</v>
      </c>
      <c r="F388" t="inlineStr">
        <is>
          <t>JÖNKÖPINGS LÄN</t>
        </is>
      </c>
      <c r="G388" t="inlineStr">
        <is>
          <t>EKSJÖ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46234</v>
      </c>
      <c r="F389" t="inlineStr">
        <is>
          <t>JÖNKÖPINGS LÄN</t>
        </is>
      </c>
      <c r="G389" t="inlineStr">
        <is>
          <t>EKSJÖ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46234</v>
      </c>
      <c r="F390" t="inlineStr">
        <is>
          <t>JÖNKÖPINGS LÄN</t>
        </is>
      </c>
      <c r="G390" t="inlineStr">
        <is>
          <t>EKSJÖ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46234</v>
      </c>
      <c r="F391" t="inlineStr">
        <is>
          <t>JÖNKÖPINGS LÄN</t>
        </is>
      </c>
      <c r="G391" t="inlineStr">
        <is>
          <t>EKSJÖ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45314</v>
      </c>
      <c r="E392" s="1" t="n">
        <v>46234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46234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46234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45659</v>
      </c>
      <c r="E395" s="1" t="n">
        <v>46234</v>
      </c>
      <c r="F395" t="inlineStr">
        <is>
          <t>JÖNKÖPINGS LÄN</t>
        </is>
      </c>
      <c r="G395" t="inlineStr">
        <is>
          <t>EKSJÖ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45141</v>
      </c>
      <c r="E396" s="1" t="n">
        <v>46234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46234</v>
      </c>
      <c r="F397" t="inlineStr">
        <is>
          <t>JÖNKÖPINGS LÄN</t>
        </is>
      </c>
      <c r="G397" t="inlineStr">
        <is>
          <t>EKSJÖ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46234</v>
      </c>
      <c r="F398" t="inlineStr">
        <is>
          <t>JÖNKÖPINGS LÄN</t>
        </is>
      </c>
      <c r="G398" t="inlineStr">
        <is>
          <t>EKSJÖ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46234</v>
      </c>
      <c r="F399" t="inlineStr">
        <is>
          <t>JÖNKÖPINGS LÄN</t>
        </is>
      </c>
      <c r="G399" t="inlineStr">
        <is>
          <t>EKSJÖ</t>
        </is>
      </c>
      <c r="H399" t="inlineStr">
        <is>
          <t>Kommuner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46234</v>
      </c>
      <c r="F400" t="inlineStr">
        <is>
          <t>JÖNKÖPINGS LÄN</t>
        </is>
      </c>
      <c r="G400" t="inlineStr">
        <is>
          <t>EKSJÖ</t>
        </is>
      </c>
      <c r="H400" t="inlineStr">
        <is>
          <t>Kommuner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45232</v>
      </c>
      <c r="E401" s="1" t="n">
        <v>46234</v>
      </c>
      <c r="F401" t="inlineStr">
        <is>
          <t>JÖNKÖPINGS LÄN</t>
        </is>
      </c>
      <c r="G401" t="inlineStr">
        <is>
          <t>EKSJÖ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46234</v>
      </c>
      <c r="F402" t="inlineStr">
        <is>
          <t>JÖNKÖPINGS LÄN</t>
        </is>
      </c>
      <c r="G402" t="inlineStr">
        <is>
          <t>EKSJÖ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45086</v>
      </c>
      <c r="E403" s="1" t="n">
        <v>46234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46107</v>
      </c>
      <c r="E404" s="1" t="n">
        <v>46234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46234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46234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46108</v>
      </c>
      <c r="E407" s="1" t="n">
        <v>46234</v>
      </c>
      <c r="F407" t="inlineStr">
        <is>
          <t>JÖNKÖPINGS LÄN</t>
        </is>
      </c>
      <c r="G407" t="inlineStr">
        <is>
          <t>EKSJÖ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15754-2026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46107</v>
      </c>
      <c r="E408" s="1" t="n">
        <v>46234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46234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45238</v>
      </c>
      <c r="E410" s="1" t="n">
        <v>46234</v>
      </c>
      <c r="F410" t="inlineStr">
        <is>
          <t>JÖNKÖPINGS LÄN</t>
        </is>
      </c>
      <c r="G410" t="inlineStr">
        <is>
          <t>EKSJÖ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45741</v>
      </c>
      <c r="E411" s="1" t="n">
        <v>46234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46234</v>
      </c>
      <c r="F412" t="inlineStr">
        <is>
          <t>JÖNKÖPINGS LÄN</t>
        </is>
      </c>
      <c r="G412" t="inlineStr">
        <is>
          <t>EKSJÖ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46234</v>
      </c>
      <c r="F413" t="inlineStr">
        <is>
          <t>JÖNKÖPINGS LÄN</t>
        </is>
      </c>
      <c r="G413" t="inlineStr">
        <is>
          <t>EKSJÖ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16885-2026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46234</v>
      </c>
      <c r="F414" t="inlineStr">
        <is>
          <t>JÖNKÖPINGS LÄN</t>
        </is>
      </c>
      <c r="G414" t="inlineStr">
        <is>
          <t>EKSJÖ</t>
        </is>
      </c>
      <c r="H414" t="inlineStr">
        <is>
          <t>Övriga Aktiebolag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46113</v>
      </c>
      <c r="E415" s="1" t="n">
        <v>46234</v>
      </c>
      <c r="F415" t="inlineStr">
        <is>
          <t>JÖNKÖPINGS LÄN</t>
        </is>
      </c>
      <c r="G415" t="inlineStr">
        <is>
          <t>EKSJÖ</t>
        </is>
      </c>
      <c r="H415" t="inlineStr">
        <is>
          <t>Övriga Aktiebolag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36070-2024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46234</v>
      </c>
      <c r="F416" t="inlineStr">
        <is>
          <t>JÖNKÖPINGS LÄN</t>
        </is>
      </c>
      <c r="G416" t="inlineStr">
        <is>
          <t>EKSJÖ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44783</v>
      </c>
      <c r="E417" s="1" t="n">
        <v>46234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36069-2024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45533</v>
      </c>
      <c r="E418" s="1" t="n">
        <v>46234</v>
      </c>
      <c r="F418" t="inlineStr">
        <is>
          <t>JÖNKÖPINGS LÄN</t>
        </is>
      </c>
      <c r="G418" t="inlineStr">
        <is>
          <t>EKSJÖ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46234</v>
      </c>
      <c r="F419" t="inlineStr">
        <is>
          <t>JÖNKÖPINGS LÄN</t>
        </is>
      </c>
      <c r="G419" t="inlineStr">
        <is>
          <t>EKSJÖ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45628</v>
      </c>
      <c r="E420" s="1" t="n">
        <v>46234</v>
      </c>
      <c r="F420" t="inlineStr">
        <is>
          <t>JÖNKÖPINGS LÄN</t>
        </is>
      </c>
      <c r="G420" t="inlineStr">
        <is>
          <t>EKSJÖ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26706-2022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46234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45113</v>
      </c>
      <c r="E422" s="1" t="n">
        <v>46234</v>
      </c>
      <c r="F422" t="inlineStr">
        <is>
          <t>JÖNKÖPINGS LÄN</t>
        </is>
      </c>
      <c r="G422" t="inlineStr">
        <is>
          <t>EKSJÖ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34021-2024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45523</v>
      </c>
      <c r="E423" s="1" t="n">
        <v>46234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46234</v>
      </c>
      <c r="F424" t="inlineStr">
        <is>
          <t>JÖNKÖPINGS LÄN</t>
        </is>
      </c>
      <c r="G424" t="inlineStr">
        <is>
          <t>EKSJÖ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46127</v>
      </c>
      <c r="E425" s="1" t="n">
        <v>46234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50287-2024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45600</v>
      </c>
      <c r="E426" s="1" t="n">
        <v>46234</v>
      </c>
      <c r="F426" t="inlineStr">
        <is>
          <t>JÖNKÖPINGS LÄN</t>
        </is>
      </c>
      <c r="G426" t="inlineStr">
        <is>
          <t>EKSJÖ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36042-2024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45533</v>
      </c>
      <c r="E427" s="1" t="n">
        <v>46234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19468-2023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45049</v>
      </c>
      <c r="E428" s="1" t="n">
        <v>46234</v>
      </c>
      <c r="F428" t="inlineStr">
        <is>
          <t>JÖNKÖPINGS LÄN</t>
        </is>
      </c>
      <c r="G428" t="inlineStr">
        <is>
          <t>EKSJÖ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47390-2022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44853</v>
      </c>
      <c r="E429" s="1" t="n">
        <v>46234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19095-2026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46234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45714</v>
      </c>
      <c r="E431" s="1" t="n">
        <v>46234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46234</v>
      </c>
      <c r="F432" t="inlineStr">
        <is>
          <t>JÖNKÖPINGS LÄN</t>
        </is>
      </c>
      <c r="G432" t="inlineStr">
        <is>
          <t>EKSJÖ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44925</v>
      </c>
      <c r="E433" s="1" t="n">
        <v>46234</v>
      </c>
      <c r="F433" t="inlineStr">
        <is>
          <t>JÖNKÖPINGS LÄN</t>
        </is>
      </c>
      <c r="G433" t="inlineStr">
        <is>
          <t>EKSJÖ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49681-2023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46234</v>
      </c>
      <c r="F434" t="inlineStr">
        <is>
          <t>JÖNKÖPINGS LÄN</t>
        </is>
      </c>
      <c r="G434" t="inlineStr">
        <is>
          <t>EKSJÖ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46234</v>
      </c>
      <c r="F435" t="inlineStr">
        <is>
          <t>JÖNKÖPINGS LÄN</t>
        </is>
      </c>
      <c r="G435" t="inlineStr">
        <is>
          <t>EKSJÖ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46234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44685</v>
      </c>
      <c r="E437" s="1" t="n">
        <v>46234</v>
      </c>
      <c r="F437" t="inlineStr">
        <is>
          <t>JÖNKÖPINGS LÄN</t>
        </is>
      </c>
      <c r="G437" t="inlineStr">
        <is>
          <t>EKSJÖ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46234</v>
      </c>
      <c r="F438" t="inlineStr">
        <is>
          <t>JÖNKÖPINGS LÄN</t>
        </is>
      </c>
      <c r="G438" t="inlineStr">
        <is>
          <t>EKSJÖ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46234</v>
      </c>
      <c r="F439" t="inlineStr">
        <is>
          <t>JÖNKÖPINGS LÄN</t>
        </is>
      </c>
      <c r="G439" t="inlineStr">
        <is>
          <t>EKSJÖ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45420</v>
      </c>
      <c r="E440" s="1" t="n">
        <v>46234</v>
      </c>
      <c r="F440" t="inlineStr">
        <is>
          <t>JÖNKÖPINGS LÄN</t>
        </is>
      </c>
      <c r="G440" t="inlineStr">
        <is>
          <t>EKSJÖ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45426</v>
      </c>
      <c r="E441" s="1" t="n">
        <v>46234</v>
      </c>
      <c r="F441" t="inlineStr">
        <is>
          <t>JÖNKÖPINGS LÄN</t>
        </is>
      </c>
      <c r="G441" t="inlineStr">
        <is>
          <t>EKSJÖ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45894</v>
      </c>
      <c r="E442" s="1" t="n">
        <v>46234</v>
      </c>
      <c r="F442" t="inlineStr">
        <is>
          <t>JÖNKÖPINGS LÄN</t>
        </is>
      </c>
      <c r="G442" t="inlineStr">
        <is>
          <t>EKSJÖ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36355-2022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46234</v>
      </c>
      <c r="F443" t="inlineStr">
        <is>
          <t>JÖNKÖPINGS LÄN</t>
        </is>
      </c>
      <c r="G443" t="inlineStr">
        <is>
          <t>EKSJÖ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46234</v>
      </c>
      <c r="F444" t="inlineStr">
        <is>
          <t>JÖNKÖPINGS LÄN</t>
        </is>
      </c>
      <c r="G444" t="inlineStr">
        <is>
          <t>EKSJÖ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46234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46029</v>
      </c>
      <c r="E446" s="1" t="n">
        <v>46234</v>
      </c>
      <c r="F446" t="inlineStr">
        <is>
          <t>JÖNKÖPINGS LÄN</t>
        </is>
      </c>
      <c r="G446" t="inlineStr">
        <is>
          <t>EKSJÖ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45677</v>
      </c>
      <c r="E447" s="1" t="n">
        <v>46234</v>
      </c>
      <c r="F447" t="inlineStr">
        <is>
          <t>JÖNKÖPINGS LÄN</t>
        </is>
      </c>
      <c r="G447" t="inlineStr">
        <is>
          <t>EKSJÖ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46234</v>
      </c>
      <c r="F448" t="inlineStr">
        <is>
          <t>JÖNKÖPINGS LÄN</t>
        </is>
      </c>
      <c r="G448" t="inlineStr">
        <is>
          <t>EKSJÖ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44974</v>
      </c>
      <c r="E449" s="1" t="n">
        <v>46234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44846</v>
      </c>
      <c r="E450" s="1" t="n">
        <v>46234</v>
      </c>
      <c r="F450" t="inlineStr">
        <is>
          <t>JÖNKÖPINGS LÄN</t>
        </is>
      </c>
      <c r="G450" t="inlineStr">
        <is>
          <t>EKSJÖ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46234</v>
      </c>
      <c r="F451" t="inlineStr">
        <is>
          <t>JÖNKÖPINGS LÄN</t>
        </is>
      </c>
      <c r="G451" t="inlineStr">
        <is>
          <t>EKSJÖ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45468</v>
      </c>
      <c r="E452" s="1" t="n">
        <v>46234</v>
      </c>
      <c r="F452" t="inlineStr">
        <is>
          <t>JÖNKÖPINGS LÄN</t>
        </is>
      </c>
      <c r="G452" t="inlineStr">
        <is>
          <t>EKSJÖ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46234</v>
      </c>
      <c r="F453" t="inlineStr">
        <is>
          <t>JÖNKÖPINGS LÄN</t>
        </is>
      </c>
      <c r="G453" t="inlineStr">
        <is>
          <t>EKSJÖ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45308</v>
      </c>
      <c r="E454" s="1" t="n">
        <v>46234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49403-2021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44454</v>
      </c>
      <c r="E455" s="1" t="n">
        <v>46234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10972-2025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45723</v>
      </c>
      <c r="E456" s="1" t="n">
        <v>46234</v>
      </c>
      <c r="F456" t="inlineStr">
        <is>
          <t>JÖNKÖPINGS LÄN</t>
        </is>
      </c>
      <c r="G456" t="inlineStr">
        <is>
          <t>EKSJÖ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46234</v>
      </c>
      <c r="F457" t="inlineStr">
        <is>
          <t>JÖNKÖPINGS LÄN</t>
        </is>
      </c>
      <c r="G457" t="inlineStr">
        <is>
          <t>EKSJÖ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45758</v>
      </c>
      <c r="E458" s="1" t="n">
        <v>46234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46234</v>
      </c>
      <c r="F459" t="inlineStr">
        <is>
          <t>JÖNKÖPINGS LÄN</t>
        </is>
      </c>
      <c r="G459" t="inlineStr">
        <is>
          <t>EKSJÖ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46234</v>
      </c>
      <c r="F460" t="inlineStr">
        <is>
          <t>JÖNKÖPINGS LÄN</t>
        </is>
      </c>
      <c r="G460" t="inlineStr">
        <is>
          <t>EKSJÖ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45154</v>
      </c>
      <c r="E461" s="1" t="n">
        <v>46234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46234</v>
      </c>
      <c r="F462" t="inlineStr">
        <is>
          <t>JÖNKÖPINGS LÄN</t>
        </is>
      </c>
      <c r="G462" t="inlineStr">
        <is>
          <t>EKSJÖ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46234</v>
      </c>
      <c r="F463" t="inlineStr">
        <is>
          <t>JÖNKÖPINGS LÄN</t>
        </is>
      </c>
      <c r="G463" t="inlineStr">
        <is>
          <t>EKSJÖ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44908</v>
      </c>
      <c r="E464" s="1" t="n">
        <v>46234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46234</v>
      </c>
      <c r="F465" t="inlineStr">
        <is>
          <t>JÖNKÖPINGS LÄN</t>
        </is>
      </c>
      <c r="G465" t="inlineStr">
        <is>
          <t>EKSJÖ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9058-2022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44615</v>
      </c>
      <c r="E466" s="1" t="n">
        <v>46234</v>
      </c>
      <c r="F466" t="inlineStr">
        <is>
          <t>JÖNKÖPINGS LÄN</t>
        </is>
      </c>
      <c r="G466" t="inlineStr">
        <is>
          <t>EKSJÖ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58631-2023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46234</v>
      </c>
      <c r="F467" t="inlineStr">
        <is>
          <t>JÖNKÖPINGS LÄN</t>
        </is>
      </c>
      <c r="G467" t="inlineStr">
        <is>
          <t>EKSJÖ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44909</v>
      </c>
      <c r="E468" s="1" t="n">
        <v>46234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53053-2021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44467</v>
      </c>
      <c r="E469" s="1" t="n">
        <v>46234</v>
      </c>
      <c r="F469" t="inlineStr">
        <is>
          <t>JÖNKÖPINGS LÄN</t>
        </is>
      </c>
      <c r="G469" t="inlineStr">
        <is>
          <t>EKSJÖ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45161</v>
      </c>
      <c r="E470" s="1" t="n">
        <v>46234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46234</v>
      </c>
      <c r="F471" t="inlineStr">
        <is>
          <t>JÖNKÖPINGS LÄN</t>
        </is>
      </c>
      <c r="G471" t="inlineStr">
        <is>
          <t>EKSJÖ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44991</v>
      </c>
      <c r="E472" s="1" t="n">
        <v>46234</v>
      </c>
      <c r="F472" t="inlineStr">
        <is>
          <t>JÖNKÖPINGS LÄN</t>
        </is>
      </c>
      <c r="G472" t="inlineStr">
        <is>
          <t>EKSJÖ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45224</v>
      </c>
      <c r="E473" s="1" t="n">
        <v>46234</v>
      </c>
      <c r="F473" t="inlineStr">
        <is>
          <t>JÖNKÖPINGS LÄN</t>
        </is>
      </c>
      <c r="G473" t="inlineStr">
        <is>
          <t>EKSJÖ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56689-2021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44481</v>
      </c>
      <c r="E474" s="1" t="n">
        <v>46234</v>
      </c>
      <c r="F474" t="inlineStr">
        <is>
          <t>JÖNKÖPINGS LÄN</t>
        </is>
      </c>
      <c r="G474" t="inlineStr">
        <is>
          <t>EKSJÖ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46234</v>
      </c>
      <c r="F475" t="inlineStr">
        <is>
          <t>JÖNKÖPINGS LÄN</t>
        </is>
      </c>
      <c r="G475" t="inlineStr">
        <is>
          <t>EKSJÖ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45706</v>
      </c>
      <c r="E476" s="1" t="n">
        <v>46234</v>
      </c>
      <c r="F476" t="inlineStr">
        <is>
          <t>JÖNKÖPINGS LÄN</t>
        </is>
      </c>
      <c r="G476" t="inlineStr">
        <is>
          <t>EKSJÖ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46234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20897-2022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46234</v>
      </c>
      <c r="F478" t="inlineStr">
        <is>
          <t>JÖNKÖPINGS LÄN</t>
        </is>
      </c>
      <c r="G478" t="inlineStr">
        <is>
          <t>EKSJÖ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46234</v>
      </c>
      <c r="F479" t="inlineStr">
        <is>
          <t>JÖNKÖPINGS LÄN</t>
        </is>
      </c>
      <c r="G479" t="inlineStr">
        <is>
          <t>EKSJÖ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46234</v>
      </c>
      <c r="F480" t="inlineStr">
        <is>
          <t>JÖNKÖPINGS LÄN</t>
        </is>
      </c>
      <c r="G480" t="inlineStr">
        <is>
          <t>EKSJÖ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45649</v>
      </c>
      <c r="E481" s="1" t="n">
        <v>46234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46234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45096</v>
      </c>
      <c r="E483" s="1" t="n">
        <v>46234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54916-2023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45236</v>
      </c>
      <c r="E484" s="1" t="n">
        <v>46234</v>
      </c>
      <c r="F484" t="inlineStr">
        <is>
          <t>JÖNKÖPINGS LÄN</t>
        </is>
      </c>
      <c r="G484" t="inlineStr">
        <is>
          <t>EKSJÖ</t>
        </is>
      </c>
      <c r="H484" t="inlineStr">
        <is>
          <t>Övriga Aktiebolag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45537</v>
      </c>
      <c r="E485" s="1" t="n">
        <v>46234</v>
      </c>
      <c r="F485" t="inlineStr">
        <is>
          <t>JÖNKÖPINGS LÄN</t>
        </is>
      </c>
      <c r="G485" t="inlineStr">
        <is>
          <t>EKSJÖ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63959-2023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45278</v>
      </c>
      <c r="E486" s="1" t="n">
        <v>46234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46234</v>
      </c>
      <c r="F487" t="inlineStr">
        <is>
          <t>JÖNKÖPINGS LÄN</t>
        </is>
      </c>
      <c r="G487" t="inlineStr">
        <is>
          <t>EKSJÖ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46234</v>
      </c>
      <c r="F488" t="inlineStr">
        <is>
          <t>JÖNKÖPINGS LÄN</t>
        </is>
      </c>
      <c r="G488" t="inlineStr">
        <is>
          <t>EKSJÖ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46197</v>
      </c>
      <c r="E489" s="1" t="n">
        <v>46234</v>
      </c>
      <c r="F489" t="inlineStr">
        <is>
          <t>JÖNKÖPINGS LÄN</t>
        </is>
      </c>
      <c r="G489" t="inlineStr">
        <is>
          <t>EKSJÖ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46234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44966</v>
      </c>
      <c r="E491" s="1" t="n">
        <v>46234</v>
      </c>
      <c r="F491" t="inlineStr">
        <is>
          <t>JÖNKÖPINGS LÄN</t>
        </is>
      </c>
      <c r="G491" t="inlineStr">
        <is>
          <t>EKSJÖ</t>
        </is>
      </c>
      <c r="H491" t="inlineStr">
        <is>
          <t>Kyrkan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46234</v>
      </c>
      <c r="F492" t="inlineStr">
        <is>
          <t>JÖNKÖPINGS LÄN</t>
        </is>
      </c>
      <c r="G492" t="inlineStr">
        <is>
          <t>EKSJÖ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45370</v>
      </c>
      <c r="E493" s="1" t="n">
        <v>46234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46234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46234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71313-2021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46234</v>
      </c>
      <c r="F496" t="inlineStr">
        <is>
          <t>JÖNKÖPINGS LÄN</t>
        </is>
      </c>
      <c r="G496" t="inlineStr">
        <is>
          <t>EKSJÖ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46234</v>
      </c>
      <c r="F497" t="inlineStr">
        <is>
          <t>JÖNKÖPINGS LÄN</t>
        </is>
      </c>
      <c r="G497" t="inlineStr">
        <is>
          <t>EKSJÖ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29043-2026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46234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46234</v>
      </c>
      <c r="F499" t="inlineStr">
        <is>
          <t>JÖNKÖPINGS LÄN</t>
        </is>
      </c>
      <c r="G499" t="inlineStr">
        <is>
          <t>EKSJÖ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46234</v>
      </c>
      <c r="F500" t="inlineStr">
        <is>
          <t>JÖNKÖPINGS LÄN</t>
        </is>
      </c>
      <c r="G500" t="inlineStr">
        <is>
          <t>EKSJÖ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44845</v>
      </c>
      <c r="E501" s="1" t="n">
        <v>46234</v>
      </c>
      <c r="F501" t="inlineStr">
        <is>
          <t>JÖNKÖPINGS LÄN</t>
        </is>
      </c>
      <c r="G501" t="inlineStr">
        <is>
          <t>EKSJÖ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44789</v>
      </c>
      <c r="E502" s="1" t="n">
        <v>46234</v>
      </c>
      <c r="F502" t="inlineStr">
        <is>
          <t>JÖNKÖPINGS LÄN</t>
        </is>
      </c>
      <c r="G502" t="inlineStr">
        <is>
          <t>EKSJÖ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55817-2023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45239</v>
      </c>
      <c r="E503" s="1" t="n">
        <v>46234</v>
      </c>
      <c r="F503" t="inlineStr">
        <is>
          <t>JÖNKÖPINGS LÄN</t>
        </is>
      </c>
      <c r="G503" t="inlineStr">
        <is>
          <t>EKSJÖ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45370</v>
      </c>
      <c r="E504" s="1" t="n">
        <v>46234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46234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45334</v>
      </c>
      <c r="E506" s="1" t="n">
        <v>46234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50165-2022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44865</v>
      </c>
      <c r="E507" s="1" t="n">
        <v>46234</v>
      </c>
      <c r="F507" t="inlineStr">
        <is>
          <t>JÖNKÖPINGS LÄN</t>
        </is>
      </c>
      <c r="G507" t="inlineStr">
        <is>
          <t>EKSJÖ</t>
        </is>
      </c>
      <c r="H507" t="inlineStr">
        <is>
          <t>Övriga Aktiebolag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46234</v>
      </c>
      <c r="F508" t="inlineStr">
        <is>
          <t>JÖNKÖPINGS LÄN</t>
        </is>
      </c>
      <c r="G508" t="inlineStr">
        <is>
          <t>EKSJÖ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47806-2023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46234</v>
      </c>
      <c r="F509" t="inlineStr">
        <is>
          <t>JÖNKÖPINGS LÄN</t>
        </is>
      </c>
      <c r="G509" t="inlineStr">
        <is>
          <t>EKSJÖ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46234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46234</v>
      </c>
      <c r="F511" t="inlineStr">
        <is>
          <t>JÖNKÖPINGS LÄN</t>
        </is>
      </c>
      <c r="G511" t="inlineStr">
        <is>
          <t>EKSJÖ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60920-2025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45996</v>
      </c>
      <c r="E512" s="1" t="n">
        <v>46234</v>
      </c>
      <c r="F512" t="inlineStr">
        <is>
          <t>JÖNKÖPINGS LÄN</t>
        </is>
      </c>
      <c r="G512" t="inlineStr">
        <is>
          <t>EKSJÖ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46234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46162</v>
      </c>
      <c r="E514" s="1" t="n">
        <v>46234</v>
      </c>
      <c r="F514" t="inlineStr">
        <is>
          <t>JÖNKÖPINGS LÄN</t>
        </is>
      </c>
      <c r="G514" t="inlineStr">
        <is>
          <t>EKSJÖ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46234</v>
      </c>
      <c r="F515" t="inlineStr">
        <is>
          <t>JÖNKÖPINGS LÄN</t>
        </is>
      </c>
      <c r="G515" t="inlineStr">
        <is>
          <t>EKSJÖ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46234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46234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45367-2024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45576</v>
      </c>
      <c r="E518" s="1" t="n">
        <v>46234</v>
      </c>
      <c r="F518" t="inlineStr">
        <is>
          <t>JÖNKÖPINGS LÄN</t>
        </is>
      </c>
      <c r="G518" t="inlineStr">
        <is>
          <t>EKSJÖ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44490</v>
      </c>
      <c r="E519" s="1" t="n">
        <v>46234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46234</v>
      </c>
      <c r="F520" t="inlineStr">
        <is>
          <t>JÖNKÖPINGS LÄN</t>
        </is>
      </c>
      <c r="G520" t="inlineStr">
        <is>
          <t>EKSJÖ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46234</v>
      </c>
      <c r="F521" t="inlineStr">
        <is>
          <t>JÖNKÖPINGS LÄN</t>
        </is>
      </c>
      <c r="G521" t="inlineStr">
        <is>
          <t>EKSJÖ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45076</v>
      </c>
      <c r="E522" s="1" t="n">
        <v>46234</v>
      </c>
      <c r="F522" t="inlineStr">
        <is>
          <t>JÖNKÖPINGS LÄN</t>
        </is>
      </c>
      <c r="G522" t="inlineStr">
        <is>
          <t>EKSJÖ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46234</v>
      </c>
      <c r="F523" t="inlineStr">
        <is>
          <t>JÖNKÖPINGS LÄN</t>
        </is>
      </c>
      <c r="G523" t="inlineStr">
        <is>
          <t>EKSJÖ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23488-2026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46234</v>
      </c>
      <c r="F524" t="inlineStr">
        <is>
          <t>JÖNKÖPINGS LÄN</t>
        </is>
      </c>
      <c r="G524" t="inlineStr">
        <is>
          <t>EKSJÖ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23572-2026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46163</v>
      </c>
      <c r="E525" s="1" t="n">
        <v>46234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27395-2023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45096</v>
      </c>
      <c r="E526" s="1" t="n">
        <v>46234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45372</v>
      </c>
      <c r="E527" s="1" t="n">
        <v>46234</v>
      </c>
      <c r="F527" t="inlineStr">
        <is>
          <t>JÖNKÖPINGS LÄN</t>
        </is>
      </c>
      <c r="G527" t="inlineStr">
        <is>
          <t>EKSJÖ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44623</v>
      </c>
      <c r="E528" s="1" t="n">
        <v>46234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45156</v>
      </c>
      <c r="E529" s="1" t="n">
        <v>46234</v>
      </c>
      <c r="F529" t="inlineStr">
        <is>
          <t>JÖNKÖPINGS LÄN</t>
        </is>
      </c>
      <c r="G529" t="inlineStr">
        <is>
          <t>EKSJÖ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45071</v>
      </c>
      <c r="E530" s="1" t="n">
        <v>46234</v>
      </c>
      <c r="F530" t="inlineStr">
        <is>
          <t>JÖNKÖPINGS LÄN</t>
        </is>
      </c>
      <c r="G530" t="inlineStr">
        <is>
          <t>EKSJÖ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59905-2022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44908</v>
      </c>
      <c r="E531" s="1" t="n">
        <v>46234</v>
      </c>
      <c r="F531" t="inlineStr">
        <is>
          <t>JÖNKÖPINGS LÄN</t>
        </is>
      </c>
      <c r="G531" t="inlineStr">
        <is>
          <t>EKSJÖ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45391</v>
      </c>
      <c r="E532" s="1" t="n">
        <v>46234</v>
      </c>
      <c r="F532" t="inlineStr">
        <is>
          <t>JÖNKÖPINGS LÄN</t>
        </is>
      </c>
      <c r="G532" t="inlineStr">
        <is>
          <t>EKSJÖ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46234</v>
      </c>
      <c r="F533" t="inlineStr">
        <is>
          <t>JÖNKÖPINGS LÄN</t>
        </is>
      </c>
      <c r="G533" t="inlineStr">
        <is>
          <t>EKSJÖ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44293-2025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45916</v>
      </c>
      <c r="E534" s="1" t="n">
        <v>46234</v>
      </c>
      <c r="F534" t="inlineStr">
        <is>
          <t>JÖNKÖPINGS LÄN</t>
        </is>
      </c>
      <c r="G534" t="inlineStr">
        <is>
          <t>EKSJÖ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30527-2023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45111</v>
      </c>
      <c r="E535" s="1" t="n">
        <v>46234</v>
      </c>
      <c r="F535" t="inlineStr">
        <is>
          <t>JÖNKÖPINGS LÄN</t>
        </is>
      </c>
      <c r="G535" t="inlineStr">
        <is>
          <t>EKSJÖ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46234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44600</v>
      </c>
      <c r="E537" s="1" t="n">
        <v>46234</v>
      </c>
      <c r="F537" t="inlineStr">
        <is>
          <t>JÖNKÖPINGS LÄN</t>
        </is>
      </c>
      <c r="G537" t="inlineStr">
        <is>
          <t>EKSJÖ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46234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46234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46234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46234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45411</v>
      </c>
      <c r="E542" s="1" t="n">
        <v>46234</v>
      </c>
      <c r="F542" t="inlineStr">
        <is>
          <t>JÖNKÖPINGS LÄN</t>
        </is>
      </c>
      <c r="G542" t="inlineStr">
        <is>
          <t>EKSJÖ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49919-2023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45214</v>
      </c>
      <c r="E543" s="1" t="n">
        <v>46234</v>
      </c>
      <c r="F543" t="inlineStr">
        <is>
          <t>JÖNKÖPINGS LÄN</t>
        </is>
      </c>
      <c r="G543" t="inlineStr">
        <is>
          <t>EKSJÖ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46234</v>
      </c>
      <c r="F544" t="inlineStr">
        <is>
          <t>JÖNKÖPINGS LÄN</t>
        </is>
      </c>
      <c r="G544" t="inlineStr">
        <is>
          <t>EKSJÖ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44746</v>
      </c>
      <c r="E545" s="1" t="n">
        <v>46234</v>
      </c>
      <c r="F545" t="inlineStr">
        <is>
          <t>JÖNKÖPINGS LÄN</t>
        </is>
      </c>
      <c r="G545" t="inlineStr">
        <is>
          <t>EKSJÖ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46234</v>
      </c>
      <c r="F546" t="inlineStr">
        <is>
          <t>JÖNKÖPINGS LÄN</t>
        </is>
      </c>
      <c r="G546" t="inlineStr">
        <is>
          <t>EKSJÖ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58095-2024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46234</v>
      </c>
      <c r="F547" t="inlineStr">
        <is>
          <t>JÖNKÖPINGS LÄN</t>
        </is>
      </c>
      <c r="G547" t="inlineStr">
        <is>
          <t>EKSJÖ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46234</v>
      </c>
      <c r="F548" t="inlineStr">
        <is>
          <t>JÖNKÖPINGS LÄN</t>
        </is>
      </c>
      <c r="G548" t="inlineStr">
        <is>
          <t>EKSJÖ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51020-2023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46234</v>
      </c>
      <c r="F549" t="inlineStr">
        <is>
          <t>JÖNKÖPINGS LÄN</t>
        </is>
      </c>
      <c r="G549" t="inlineStr">
        <is>
          <t>EKSJÖ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45334</v>
      </c>
      <c r="E550" s="1" t="n">
        <v>46234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46577-2022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44848</v>
      </c>
      <c r="E551" s="1" t="n">
        <v>46234</v>
      </c>
      <c r="F551" t="inlineStr">
        <is>
          <t>JÖNKÖPINGS LÄN</t>
        </is>
      </c>
      <c r="G551" t="inlineStr">
        <is>
          <t>EKSJÖ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45537</v>
      </c>
      <c r="E552" s="1" t="n">
        <v>46234</v>
      </c>
      <c r="F552" t="inlineStr">
        <is>
          <t>JÖNKÖPINGS LÄN</t>
        </is>
      </c>
      <c r="G552" t="inlineStr">
        <is>
          <t>EKSJÖ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9292-2025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46234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46234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46234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45715</v>
      </c>
      <c r="E556" s="1" t="n">
        <v>46234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45715</v>
      </c>
      <c r="E557" s="1" t="n">
        <v>46234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47204-2022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44851</v>
      </c>
      <c r="E558" s="1" t="n">
        <v>46234</v>
      </c>
      <c r="F558" t="inlineStr">
        <is>
          <t>JÖNKÖPINGS LÄN</t>
        </is>
      </c>
      <c r="G558" t="inlineStr">
        <is>
          <t>EKSJÖ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45707</v>
      </c>
      <c r="E559" s="1" t="n">
        <v>46234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46234</v>
      </c>
      <c r="F560" t="inlineStr">
        <is>
          <t>JÖNKÖPINGS LÄN</t>
        </is>
      </c>
      <c r="G560" t="inlineStr">
        <is>
          <t>EKSJÖ</t>
        </is>
      </c>
      <c r="I560" t="n">
        <v>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45329</v>
      </c>
      <c r="E561" s="1" t="n">
        <v>46234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58490-2024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46234</v>
      </c>
      <c r="F562" t="inlineStr">
        <is>
          <t>JÖNKÖPINGS LÄN</t>
        </is>
      </c>
      <c r="G562" t="inlineStr">
        <is>
          <t>EKSJÖ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5627-2024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45334</v>
      </c>
      <c r="E563" s="1" t="n">
        <v>46234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45334</v>
      </c>
      <c r="E564" s="1" t="n">
        <v>46234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44939</v>
      </c>
      <c r="E565" s="1" t="n">
        <v>46234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41816-2024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45561</v>
      </c>
      <c r="E566" s="1" t="n">
        <v>46234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46175</v>
      </c>
      <c r="E567" s="1" t="n">
        <v>46234</v>
      </c>
      <c r="F567" t="inlineStr">
        <is>
          <t>JÖNKÖPINGS LÄN</t>
        </is>
      </c>
      <c r="G567" t="inlineStr">
        <is>
          <t>EKSJÖ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46234</v>
      </c>
      <c r="F568" t="inlineStr">
        <is>
          <t>JÖNKÖPINGS LÄN</t>
        </is>
      </c>
      <c r="G568" t="inlineStr">
        <is>
          <t>EKSJÖ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44719</v>
      </c>
      <c r="E569" s="1" t="n">
        <v>46234</v>
      </c>
      <c r="F569" t="inlineStr">
        <is>
          <t>JÖNKÖPINGS LÄN</t>
        </is>
      </c>
      <c r="G569" t="inlineStr">
        <is>
          <t>EKSJÖ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46234</v>
      </c>
      <c r="F570" t="inlineStr">
        <is>
          <t>JÖNKÖPINGS LÄN</t>
        </is>
      </c>
      <c r="G570" t="inlineStr">
        <is>
          <t>EKSJÖ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18337-2025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45762</v>
      </c>
      <c r="E571" s="1" t="n">
        <v>46234</v>
      </c>
      <c r="F571" t="inlineStr">
        <is>
          <t>JÖNKÖPINGS LÄN</t>
        </is>
      </c>
      <c r="G571" t="inlineStr">
        <is>
          <t>EKSJÖ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46234</v>
      </c>
      <c r="F572" t="inlineStr">
        <is>
          <t>JÖNKÖPINGS LÄN</t>
        </is>
      </c>
      <c r="G572" t="inlineStr">
        <is>
          <t>EKSJÖ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45671</v>
      </c>
      <c r="E573" s="1" t="n">
        <v>46234</v>
      </c>
      <c r="F573" t="inlineStr">
        <is>
          <t>JÖNKÖPINGS LÄN</t>
        </is>
      </c>
      <c r="G573" t="inlineStr">
        <is>
          <t>EKSJÖ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46212</v>
      </c>
      <c r="E574" s="1" t="n">
        <v>46234</v>
      </c>
      <c r="F574" t="inlineStr">
        <is>
          <t>JÖNKÖPINGS LÄN</t>
        </is>
      </c>
      <c r="G574" t="inlineStr">
        <is>
          <t>EKSJÖ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46234</v>
      </c>
      <c r="F575" t="inlineStr">
        <is>
          <t>JÖNKÖPINGS LÄN</t>
        </is>
      </c>
      <c r="G575" t="inlineStr">
        <is>
          <t>EKSJÖ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46234</v>
      </c>
      <c r="F576" t="inlineStr">
        <is>
          <t>JÖNKÖPINGS LÄN</t>
        </is>
      </c>
      <c r="G576" t="inlineStr">
        <is>
          <t>EKSJÖ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46234</v>
      </c>
      <c r="F577" t="inlineStr">
        <is>
          <t>JÖNKÖPINGS LÄN</t>
        </is>
      </c>
      <c r="G577" t="inlineStr">
        <is>
          <t>EKSJÖ</t>
        </is>
      </c>
      <c r="H577" t="inlineStr">
        <is>
          <t>Kyrkan</t>
        </is>
      </c>
      <c r="I577" t="n">
        <v>15.2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26405-2026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46183</v>
      </c>
      <c r="E578" s="1" t="n">
        <v>46234</v>
      </c>
      <c r="F578" t="inlineStr">
        <is>
          <t>JÖNKÖPINGS LÄN</t>
        </is>
      </c>
      <c r="G578" t="inlineStr">
        <is>
          <t>EKSJÖ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46234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46234</v>
      </c>
      <c r="F580" t="inlineStr">
        <is>
          <t>JÖNKÖPINGS LÄN</t>
        </is>
      </c>
      <c r="G580" t="inlineStr">
        <is>
          <t>EKSJÖ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46234</v>
      </c>
      <c r="F581" t="inlineStr">
        <is>
          <t>JÖNKÖPINGS LÄN</t>
        </is>
      </c>
      <c r="G581" t="inlineStr">
        <is>
          <t>EKSJÖ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46234</v>
      </c>
      <c r="F582" t="inlineStr">
        <is>
          <t>JÖNKÖPINGS LÄN</t>
        </is>
      </c>
      <c r="G582" t="inlineStr">
        <is>
          <t>EKSJÖ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46234</v>
      </c>
      <c r="F583" t="inlineStr">
        <is>
          <t>JÖNKÖPINGS LÄN</t>
        </is>
      </c>
      <c r="G583" t="inlineStr">
        <is>
          <t>EKSJÖ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46234</v>
      </c>
      <c r="F584" t="inlineStr">
        <is>
          <t>JÖNKÖPINGS LÄN</t>
        </is>
      </c>
      <c r="G584" t="inlineStr">
        <is>
          <t>EKSJÖ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46234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46234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46234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46234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46234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46234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46234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46234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46234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46234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46234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46234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46234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46234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46234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46234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46234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46234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46234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46234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46234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46234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46234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46234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46234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46234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46234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46234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46234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2026-07-31T01:55:09Z</dcterms:created>
  <dcterms:modified xmlns:dcterms="http://purl.org/dc/terms/" xmlns:xsi="http://www.w3.org/2001/XMLSchema-instance" xsi:type="dcterms:W3CDTF">2026-07-31T01:55:09Z</dcterms:modified>
</cp:coreProperties>
</file>