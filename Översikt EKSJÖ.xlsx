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46217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46217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46217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46217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46217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Y6">
        <f>HYPERLINK("https://klasma.github.io/Logging_0686/klagomål/A 12574-2023 FSC-klagomål.docx", "A 12574-2023")</f>
        <v/>
      </c>
      <c r="Z6">
        <f>HYPERLINK("https://klasma.github.io/Logging_0686/klagomålsmail/A 12574-2023 FSC-klagomål mail.docx", "A 12574-2023")</f>
        <v/>
      </c>
      <c r="AA6">
        <f>HYPERLINK("https://klasma.github.io/Logging_0686/tillsyn/A 12574-2023 tillsynsbegäran.docx", "A 12574-2023")</f>
        <v/>
      </c>
      <c r="AB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46217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Y7">
        <f>HYPERLINK("https://klasma.github.io/Logging_0686/klagomål/A 65405-2021 FSC-klagomål.docx", "A 65405-2021")</f>
        <v/>
      </c>
      <c r="Z7">
        <f>HYPERLINK("https://klasma.github.io/Logging_0686/klagomålsmail/A 65405-2021 FSC-klagomål mail.docx", "A 65405-2021")</f>
        <v/>
      </c>
      <c r="AA7">
        <f>HYPERLINK("https://klasma.github.io/Logging_0686/tillsyn/A 65405-2021 tillsynsbegäran.docx", "A 65405-2021")</f>
        <v/>
      </c>
      <c r="AB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46217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46217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46217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46217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Gulsparv
Björksplintborre</t>
        </is>
      </c>
      <c r="V11">
        <f>HYPERLINK("https://klasma.github.io/Logging_0686/artfynd/A 16876-2024 artfynd.xlsx", "A 16876-2024")</f>
        <v/>
      </c>
      <c r="W11">
        <f>HYPERLINK("https://klasma.github.io/Logging_0686/kartor/A 16876-2024 karta.png", "A 16876-2024")</f>
        <v/>
      </c>
      <c r="Y11">
        <f>HYPERLINK("https://klasma.github.io/Logging_0686/klagomål/A 16876-2024 FSC-klagomål.docx", "A 16876-2024")</f>
        <v/>
      </c>
      <c r="Z11">
        <f>HYPERLINK("https://klasma.github.io/Logging_0686/klagomålsmail/A 16876-2024 FSC-klagomål mail.docx", "A 16876-2024")</f>
        <v/>
      </c>
      <c r="AA11">
        <f>HYPERLINK("https://klasma.github.io/Logging_0686/tillsyn/A 16876-2024 tillsynsbegäran.docx", "A 16876-2024")</f>
        <v/>
      </c>
      <c r="AB11">
        <f>HYPERLINK("https://klasma.github.io/Logging_0686/tillsynsmail/A 16876-2024 tillsynsbegäran mail.docx", "A 16876-2024")</f>
        <v/>
      </c>
      <c r="AC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46217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Dvärghäxört
Springkorn</t>
        </is>
      </c>
      <c r="V12">
        <f>HYPERLINK("https://klasma.github.io/Logging_0686/artfynd/A 55636-2022 artfynd.xlsx", "A 55636-2022")</f>
        <v/>
      </c>
      <c r="W12">
        <f>HYPERLINK("https://klasma.github.io/Logging_0686/kartor/A 55636-2022 karta.png", "A 55636-2022")</f>
        <v/>
      </c>
      <c r="Y12">
        <f>HYPERLINK("https://klasma.github.io/Logging_0686/klagomål/A 55636-2022 FSC-klagomål.docx", "A 55636-2022")</f>
        <v/>
      </c>
      <c r="Z12">
        <f>HYPERLINK("https://klasma.github.io/Logging_0686/klagomålsmail/A 55636-2022 FSC-klagomål mail.docx", "A 55636-2022")</f>
        <v/>
      </c>
      <c r="AA12">
        <f>HYPERLINK("https://klasma.github.io/Logging_0686/tillsyn/A 55636-2022 tillsynsbegäran.docx", "A 55636-2022")</f>
        <v/>
      </c>
      <c r="AB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46217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Fjällig taggsvamp s.str.
Rökmusseron</t>
        </is>
      </c>
      <c r="V13">
        <f>HYPERLINK("https://klasma.github.io/Logging_0686/artfynd/A 19135-2025 artfynd.xlsx", "A 19135-2025")</f>
        <v/>
      </c>
      <c r="W13">
        <f>HYPERLINK("https://klasma.github.io/Logging_0686/kartor/A 19135-2025 karta.png", "A 19135-2025")</f>
        <v/>
      </c>
      <c r="Y13">
        <f>HYPERLINK("https://klasma.github.io/Logging_0686/klagomål/A 19135-2025 FSC-klagomål.docx", "A 19135-2025")</f>
        <v/>
      </c>
      <c r="Z13">
        <f>HYPERLINK("https://klasma.github.io/Logging_0686/klagomålsmail/A 19135-2025 FSC-klagomål mail.docx", "A 19135-2025")</f>
        <v/>
      </c>
      <c r="AA13">
        <f>HYPERLINK("https://klasma.github.io/Logging_0686/tillsyn/A 19135-2025 tillsynsbegäran.docx", "A 19135-2025")</f>
        <v/>
      </c>
      <c r="AB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46217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s="2" t="inlineStr">
        <is>
          <t>Svart trolldruva
Blåsippa</t>
        </is>
      </c>
      <c r="V14">
        <f>HYPERLINK("https://klasma.github.io/Logging_0686/artfynd/A 64978-2023 artfynd.xlsx", "A 64978-2023")</f>
        <v/>
      </c>
      <c r="W14">
        <f>HYPERLINK("https://klasma.github.io/Logging_0686/kartor/A 64978-2023 karta.png", "A 64978-2023")</f>
        <v/>
      </c>
      <c r="Y14">
        <f>HYPERLINK("https://klasma.github.io/Logging_0686/klagomål/A 64978-2023 FSC-klagomål.docx", "A 64978-2023")</f>
        <v/>
      </c>
      <c r="Z14">
        <f>HYPERLINK("https://klasma.github.io/Logging_0686/klagomålsmail/A 64978-2023 FSC-klagomål mail.docx", "A 64978-2023")</f>
        <v/>
      </c>
      <c r="AA14">
        <f>HYPERLINK("https://klasma.github.io/Logging_0686/tillsyn/A 64978-2023 tillsynsbegäran.docx", "A 64978-2023")</f>
        <v/>
      </c>
      <c r="AB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46217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Nordfladdermus
Större brunfladdermus</t>
        </is>
      </c>
      <c r="V15">
        <f>HYPERLINK("https://klasma.github.io/Logging_0686/artfynd/A 44585-2024 artfynd.xlsx", "A 44585-2024")</f>
        <v/>
      </c>
      <c r="W15">
        <f>HYPERLINK("https://klasma.github.io/Logging_0686/kartor/A 44585-2024 karta.png", "A 44585-2024")</f>
        <v/>
      </c>
      <c r="Y15">
        <f>HYPERLINK("https://klasma.github.io/Logging_0686/klagomål/A 44585-2024 FSC-klagomål.docx", "A 44585-2024")</f>
        <v/>
      </c>
      <c r="Z15">
        <f>HYPERLINK("https://klasma.github.io/Logging_0686/klagomålsmail/A 44585-2024 FSC-klagomål mail.docx", "A 44585-2024")</f>
        <v/>
      </c>
      <c r="AA15">
        <f>HYPERLINK("https://klasma.github.io/Logging_0686/tillsyn/A 44585-2024 tillsynsbegäran.docx", "A 44585-2024")</f>
        <v/>
      </c>
      <c r="AB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46217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46217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46217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46217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46217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46217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46217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46217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Y23">
        <f>HYPERLINK("https://klasma.github.io/Logging_0686/klagomål/A 46852-2022 FSC-klagomål.docx", "A 46852-2022")</f>
        <v/>
      </c>
      <c r="Z23">
        <f>HYPERLINK("https://klasma.github.io/Logging_0686/klagomålsmail/A 46852-2022 FSC-klagomål mail.docx", "A 46852-2022")</f>
        <v/>
      </c>
      <c r="AA23">
        <f>HYPERLINK("https://klasma.github.io/Logging_0686/tillsyn/A 46852-2022 tillsynsbegäran.docx", "A 46852-2022")</f>
        <v/>
      </c>
      <c r="AB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46217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HYPERLINK("https://klasma.github.io/Logging_0686/artfynd/A 72037-2021 artfynd.xlsx", "A 72037-2021")</f>
        <v/>
      </c>
      <c r="W24">
        <f>HYPERLINK("https://klasma.github.io/Logging_0686/kartor/A 72037-2021 karta.png", "A 72037-2021")</f>
        <v/>
      </c>
      <c r="Y24">
        <f>HYPERLINK("https://klasma.github.io/Logging_0686/klagomål/A 72037-2021 FSC-klagomål.docx", "A 72037-2021")</f>
        <v/>
      </c>
      <c r="Z24">
        <f>HYPERLINK("https://klasma.github.io/Logging_0686/klagomålsmail/A 72037-2021 FSC-klagomål mail.docx", "A 72037-2021")</f>
        <v/>
      </c>
      <c r="AA24">
        <f>HYPERLINK("https://klasma.github.io/Logging_0686/tillsyn/A 72037-2021 tillsynsbegäran.docx", "A 72037-2021")</f>
        <v/>
      </c>
      <c r="AB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46217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HYPERLINK("https://klasma.github.io/Logging_0686/artfynd/A 5519-2024 artfynd.xlsx", "A 5519-2024")</f>
        <v/>
      </c>
      <c r="W25">
        <f>HYPERLINK("https://klasma.github.io/Logging_0686/kartor/A 5519-2024 karta.png", "A 5519-2024")</f>
        <v/>
      </c>
      <c r="Y25">
        <f>HYPERLINK("https://klasma.github.io/Logging_0686/klagomål/A 5519-2024 FSC-klagomål.docx", "A 5519-2024")</f>
        <v/>
      </c>
      <c r="Z25">
        <f>HYPERLINK("https://klasma.github.io/Logging_0686/klagomålsmail/A 5519-2024 FSC-klagomål mail.docx", "A 5519-2024")</f>
        <v/>
      </c>
      <c r="AA25">
        <f>HYPERLINK("https://klasma.github.io/Logging_0686/tillsyn/A 5519-2024 tillsynsbegäran.docx", "A 5519-2024")</f>
        <v/>
      </c>
      <c r="AB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46217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HYPERLINK("https://klasma.github.io/Logging_0686/artfynd/A 47729-2022 artfynd.xlsx", "A 47729-2022")</f>
        <v/>
      </c>
      <c r="W26">
        <f>HYPERLINK("https://klasma.github.io/Logging_0686/kartor/A 47729-2022 karta.png", "A 47729-2022")</f>
        <v/>
      </c>
      <c r="Y26">
        <f>HYPERLINK("https://klasma.github.io/Logging_0686/klagomål/A 47729-2022 FSC-klagomål.docx", "A 47729-2022")</f>
        <v/>
      </c>
      <c r="Z26">
        <f>HYPERLINK("https://klasma.github.io/Logging_0686/klagomålsmail/A 47729-2022 FSC-klagomål mail.docx", "A 47729-2022")</f>
        <v/>
      </c>
      <c r="AA26">
        <f>HYPERLINK("https://klasma.github.io/Logging_0686/tillsyn/A 47729-2022 tillsynsbegäran.docx", "A 47729-2022")</f>
        <v/>
      </c>
      <c r="AB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46217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Sotvaxskivling</t>
        </is>
      </c>
      <c r="V27">
        <f>HYPERLINK("https://klasma.github.io/Logging_0686/artfynd/A 10726-2024 artfynd.xlsx", "A 10726-2024")</f>
        <v/>
      </c>
      <c r="W27">
        <f>HYPERLINK("https://klasma.github.io/Logging_0686/kartor/A 10726-2024 karta.png", "A 10726-2024")</f>
        <v/>
      </c>
      <c r="Y27">
        <f>HYPERLINK("https://klasma.github.io/Logging_0686/klagomål/A 10726-2024 FSC-klagomål.docx", "A 10726-2024")</f>
        <v/>
      </c>
      <c r="Z27">
        <f>HYPERLINK("https://klasma.github.io/Logging_0686/klagomålsmail/A 10726-2024 FSC-klagomål mail.docx", "A 10726-2024")</f>
        <v/>
      </c>
      <c r="AA27">
        <f>HYPERLINK("https://klasma.github.io/Logging_0686/tillsyn/A 10726-2024 tillsynsbegäran.docx", "A 10726-2024")</f>
        <v/>
      </c>
      <c r="AB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46217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HYPERLINK("https://klasma.github.io/Logging_0686/artfynd/A 4786-2024 artfynd.xlsx", "A 4786-2024")</f>
        <v/>
      </c>
      <c r="W28">
        <f>HYPERLINK("https://klasma.github.io/Logging_0686/kartor/A 4786-2024 karta.png", "A 4786-2024")</f>
        <v/>
      </c>
      <c r="Y28">
        <f>HYPERLINK("https://klasma.github.io/Logging_0686/klagomål/A 4786-2024 FSC-klagomål.docx", "A 4786-2024")</f>
        <v/>
      </c>
      <c r="Z28">
        <f>HYPERLINK("https://klasma.github.io/Logging_0686/klagomålsmail/A 4786-2024 FSC-klagomål mail.docx", "A 4786-2024")</f>
        <v/>
      </c>
      <c r="AA28">
        <f>HYPERLINK("https://klasma.github.io/Logging_0686/tillsyn/A 4786-2024 tillsynsbegäran.docx", "A 4786-2024")</f>
        <v/>
      </c>
      <c r="AB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46217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Gullklöver</t>
        </is>
      </c>
      <c r="V29">
        <f>HYPERLINK("https://klasma.github.io/Logging_0686/artfynd/A 58-2023 artfynd.xlsx", "A 58-2023")</f>
        <v/>
      </c>
      <c r="W29">
        <f>HYPERLINK("https://klasma.github.io/Logging_0686/kartor/A 58-2023 karta.png", "A 58-2023")</f>
        <v/>
      </c>
      <c r="Y29">
        <f>HYPERLINK("https://klasma.github.io/Logging_0686/klagomål/A 58-2023 FSC-klagomål.docx", "A 58-2023")</f>
        <v/>
      </c>
      <c r="Z29">
        <f>HYPERLINK("https://klasma.github.io/Logging_0686/klagomålsmail/A 58-2023 FSC-klagomål mail.docx", "A 58-2023")</f>
        <v/>
      </c>
      <c r="AA29">
        <f>HYPERLINK("https://klasma.github.io/Logging_0686/tillsyn/A 58-2023 tillsynsbegäran.docx", "A 58-2023")</f>
        <v/>
      </c>
      <c r="AB29">
        <f>HYPERLINK("https://klasma.github.io/Logging_0686/tillsynsmail/A 58-2023 tillsynsbegäran mail.docx", "A 58-2023")</f>
        <v/>
      </c>
    </row>
    <row r="30" ht="15" customHeight="1">
      <c r="A30" t="inlineStr">
        <is>
          <t>A 32830-2025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46217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Spindelblomster</t>
        </is>
      </c>
      <c r="V30">
        <f>HYPERLINK("https://klasma.github.io/Logging_0686/artfynd/A 32830-2025 artfynd.xlsx", "A 32830-2025")</f>
        <v/>
      </c>
      <c r="W30">
        <f>HYPERLINK("https://klasma.github.io/Logging_0686/kartor/A 32830-2025 karta.png", "A 32830-2025")</f>
        <v/>
      </c>
      <c r="Y30">
        <f>HYPERLINK("https://klasma.github.io/Logging_0686/klagomål/A 32830-2025 FSC-klagomål.docx", "A 32830-2025")</f>
        <v/>
      </c>
      <c r="Z30">
        <f>HYPERLINK("https://klasma.github.io/Logging_0686/klagomålsmail/A 32830-2025 FSC-klagomål mail.docx", "A 32830-2025")</f>
        <v/>
      </c>
      <c r="AA30">
        <f>HYPERLINK("https://klasma.github.io/Logging_0686/tillsyn/A 32830-2025 tillsynsbegäran.docx", "A 32830-2025")</f>
        <v/>
      </c>
      <c r="AB30">
        <f>HYPERLINK("https://klasma.github.io/Logging_0686/tillsynsmail/A 32830-2025 tillsynsbegäran mail.docx", "A 32830-2025")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46217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Gränsticka</t>
        </is>
      </c>
      <c r="V31">
        <f>HYPERLINK("https://klasma.github.io/Logging_0686/artfynd/A 41029-2025 artfynd.xlsx", "A 41029-2025")</f>
        <v/>
      </c>
      <c r="W31">
        <f>HYPERLINK("https://klasma.github.io/Logging_0686/kartor/A 41029-2025 karta.png", "A 41029-2025")</f>
        <v/>
      </c>
      <c r="Y31">
        <f>HYPERLINK("https://klasma.github.io/Logging_0686/klagomål/A 41029-2025 FSC-klagomål.docx", "A 41029-2025")</f>
        <v/>
      </c>
      <c r="Z31">
        <f>HYPERLINK("https://klasma.github.io/Logging_0686/klagomålsmail/A 41029-2025 FSC-klagomål mail.docx", "A 41029-2025")</f>
        <v/>
      </c>
      <c r="AA31">
        <f>HYPERLINK("https://klasma.github.io/Logging_0686/tillsyn/A 41029-2025 tillsynsbegäran.docx", "A 41029-2025")</f>
        <v/>
      </c>
      <c r="AB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46217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s="2" t="inlineStr">
        <is>
          <t>Ask</t>
        </is>
      </c>
      <c r="V32">
        <f>HYPERLINK("https://klasma.github.io/Logging_0686/artfynd/A 52446-2025 artfynd.xlsx", "A 52446-2025")</f>
        <v/>
      </c>
      <c r="W32">
        <f>HYPERLINK("https://klasma.github.io/Logging_0686/kartor/A 52446-2025 karta.png", "A 52446-2025")</f>
        <v/>
      </c>
      <c r="Y32">
        <f>HYPERLINK("https://klasma.github.io/Logging_0686/klagomål/A 52446-2025 FSC-klagomål.docx", "A 52446-2025")</f>
        <v/>
      </c>
      <c r="Z32">
        <f>HYPERLINK("https://klasma.github.io/Logging_0686/klagomålsmail/A 52446-2025 FSC-klagomål mail.docx", "A 52446-2025")</f>
        <v/>
      </c>
      <c r="AA32">
        <f>HYPERLINK("https://klasma.github.io/Logging_0686/tillsyn/A 52446-2025 tillsynsbegäran.docx", "A 52446-2025")</f>
        <v/>
      </c>
      <c r="AB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46217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Brunfläckig pärlemorfjäril</t>
        </is>
      </c>
      <c r="V33">
        <f>HYPERLINK("https://klasma.github.io/Logging_0686/artfynd/A 56410-2025 artfynd.xlsx", "A 56410-2025")</f>
        <v/>
      </c>
      <c r="W33">
        <f>HYPERLINK("https://klasma.github.io/Logging_0686/kartor/A 56410-2025 karta.png", "A 56410-2025")</f>
        <v/>
      </c>
      <c r="Y33">
        <f>HYPERLINK("https://klasma.github.io/Logging_0686/klagomål/A 56410-2025 FSC-klagomål.docx", "A 56410-2025")</f>
        <v/>
      </c>
      <c r="Z33">
        <f>HYPERLINK("https://klasma.github.io/Logging_0686/klagomålsmail/A 56410-2025 FSC-klagomål mail.docx", "A 56410-2025")</f>
        <v/>
      </c>
      <c r="AA33">
        <f>HYPERLINK("https://klasma.github.io/Logging_0686/tillsyn/A 56410-2025 tillsynsbegäran.docx", "A 56410-2025")</f>
        <v/>
      </c>
      <c r="AB33">
        <f>HYPERLINK("https://klasma.github.io/Logging_0686/tillsynsmail/A 56410-2025 tillsynsbegäran mail.docx", "A 56410-2025")</f>
        <v/>
      </c>
    </row>
    <row r="34" ht="15" customHeight="1">
      <c r="A34" t="inlineStr">
        <is>
          <t>A 18327-2024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45422</v>
      </c>
      <c r="E34" s="1" t="n">
        <v>46217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Dvärgbägarlav</t>
        </is>
      </c>
      <c r="V34">
        <f>HYPERLINK("https://klasma.github.io/Logging_0686/artfynd/A 18327-2024 artfynd.xlsx", "A 18327-2024")</f>
        <v/>
      </c>
      <c r="W34">
        <f>HYPERLINK("https://klasma.github.io/Logging_0686/kartor/A 18327-2024 karta.png", "A 18327-2024")</f>
        <v/>
      </c>
      <c r="Y34">
        <f>HYPERLINK("https://klasma.github.io/Logging_0686/klagomål/A 18327-2024 FSC-klagomål.docx", "A 18327-2024")</f>
        <v/>
      </c>
      <c r="Z34">
        <f>HYPERLINK("https://klasma.github.io/Logging_0686/klagomålsmail/A 18327-2024 FSC-klagomål mail.docx", "A 18327-2024")</f>
        <v/>
      </c>
      <c r="AA34">
        <f>HYPERLINK("https://klasma.github.io/Logging_0686/tillsyn/A 18327-2024 tillsynsbegäran.docx", "A 18327-2024")</f>
        <v/>
      </c>
      <c r="AB34">
        <f>HYPERLINK("https://klasma.github.io/Logging_0686/tillsynsmail/A 18327-2024 tillsynsbegäran mail.docx", "A 18327-2024")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46217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Spindelört</t>
        </is>
      </c>
      <c r="V35">
        <f>HYPERLINK("https://klasma.github.io/Logging_0686/artfynd/A 23536-2026 artfynd.xlsx", "A 23536-2026")</f>
        <v/>
      </c>
      <c r="W35">
        <f>HYPERLINK("https://klasma.github.io/Logging_0686/kartor/A 23536-2026 karta.png", "A 23536-2026")</f>
        <v/>
      </c>
      <c r="Y35">
        <f>HYPERLINK("https://klasma.github.io/Logging_0686/klagomål/A 23536-2026 FSC-klagomål.docx", "A 23536-2026")</f>
        <v/>
      </c>
      <c r="Z35">
        <f>HYPERLINK("https://klasma.github.io/Logging_0686/klagomålsmail/A 23536-2026 FSC-klagomål mail.docx", "A 23536-2026")</f>
        <v/>
      </c>
      <c r="AA35">
        <f>HYPERLINK("https://klasma.github.io/Logging_0686/tillsyn/A 23536-2026 tillsynsbegäran.docx", "A 23536-2026")</f>
        <v/>
      </c>
      <c r="AB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46217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Svartvit flugsnappare</t>
        </is>
      </c>
      <c r="V36">
        <f>HYPERLINK("https://klasma.github.io/Logging_0686/artfynd/A 23519-2026 artfynd.xlsx", "A 23519-2026")</f>
        <v/>
      </c>
      <c r="W36">
        <f>HYPERLINK("https://klasma.github.io/Logging_0686/kartor/A 23519-2026 karta.png", "A 23519-2026")</f>
        <v/>
      </c>
      <c r="Y36">
        <f>HYPERLINK("https://klasma.github.io/Logging_0686/klagomål/A 23519-2026 FSC-klagomål.docx", "A 23519-2026")</f>
        <v/>
      </c>
      <c r="Z36">
        <f>HYPERLINK("https://klasma.github.io/Logging_0686/klagomålsmail/A 23519-2026 FSC-klagomål mail.docx", "A 23519-2026")</f>
        <v/>
      </c>
      <c r="AA36">
        <f>HYPERLINK("https://klasma.github.io/Logging_0686/tillsyn/A 23519-2026 tillsynsbegäran.docx", "A 23519-2026")</f>
        <v/>
      </c>
      <c r="AB36">
        <f>HYPERLINK("https://klasma.github.io/Logging_0686/tillsynsmail/A 23519-2026 tillsynsbegäran mail.docx", "A 23519-2026")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46217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Loppstarr</t>
        </is>
      </c>
      <c r="V37">
        <f>HYPERLINK("https://klasma.github.io/Logging_0686/artfynd/A 4446-2023 artfynd.xlsx", "A 4446-2023")</f>
        <v/>
      </c>
      <c r="W37">
        <f>HYPERLINK("https://klasma.github.io/Logging_0686/kartor/A 4446-2023 karta.png", "A 4446-2023")</f>
        <v/>
      </c>
      <c r="Y37">
        <f>HYPERLINK("https://klasma.github.io/Logging_0686/klagomål/A 4446-2023 FSC-klagomål.docx", "A 4446-2023")</f>
        <v/>
      </c>
      <c r="Z37">
        <f>HYPERLINK("https://klasma.github.io/Logging_0686/klagomålsmail/A 4446-2023 FSC-klagomål mail.docx", "A 4446-2023")</f>
        <v/>
      </c>
      <c r="AA37">
        <f>HYPERLINK("https://klasma.github.io/Logging_0686/tillsyn/A 4446-2023 tillsynsbegäran.docx", "A 4446-2023")</f>
        <v/>
      </c>
      <c r="AB37">
        <f>HYPERLINK("https://klasma.github.io/Logging_0686/tillsynsmail/A 4446-2023 tillsynsbegäran mail.docx", "A 4446-2023")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46217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Ask</t>
        </is>
      </c>
      <c r="V38">
        <f>HYPERLINK("https://klasma.github.io/Logging_0686/artfynd/A 29121-2026 artfynd.xlsx", "A 29121-2026")</f>
        <v/>
      </c>
      <c r="W38">
        <f>HYPERLINK("https://klasma.github.io/Logging_0686/kartor/A 29121-2026 karta.png", "A 29121-2026")</f>
        <v/>
      </c>
      <c r="Y38">
        <f>HYPERLINK("https://klasma.github.io/Logging_0686/klagomål/A 29121-2026 FSC-klagomål.docx", "A 29121-2026")</f>
        <v/>
      </c>
      <c r="Z38">
        <f>HYPERLINK("https://klasma.github.io/Logging_0686/klagomålsmail/A 29121-2026 FSC-klagomål mail.docx", "A 29121-2026")</f>
        <v/>
      </c>
      <c r="AA38">
        <f>HYPERLINK("https://klasma.github.io/Logging_0686/tillsyn/A 29121-2026 tillsynsbegäran.docx", "A 29121-2026")</f>
        <v/>
      </c>
      <c r="AB38">
        <f>HYPERLINK("https://klasma.github.io/Logging_0686/tillsynsmail/A 29121-2026 tillsynsbegäran mail.docx", "A 29121-2026")</f>
        <v/>
      </c>
    </row>
    <row r="39" ht="15" customHeight="1">
      <c r="A39" t="inlineStr">
        <is>
          <t>A 41746-2023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45176</v>
      </c>
      <c r="E39" s="1" t="n">
        <v>46217</v>
      </c>
      <c r="F39" t="inlineStr">
        <is>
          <t>JÖNKÖPINGS LÄN</t>
        </is>
      </c>
      <c r="G39" t="inlineStr">
        <is>
          <t>EKSJÖ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Mindre vattensalamander</t>
        </is>
      </c>
      <c r="V39">
        <f>HYPERLINK("https://klasma.github.io/Logging_0686/artfynd/A 41746-2023 artfynd.xlsx", "A 41746-2023")</f>
        <v/>
      </c>
      <c r="W39">
        <f>HYPERLINK("https://klasma.github.io/Logging_0686/kartor/A 41746-2023 karta.png", "A 41746-2023")</f>
        <v/>
      </c>
      <c r="Y39">
        <f>HYPERLINK("https://klasma.github.io/Logging_0686/klagomål/A 41746-2023 FSC-klagomål.docx", "A 41746-2023")</f>
        <v/>
      </c>
      <c r="Z39">
        <f>HYPERLINK("https://klasma.github.io/Logging_0686/klagomålsmail/A 41746-2023 FSC-klagomål mail.docx", "A 41746-2023")</f>
        <v/>
      </c>
      <c r="AA39">
        <f>HYPERLINK("https://klasma.github.io/Logging_0686/tillsyn/A 41746-2023 tillsynsbegäran.docx", "A 41746-2023")</f>
        <v/>
      </c>
      <c r="AB39">
        <f>HYPERLINK("https://klasma.github.io/Logging_0686/tillsynsmail/A 41746-2023 tillsynsbegäran mail.docx", "A 41746-2023")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46217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HYPERLINK("https://klasma.github.io/Logging_0686/artfynd/A 15419-2026 artfynd.xlsx", "A 15419-2026")</f>
        <v/>
      </c>
      <c r="W40">
        <f>HYPERLINK("https://klasma.github.io/Logging_0686/kartor/A 15419-2026 karta.png", "A 15419-2026")</f>
        <v/>
      </c>
      <c r="Y40">
        <f>HYPERLINK("https://klasma.github.io/Logging_0686/klagomål/A 15419-2026 FSC-klagomål.docx", "A 15419-2026")</f>
        <v/>
      </c>
      <c r="Z40">
        <f>HYPERLINK("https://klasma.github.io/Logging_0686/klagomålsmail/A 15419-2026 FSC-klagomål mail.docx", "A 15419-2026")</f>
        <v/>
      </c>
      <c r="AA40">
        <f>HYPERLINK("https://klasma.github.io/Logging_0686/tillsyn/A 15419-2026 tillsynsbegäran.docx", "A 15419-2026")</f>
        <v/>
      </c>
      <c r="AB40">
        <f>HYPERLINK("https://klasma.github.io/Logging_0686/tillsynsmail/A 15419-2026 tillsynsbegäran mail.docx", "A 15419-2026")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46217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s="2" t="inlineStr">
        <is>
          <t>Ask</t>
        </is>
      </c>
      <c r="V41">
        <f>HYPERLINK("https://klasma.github.io/Logging_0686/artfynd/A 38224-2023 artfynd.xlsx", "A 38224-2023")</f>
        <v/>
      </c>
      <c r="W41">
        <f>HYPERLINK("https://klasma.github.io/Logging_0686/kartor/A 38224-2023 karta.png", "A 38224-2023")</f>
        <v/>
      </c>
      <c r="Y41">
        <f>HYPERLINK("https://klasma.github.io/Logging_0686/klagomål/A 38224-2023 FSC-klagomål.docx", "A 38224-2023")</f>
        <v/>
      </c>
      <c r="Z41">
        <f>HYPERLINK("https://klasma.github.io/Logging_0686/klagomålsmail/A 38224-2023 FSC-klagomål mail.docx", "A 38224-2023")</f>
        <v/>
      </c>
      <c r="AA41">
        <f>HYPERLINK("https://klasma.github.io/Logging_0686/tillsyn/A 38224-2023 tillsynsbegäran.docx", "A 38224-2023")</f>
        <v/>
      </c>
      <c r="AB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46217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s="2" t="inlineStr">
        <is>
          <t>Ask</t>
        </is>
      </c>
      <c r="V42">
        <f>HYPERLINK("https://klasma.github.io/Logging_0686/artfynd/A 48033-2023 artfynd.xlsx", "A 48033-2023")</f>
        <v/>
      </c>
      <c r="W42">
        <f>HYPERLINK("https://klasma.github.io/Logging_0686/kartor/A 48033-2023 karta.png", "A 48033-2023")</f>
        <v/>
      </c>
      <c r="Y42">
        <f>HYPERLINK("https://klasma.github.io/Logging_0686/klagomål/A 48033-2023 FSC-klagomål.docx", "A 48033-2023")</f>
        <v/>
      </c>
      <c r="Z42">
        <f>HYPERLINK("https://klasma.github.io/Logging_0686/klagomålsmail/A 48033-2023 FSC-klagomål mail.docx", "A 48033-2023")</f>
        <v/>
      </c>
      <c r="AA42">
        <f>HYPERLINK("https://klasma.github.io/Logging_0686/tillsyn/A 48033-2023 tillsynsbegäran.docx", "A 48033-2023")</f>
        <v/>
      </c>
      <c r="AB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46217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Gröngöling</t>
        </is>
      </c>
      <c r="V43">
        <f>HYPERLINK("https://klasma.github.io/Logging_0686/artfynd/A 4964-2023 artfynd.xlsx", "A 4964-2023")</f>
        <v/>
      </c>
      <c r="W43">
        <f>HYPERLINK("https://klasma.github.io/Logging_0686/kartor/A 4964-2023 karta.png", "A 4964-2023")</f>
        <v/>
      </c>
      <c r="Y43">
        <f>HYPERLINK("https://klasma.github.io/Logging_0686/klagomål/A 4964-2023 FSC-klagomål.docx", "A 4964-2023")</f>
        <v/>
      </c>
      <c r="Z43">
        <f>HYPERLINK("https://klasma.github.io/Logging_0686/klagomålsmail/A 4964-2023 FSC-klagomål mail.docx", "A 4964-2023")</f>
        <v/>
      </c>
      <c r="AA43">
        <f>HYPERLINK("https://klasma.github.io/Logging_0686/tillsyn/A 4964-2023 tillsynsbegäran.docx", "A 4964-2023")</f>
        <v/>
      </c>
      <c r="AB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46217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Ladusvala</t>
        </is>
      </c>
      <c r="V44">
        <f>HYPERLINK("https://klasma.github.io/Logging_0686/artfynd/A 49412-2021 artfynd.xlsx", "A 49412-2021")</f>
        <v/>
      </c>
      <c r="W44">
        <f>HYPERLINK("https://klasma.github.io/Logging_0686/kartor/A 49412-2021 karta.png", "A 49412-2021")</f>
        <v/>
      </c>
      <c r="Y44">
        <f>HYPERLINK("https://klasma.github.io/Logging_0686/klagomål/A 49412-2021 FSC-klagomål.docx", "A 49412-2021")</f>
        <v/>
      </c>
      <c r="Z44">
        <f>HYPERLINK("https://klasma.github.io/Logging_0686/klagomålsmail/A 49412-2021 FSC-klagomål mail.docx", "A 49412-2021")</f>
        <v/>
      </c>
      <c r="AA44">
        <f>HYPERLINK("https://klasma.github.io/Logging_0686/tillsyn/A 49412-2021 tillsynsbegäran.docx", "A 49412-2021")</f>
        <v/>
      </c>
      <c r="AB44">
        <f>HYPERLINK("https://klasma.github.io/Logging_0686/tillsynsmail/A 49412-2021 tillsynsbegäran mail.docx", "A 49412-2021")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46217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s="2" t="inlineStr">
        <is>
          <t>Ask</t>
        </is>
      </c>
      <c r="V45">
        <f>HYPERLINK("https://klasma.github.io/Logging_0686/artfynd/A 5128-2024 artfynd.xlsx", "A 5128-2024")</f>
        <v/>
      </c>
      <c r="W45">
        <f>HYPERLINK("https://klasma.github.io/Logging_0686/kartor/A 5128-2024 karta.png", "A 5128-2024")</f>
        <v/>
      </c>
      <c r="Y45">
        <f>HYPERLINK("https://klasma.github.io/Logging_0686/klagomål/A 5128-2024 FSC-klagomål.docx", "A 5128-2024")</f>
        <v/>
      </c>
      <c r="Z45">
        <f>HYPERLINK("https://klasma.github.io/Logging_0686/klagomålsmail/A 5128-2024 FSC-klagomål mail.docx", "A 5128-2024")</f>
        <v/>
      </c>
      <c r="AA45">
        <f>HYPERLINK("https://klasma.github.io/Logging_0686/tillsyn/A 5128-2024 tillsynsbegäran.docx", "A 5128-2024")</f>
        <v/>
      </c>
      <c r="AB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46217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Myggblomster</t>
        </is>
      </c>
      <c r="V46">
        <f>HYPERLINK("https://klasma.github.io/Logging_0686/artfynd/A 1073-2025 artfynd.xlsx", "A 1073-2025")</f>
        <v/>
      </c>
      <c r="W46">
        <f>HYPERLINK("https://klasma.github.io/Logging_0686/kartor/A 1073-2025 karta.png", "A 1073-2025")</f>
        <v/>
      </c>
      <c r="Y46">
        <f>HYPERLINK("https://klasma.github.io/Logging_0686/klagomål/A 1073-2025 FSC-klagomål.docx", "A 1073-2025")</f>
        <v/>
      </c>
      <c r="Z46">
        <f>HYPERLINK("https://klasma.github.io/Logging_0686/klagomålsmail/A 1073-2025 FSC-klagomål mail.docx", "A 1073-2025")</f>
        <v/>
      </c>
      <c r="AA46">
        <f>HYPERLINK("https://klasma.github.io/Logging_0686/tillsyn/A 1073-2025 tillsynsbegäran.docx", "A 1073-2025")</f>
        <v/>
      </c>
      <c r="AB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46217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Y47">
        <f>HYPERLINK("https://klasma.github.io/Logging_0686/klagomål/S 3702-2024 FSC-klagomål.docx", "S 3702-2024")</f>
        <v/>
      </c>
      <c r="Z47">
        <f>HYPERLINK("https://klasma.github.io/Logging_0686/klagomålsmail/S 3702-2024 FSC-klagomål mail.docx", "S 3702-2024")</f>
        <v/>
      </c>
      <c r="AA47">
        <f>HYPERLINK("https://klasma.github.io/Logging_0686/tillsyn/S 3702-2024 tillsynsbegäran.docx", "S 3702-2024")</f>
        <v/>
      </c>
      <c r="AB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46217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Y48">
        <f>HYPERLINK("https://klasma.github.io/Logging_0686/klagomål/S 2100-2024 FSC-klagomål.docx", "S 2100-2024")</f>
        <v/>
      </c>
      <c r="Z48">
        <f>HYPERLINK("https://klasma.github.io/Logging_0686/klagomålsmail/S 2100-2024 FSC-klagomål mail.docx", "S 2100-2024")</f>
        <v/>
      </c>
      <c r="AA48">
        <f>HYPERLINK("https://klasma.github.io/Logging_0686/tillsyn/S 2100-2024 tillsynsbegäran.docx", "S 2100-2024")</f>
        <v/>
      </c>
      <c r="AB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46217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Y49">
        <f>HYPERLINK("https://klasma.github.io/Logging_0686/klagomål/S 3314-2023 FSC-klagomål.docx", "S 3314-2023")</f>
        <v/>
      </c>
      <c r="Z49">
        <f>HYPERLINK("https://klasma.github.io/Logging_0686/klagomålsmail/S 3314-2023 FSC-klagomål mail.docx", "S 3314-2023")</f>
        <v/>
      </c>
      <c r="AA49">
        <f>HYPERLINK("https://klasma.github.io/Logging_0686/tillsyn/S 3314-2023 tillsynsbegäran.docx", "S 3314-2023")</f>
        <v/>
      </c>
      <c r="AB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46217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Y50">
        <f>HYPERLINK("https://klasma.github.io/Logging_0686/klagomål/S 523-2025 FSC-klagomål.docx", "S 523-2025")</f>
        <v/>
      </c>
      <c r="Z50">
        <f>HYPERLINK("https://klasma.github.io/Logging_0686/klagomålsmail/S 523-2025 FSC-klagomål mail.docx", "S 523-2025")</f>
        <v/>
      </c>
      <c r="AA50">
        <f>HYPERLINK("https://klasma.github.io/Logging_0686/tillsyn/S 523-2025 tillsynsbegäran.docx", "S 523-2025")</f>
        <v/>
      </c>
      <c r="AB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46217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Y51">
        <f>HYPERLINK("https://klasma.github.io/Logging_0686/klagomål/S 2968-2025 FSC-klagomål.docx", "S 2968-2025")</f>
        <v/>
      </c>
      <c r="Z51">
        <f>HYPERLINK("https://klasma.github.io/Logging_0686/klagomålsmail/S 2968-2025 FSC-klagomål mail.docx", "S 2968-2025")</f>
        <v/>
      </c>
      <c r="AA51">
        <f>HYPERLINK("https://klasma.github.io/Logging_0686/tillsyn/S 2968-2025 tillsynsbegäran.docx", "S 2968-2025")</f>
        <v/>
      </c>
      <c r="AB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46217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46217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46217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46217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46217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46217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46217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46217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46217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46217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46217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46217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36599-2021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44391</v>
      </c>
      <c r="E64" s="1" t="n">
        <v>46217</v>
      </c>
      <c r="F64" t="inlineStr">
        <is>
          <t>JÖNKÖPINGS LÄN</t>
        </is>
      </c>
      <c r="G64" t="inlineStr">
        <is>
          <t>EKSJÖ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67951-2021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46217</v>
      </c>
      <c r="F65" t="inlineStr">
        <is>
          <t>JÖNKÖPINGS LÄN</t>
        </is>
      </c>
      <c r="G65" t="inlineStr">
        <is>
          <t>EKSJÖ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51125-2021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46217</v>
      </c>
      <c r="F66" t="inlineStr">
        <is>
          <t>JÖNKÖPINGS LÄN</t>
        </is>
      </c>
      <c r="G66" t="inlineStr">
        <is>
          <t>EKSJÖ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48407-2021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46217</v>
      </c>
      <c r="F67" t="inlineStr">
        <is>
          <t>JÖNKÖPINGS LÄN</t>
        </is>
      </c>
      <c r="G67" t="inlineStr">
        <is>
          <t>EKSJÖ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46217</v>
      </c>
      <c r="F68" t="inlineStr">
        <is>
          <t>JÖNKÖPINGS LÄN</t>
        </is>
      </c>
      <c r="G68" t="inlineStr">
        <is>
          <t>EKSJÖ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46217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46217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46217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28022-2022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46217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46217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52294-2022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44873</v>
      </c>
      <c r="E74" s="1" t="n">
        <v>46217</v>
      </c>
      <c r="F74" t="inlineStr">
        <is>
          <t>JÖNKÖPINGS LÄN</t>
        </is>
      </c>
      <c r="G74" t="inlineStr">
        <is>
          <t>EKSJÖ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65038-2021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46217</v>
      </c>
      <c r="F75" t="inlineStr">
        <is>
          <t>JÖNKÖPINGS LÄN</t>
        </is>
      </c>
      <c r="G75" t="inlineStr">
        <is>
          <t>EKSJÖ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45492-2022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44845</v>
      </c>
      <c r="E76" s="1" t="n">
        <v>46217</v>
      </c>
      <c r="F76" t="inlineStr">
        <is>
          <t>JÖNKÖPINGS LÄN</t>
        </is>
      </c>
      <c r="G76" t="inlineStr">
        <is>
          <t>EKSJÖ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46217</v>
      </c>
      <c r="F77" t="inlineStr">
        <is>
          <t>JÖNKÖPINGS LÄN</t>
        </is>
      </c>
      <c r="G77" t="inlineStr">
        <is>
          <t>EKSJÖ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10349-2022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46217</v>
      </c>
      <c r="F78" t="inlineStr">
        <is>
          <t>JÖNKÖPINGS LÄN</t>
        </is>
      </c>
      <c r="G78" t="inlineStr">
        <is>
          <t>EKSJÖ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43077-2021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46217</v>
      </c>
      <c r="F79" t="inlineStr">
        <is>
          <t>JÖNKÖPINGS LÄN</t>
        </is>
      </c>
      <c r="G79" t="inlineStr">
        <is>
          <t>EKSJÖ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32430-2022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44782</v>
      </c>
      <c r="E80" s="1" t="n">
        <v>46217</v>
      </c>
      <c r="F80" t="inlineStr">
        <is>
          <t>JÖNKÖPINGS LÄN</t>
        </is>
      </c>
      <c r="G80" t="inlineStr">
        <is>
          <t>EKSJÖ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26454-2022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44739</v>
      </c>
      <c r="E81" s="1" t="n">
        <v>46217</v>
      </c>
      <c r="F81" t="inlineStr">
        <is>
          <t>JÖNKÖPINGS LÄN</t>
        </is>
      </c>
      <c r="G81" t="inlineStr">
        <is>
          <t>EKSJÖ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56080-2021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46217</v>
      </c>
      <c r="F82" t="inlineStr">
        <is>
          <t>JÖNKÖPINGS LÄN</t>
        </is>
      </c>
      <c r="G82" t="inlineStr">
        <is>
          <t>EKSJÖ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46217</v>
      </c>
      <c r="F83" t="inlineStr">
        <is>
          <t>JÖNKÖPINGS LÄN</t>
        </is>
      </c>
      <c r="G83" t="inlineStr">
        <is>
          <t>EKSJÖ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45451-2021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44440</v>
      </c>
      <c r="E84" s="1" t="n">
        <v>46217</v>
      </c>
      <c r="F84" t="inlineStr">
        <is>
          <t>JÖNKÖPINGS LÄN</t>
        </is>
      </c>
      <c r="G84" t="inlineStr">
        <is>
          <t>EKSJÖ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46217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73675-2021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44552</v>
      </c>
      <c r="E86" s="1" t="n">
        <v>46217</v>
      </c>
      <c r="F86" t="inlineStr">
        <is>
          <t>JÖNKÖPINGS LÄN</t>
        </is>
      </c>
      <c r="G86" t="inlineStr">
        <is>
          <t>EKSJÖ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56075-2021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46217</v>
      </c>
      <c r="F87" t="inlineStr">
        <is>
          <t>JÖNKÖPINGS LÄN</t>
        </is>
      </c>
      <c r="G87" t="inlineStr">
        <is>
          <t>EKSJÖ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51667-2021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46217</v>
      </c>
      <c r="F88" t="inlineStr">
        <is>
          <t>JÖNKÖPINGS LÄN</t>
        </is>
      </c>
      <c r="G88" t="inlineStr">
        <is>
          <t>EKSJÖ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61343-2021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46217</v>
      </c>
      <c r="F89" t="inlineStr">
        <is>
          <t>JÖNKÖPINGS LÄN</t>
        </is>
      </c>
      <c r="G89" t="inlineStr">
        <is>
          <t>EKSJÖ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42779-2021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44428</v>
      </c>
      <c r="E90" s="1" t="n">
        <v>46217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46217</v>
      </c>
      <c r="F91" t="inlineStr">
        <is>
          <t>JÖNKÖPINGS LÄN</t>
        </is>
      </c>
      <c r="G91" t="inlineStr">
        <is>
          <t>EKSJÖ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51123-2021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46217</v>
      </c>
      <c r="F92" t="inlineStr">
        <is>
          <t>JÖNKÖPINGS LÄN</t>
        </is>
      </c>
      <c r="G92" t="inlineStr">
        <is>
          <t>EKSJÖ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46217</v>
      </c>
      <c r="F93" t="inlineStr">
        <is>
          <t>JÖNKÖPINGS LÄN</t>
        </is>
      </c>
      <c r="G93" t="inlineStr">
        <is>
          <t>EKSJÖ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65645-2021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46217</v>
      </c>
      <c r="F94" t="inlineStr">
        <is>
          <t>JÖNKÖPINGS LÄN</t>
        </is>
      </c>
      <c r="G94" t="inlineStr">
        <is>
          <t>EKSJÖ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46217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9436-2022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46217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20890-2022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46217</v>
      </c>
      <c r="F97" t="inlineStr">
        <is>
          <t>JÖNKÖPINGS LÄN</t>
        </is>
      </c>
      <c r="G97" t="inlineStr">
        <is>
          <t>EKSJÖ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52097-2021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46217</v>
      </c>
      <c r="F98" t="inlineStr">
        <is>
          <t>JÖNKÖPINGS LÄN</t>
        </is>
      </c>
      <c r="G98" t="inlineStr">
        <is>
          <t>EKSJÖ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46217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46217</v>
      </c>
      <c r="F100" t="inlineStr">
        <is>
          <t>JÖNKÖPINGS LÄN</t>
        </is>
      </c>
      <c r="G100" t="inlineStr">
        <is>
          <t>EKSJÖ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52817-2021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46217</v>
      </c>
      <c r="F101" t="inlineStr">
        <is>
          <t>JÖNKÖPINGS LÄN</t>
        </is>
      </c>
      <c r="G101" t="inlineStr">
        <is>
          <t>EKSJÖ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67308-2021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46217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55710-2021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46217</v>
      </c>
      <c r="F103" t="inlineStr">
        <is>
          <t>JÖNKÖPINGS LÄN</t>
        </is>
      </c>
      <c r="G103" t="inlineStr">
        <is>
          <t>EKSJÖ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28684-2022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44748</v>
      </c>
      <c r="E104" s="1" t="n">
        <v>46217</v>
      </c>
      <c r="F104" t="inlineStr">
        <is>
          <t>JÖNKÖPINGS LÄN</t>
        </is>
      </c>
      <c r="G104" t="inlineStr">
        <is>
          <t>EKSJÖ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46220-2022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46217</v>
      </c>
      <c r="F105" t="inlineStr">
        <is>
          <t>JÖNKÖPINGS LÄN</t>
        </is>
      </c>
      <c r="G105" t="inlineStr">
        <is>
          <t>EKSJÖ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40673-2021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46217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66930-2021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44522</v>
      </c>
      <c r="E107" s="1" t="n">
        <v>46217</v>
      </c>
      <c r="F107" t="inlineStr">
        <is>
          <t>JÖNKÖPINGS LÄN</t>
        </is>
      </c>
      <c r="G107" t="inlineStr">
        <is>
          <t>EKSJÖ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8335-2022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46217</v>
      </c>
      <c r="F108" t="inlineStr">
        <is>
          <t>JÖNKÖPINGS LÄN</t>
        </is>
      </c>
      <c r="G108" t="inlineStr">
        <is>
          <t>EKSJÖ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56471-2021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46217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39277-2022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46217</v>
      </c>
      <c r="F110" t="inlineStr">
        <is>
          <t>JÖNKÖPINGS LÄN</t>
        </is>
      </c>
      <c r="G110" t="inlineStr">
        <is>
          <t>EKSJÖ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3226-2022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44582</v>
      </c>
      <c r="E111" s="1" t="n">
        <v>46217</v>
      </c>
      <c r="F111" t="inlineStr">
        <is>
          <t>JÖNKÖPINGS LÄN</t>
        </is>
      </c>
      <c r="G111" t="inlineStr">
        <is>
          <t>EKSJÖ</t>
        </is>
      </c>
      <c r="H111" t="inlineStr">
        <is>
          <t>Kommuner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46217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9258-2022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46217</v>
      </c>
      <c r="F113" t="inlineStr">
        <is>
          <t>JÖNKÖPINGS LÄN</t>
        </is>
      </c>
      <c r="G113" t="inlineStr">
        <is>
          <t>EKSJÖ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28688-2022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46217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46217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46217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9441-2022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46217</v>
      </c>
      <c r="F117" t="inlineStr">
        <is>
          <t>JÖNKÖPINGS LÄN</t>
        </is>
      </c>
      <c r="G117" t="inlineStr">
        <is>
          <t>EKSJÖ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46217</v>
      </c>
      <c r="F118" t="inlineStr">
        <is>
          <t>JÖNKÖPINGS LÄN</t>
        </is>
      </c>
      <c r="G118" t="inlineStr">
        <is>
          <t>EKSJÖ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46217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46217</v>
      </c>
      <c r="F120" t="inlineStr">
        <is>
          <t>JÖNKÖPINGS LÄN</t>
        </is>
      </c>
      <c r="G120" t="inlineStr">
        <is>
          <t>EKSJÖ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46217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46217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46217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43411-2022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44834</v>
      </c>
      <c r="E124" s="1" t="n">
        <v>46217</v>
      </c>
      <c r="F124" t="inlineStr">
        <is>
          <t>JÖNKÖPINGS LÄN</t>
        </is>
      </c>
      <c r="G124" t="inlineStr">
        <is>
          <t>EKSJÖ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54255-2023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46217</v>
      </c>
      <c r="F125" t="inlineStr">
        <is>
          <t>JÖNKÖPINGS LÄN</t>
        </is>
      </c>
      <c r="G125" t="inlineStr">
        <is>
          <t>EKSJÖ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32344-2024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45512</v>
      </c>
      <c r="E126" s="1" t="n">
        <v>46217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46217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45334</v>
      </c>
      <c r="E128" s="1" t="n">
        <v>46217</v>
      </c>
      <c r="F128" t="inlineStr">
        <is>
          <t>JÖNKÖPINGS LÄN</t>
        </is>
      </c>
      <c r="G128" t="inlineStr">
        <is>
          <t>EKSJÖ</t>
        </is>
      </c>
      <c r="H128" t="inlineStr">
        <is>
          <t>Kommuner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23535-2023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45076</v>
      </c>
      <c r="E129" s="1" t="n">
        <v>46217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8571-2024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46217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46217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46217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46217</v>
      </c>
      <c r="F133" t="inlineStr">
        <is>
          <t>JÖNKÖPINGS LÄN</t>
        </is>
      </c>
      <c r="G133" t="inlineStr">
        <is>
          <t>EKSJÖ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57327-2023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46217</v>
      </c>
      <c r="F134" t="inlineStr">
        <is>
          <t>JÖNKÖPINGS LÄN</t>
        </is>
      </c>
      <c r="G134" t="inlineStr">
        <is>
          <t>EKSJÖ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46217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45300</v>
      </c>
      <c r="E136" s="1" t="n">
        <v>46217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56689-2021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44481</v>
      </c>
      <c r="E137" s="1" t="n">
        <v>46217</v>
      </c>
      <c r="F137" t="inlineStr">
        <is>
          <t>JÖNKÖPINGS LÄN</t>
        </is>
      </c>
      <c r="G137" t="inlineStr">
        <is>
          <t>EKSJÖ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46012-2022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46217</v>
      </c>
      <c r="F138" t="inlineStr">
        <is>
          <t>JÖNKÖPINGS LÄN</t>
        </is>
      </c>
      <c r="G138" t="inlineStr">
        <is>
          <t>EKSJÖ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46017-2022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46217</v>
      </c>
      <c r="F139" t="inlineStr">
        <is>
          <t>JÖNKÖPINGS LÄN</t>
        </is>
      </c>
      <c r="G139" t="inlineStr">
        <is>
          <t>EKSJÖ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11007-2024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46217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46217</v>
      </c>
      <c r="F141" t="inlineStr">
        <is>
          <t>JÖNKÖPINGS LÄN</t>
        </is>
      </c>
      <c r="G141" t="inlineStr">
        <is>
          <t>EKSJÖ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36069-2024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46217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8070-2023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46217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46217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9845-2025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45716</v>
      </c>
      <c r="E145" s="1" t="n">
        <v>46217</v>
      </c>
      <c r="F145" t="inlineStr">
        <is>
          <t>JÖNKÖPINGS LÄN</t>
        </is>
      </c>
      <c r="G145" t="inlineStr">
        <is>
          <t>EKSJÖ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45184</v>
      </c>
      <c r="E146" s="1" t="n">
        <v>46217</v>
      </c>
      <c r="F146" t="inlineStr">
        <is>
          <t>JÖNKÖPINGS LÄN</t>
        </is>
      </c>
      <c r="G146" t="inlineStr">
        <is>
          <t>EKSJÖ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46217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46217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19468-2023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46217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36873-2023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45154</v>
      </c>
      <c r="E150" s="1" t="n">
        <v>46217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46217</v>
      </c>
      <c r="F151" t="inlineStr">
        <is>
          <t>JÖNKÖPINGS LÄN</t>
        </is>
      </c>
      <c r="G151" t="inlineStr">
        <is>
          <t>EKSJÖ</t>
        </is>
      </c>
      <c r="H151" t="inlineStr">
        <is>
          <t>Kommuner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46217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30931-2023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45113</v>
      </c>
      <c r="E153" s="1" t="n">
        <v>46217</v>
      </c>
      <c r="F153" t="inlineStr">
        <is>
          <t>JÖNKÖPINGS LÄN</t>
        </is>
      </c>
      <c r="G153" t="inlineStr">
        <is>
          <t>EKSJÖ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35256-2024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46217</v>
      </c>
      <c r="F154" t="inlineStr">
        <is>
          <t>JÖNKÖPINGS LÄN</t>
        </is>
      </c>
      <c r="G154" t="inlineStr">
        <is>
          <t>EKSJÖ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50498-2022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46217</v>
      </c>
      <c r="F155" t="inlineStr">
        <is>
          <t>JÖNKÖPINGS LÄN</t>
        </is>
      </c>
      <c r="G155" t="inlineStr">
        <is>
          <t>EKSJÖ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29773-2024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45485</v>
      </c>
      <c r="E156" s="1" t="n">
        <v>46217</v>
      </c>
      <c r="F156" t="inlineStr">
        <is>
          <t>JÖNKÖPINGS LÄN</t>
        </is>
      </c>
      <c r="G156" t="inlineStr">
        <is>
          <t>EKSJÖ</t>
        </is>
      </c>
      <c r="H156" t="inlineStr">
        <is>
          <t>Övriga Aktiebolag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36070-2024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45533</v>
      </c>
      <c r="E157" s="1" t="n">
        <v>46217</v>
      </c>
      <c r="F157" t="inlineStr">
        <is>
          <t>JÖNKÖPINGS LÄN</t>
        </is>
      </c>
      <c r="G157" t="inlineStr">
        <is>
          <t>EKSJÖ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38040-2024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46217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46217</v>
      </c>
      <c r="F159" t="inlineStr">
        <is>
          <t>JÖNKÖPINGS LÄN</t>
        </is>
      </c>
      <c r="G159" t="inlineStr">
        <is>
          <t>EKSJÖ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36505-2024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46217</v>
      </c>
      <c r="F160" t="inlineStr">
        <is>
          <t>JÖNKÖPINGS LÄN</t>
        </is>
      </c>
      <c r="G160" t="inlineStr">
        <is>
          <t>EKSJÖ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59961-2022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46217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46217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50299-2023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45216</v>
      </c>
      <c r="E163" s="1" t="n">
        <v>46217</v>
      </c>
      <c r="F163" t="inlineStr">
        <is>
          <t>JÖNKÖPINGS LÄN</t>
        </is>
      </c>
      <c r="G163" t="inlineStr">
        <is>
          <t>EKSJÖ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46217</v>
      </c>
      <c r="F164" t="inlineStr">
        <is>
          <t>JÖNKÖPINGS LÄN</t>
        </is>
      </c>
      <c r="G164" t="inlineStr">
        <is>
          <t>EKSJÖ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51020-2023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46217</v>
      </c>
      <c r="F165" t="inlineStr">
        <is>
          <t>JÖNKÖPINGS LÄN</t>
        </is>
      </c>
      <c r="G165" t="inlineStr">
        <is>
          <t>EKSJÖ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32601-2024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46217</v>
      </c>
      <c r="F166" t="inlineStr">
        <is>
          <t>JÖNKÖPINGS LÄN</t>
        </is>
      </c>
      <c r="G166" t="inlineStr">
        <is>
          <t>EKSJÖ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44574</v>
      </c>
      <c r="E167" s="1" t="n">
        <v>46217</v>
      </c>
      <c r="F167" t="inlineStr">
        <is>
          <t>JÖNKÖPINGS LÄN</t>
        </is>
      </c>
      <c r="G167" t="inlineStr">
        <is>
          <t>EKSJÖ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55633-2022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46217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16477-2024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46217</v>
      </c>
      <c r="F169" t="inlineStr">
        <is>
          <t>JÖNKÖPINGS LÄN</t>
        </is>
      </c>
      <c r="G169" t="inlineStr">
        <is>
          <t>EKSJÖ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45372</v>
      </c>
      <c r="E170" s="1" t="n">
        <v>46217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8172-2023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46217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46217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12821-2024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45384</v>
      </c>
      <c r="E173" s="1" t="n">
        <v>46217</v>
      </c>
      <c r="F173" t="inlineStr">
        <is>
          <t>JÖNKÖPINGS LÄN</t>
        </is>
      </c>
      <c r="G173" t="inlineStr">
        <is>
          <t>EKSJÖ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19491-2025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46217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44928</v>
      </c>
      <c r="E175" s="1" t="n">
        <v>46217</v>
      </c>
      <c r="F175" t="inlineStr">
        <is>
          <t>JÖNKÖPINGS LÄN</t>
        </is>
      </c>
      <c r="G175" t="inlineStr">
        <is>
          <t>EKSJÖ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46217</v>
      </c>
      <c r="F176" t="inlineStr">
        <is>
          <t>JÖNKÖPINGS LÄN</t>
        </is>
      </c>
      <c r="G176" t="inlineStr">
        <is>
          <t>EKSJÖ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45370-2024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46217</v>
      </c>
      <c r="F177" t="inlineStr">
        <is>
          <t>JÖNKÖPINGS LÄN</t>
        </is>
      </c>
      <c r="G177" t="inlineStr">
        <is>
          <t>EKSJÖ</t>
        </is>
      </c>
      <c r="H177" t="inlineStr">
        <is>
          <t>Övriga Aktiebolag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36047-2024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46217</v>
      </c>
      <c r="F178" t="inlineStr">
        <is>
          <t>JÖNKÖPINGS LÄN</t>
        </is>
      </c>
      <c r="G178" t="inlineStr">
        <is>
          <t>EKSJÖ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20897-2022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44701</v>
      </c>
      <c r="E179" s="1" t="n">
        <v>46217</v>
      </c>
      <c r="F179" t="inlineStr">
        <is>
          <t>JÖNKÖPINGS LÄN</t>
        </is>
      </c>
      <c r="G179" t="inlineStr">
        <is>
          <t>EKSJÖ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58632-2023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46217</v>
      </c>
      <c r="F180" t="inlineStr">
        <is>
          <t>JÖNKÖPINGS LÄN</t>
        </is>
      </c>
      <c r="G180" t="inlineStr">
        <is>
          <t>EKSJÖ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36853-2025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45874</v>
      </c>
      <c r="E181" s="1" t="n">
        <v>46217</v>
      </c>
      <c r="F181" t="inlineStr">
        <is>
          <t>JÖNKÖPINGS LÄN</t>
        </is>
      </c>
      <c r="G181" t="inlineStr">
        <is>
          <t>EKSJÖ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22456-2022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44713</v>
      </c>
      <c r="E182" s="1" t="n">
        <v>46217</v>
      </c>
      <c r="F182" t="inlineStr">
        <is>
          <t>JÖNKÖPINGS LÄN</t>
        </is>
      </c>
      <c r="G182" t="inlineStr">
        <is>
          <t>EKSJÖ</t>
        </is>
      </c>
      <c r="H182" t="inlineStr">
        <is>
          <t>Kyrkan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25635-2024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45463</v>
      </c>
      <c r="E183" s="1" t="n">
        <v>46217</v>
      </c>
      <c r="F183" t="inlineStr">
        <is>
          <t>JÖNKÖPINGS LÄN</t>
        </is>
      </c>
      <c r="G183" t="inlineStr">
        <is>
          <t>EKSJÖ</t>
        </is>
      </c>
      <c r="H183" t="inlineStr">
        <is>
          <t>Övriga Aktiebolag</t>
        </is>
      </c>
      <c r="I183" t="n">
        <v>17.5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37169-2025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45875</v>
      </c>
      <c r="E184" s="1" t="n">
        <v>46217</v>
      </c>
      <c r="F184" t="inlineStr">
        <is>
          <t>JÖNKÖPINGS LÄN</t>
        </is>
      </c>
      <c r="G184" t="inlineStr">
        <is>
          <t>EKSJÖ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37173-2025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45875</v>
      </c>
      <c r="E185" s="1" t="n">
        <v>46217</v>
      </c>
      <c r="F185" t="inlineStr">
        <is>
          <t>JÖNKÖPINGS LÄN</t>
        </is>
      </c>
      <c r="G185" t="inlineStr">
        <is>
          <t>EKSJÖ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37519-2025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46217</v>
      </c>
      <c r="F186" t="inlineStr">
        <is>
          <t>JÖNKÖPINGS LÄN</t>
        </is>
      </c>
      <c r="G186" t="inlineStr">
        <is>
          <t>EKSJÖ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28438-2025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46217</v>
      </c>
      <c r="F187" t="inlineStr">
        <is>
          <t>JÖNKÖPINGS LÄN</t>
        </is>
      </c>
      <c r="G187" t="inlineStr">
        <is>
          <t>EKSJÖ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23534-2023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46217</v>
      </c>
      <c r="F188" t="inlineStr">
        <is>
          <t>JÖNKÖPINGS LÄN</t>
        </is>
      </c>
      <c r="G188" t="inlineStr">
        <is>
          <t>EKSJÖ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33971-2025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46217</v>
      </c>
      <c r="F189" t="inlineStr">
        <is>
          <t>JÖNKÖPINGS LÄN</t>
        </is>
      </c>
      <c r="G189" t="inlineStr">
        <is>
          <t>EKSJÖ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56804-2024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46217</v>
      </c>
      <c r="F190" t="inlineStr">
        <is>
          <t>JÖNKÖPINGS LÄN</t>
        </is>
      </c>
      <c r="G190" t="inlineStr">
        <is>
          <t>EKSJÖ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46217</v>
      </c>
      <c r="F191" t="inlineStr">
        <is>
          <t>JÖNKÖPINGS LÄN</t>
        </is>
      </c>
      <c r="G191" t="inlineStr">
        <is>
          <t>EKSJÖ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36355-2022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44803</v>
      </c>
      <c r="E192" s="1" t="n">
        <v>46217</v>
      </c>
      <c r="F192" t="inlineStr">
        <is>
          <t>JÖNKÖPINGS LÄN</t>
        </is>
      </c>
      <c r="G192" t="inlineStr">
        <is>
          <t>EKSJÖ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18413-2025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45762</v>
      </c>
      <c r="E193" s="1" t="n">
        <v>46217</v>
      </c>
      <c r="F193" t="inlineStr">
        <is>
          <t>JÖNKÖPINGS LÄN</t>
        </is>
      </c>
      <c r="G193" t="inlineStr">
        <is>
          <t>EKSJÖ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33969-2025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46217</v>
      </c>
      <c r="F194" t="inlineStr">
        <is>
          <t>JÖNKÖPINGS LÄN</t>
        </is>
      </c>
      <c r="G194" t="inlineStr">
        <is>
          <t>EKSJÖ</t>
        </is>
      </c>
      <c r="I194" t="n">
        <v>7.9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9385-2025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46217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59955-2022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44909</v>
      </c>
      <c r="E196" s="1" t="n">
        <v>46217</v>
      </c>
      <c r="F196" t="inlineStr">
        <is>
          <t>JÖNKÖPINGS LÄN</t>
        </is>
      </c>
      <c r="G196" t="inlineStr">
        <is>
          <t>EKSJÖ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38102-2025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46217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32362-2025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45837</v>
      </c>
      <c r="E198" s="1" t="n">
        <v>46217</v>
      </c>
      <c r="F198" t="inlineStr">
        <is>
          <t>JÖNKÖPINGS LÄN</t>
        </is>
      </c>
      <c r="G198" t="inlineStr">
        <is>
          <t>EKSJÖ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56805-2024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46217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17635-2025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46217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56322-2021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44477</v>
      </c>
      <c r="E201" s="1" t="n">
        <v>46217</v>
      </c>
      <c r="F201" t="inlineStr">
        <is>
          <t>JÖNKÖPINGS LÄN</t>
        </is>
      </c>
      <c r="G201" t="inlineStr">
        <is>
          <t>EKSJÖ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34117-2025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46217</v>
      </c>
      <c r="F202" t="inlineStr">
        <is>
          <t>JÖNKÖPINGS LÄN</t>
        </is>
      </c>
      <c r="G202" t="inlineStr">
        <is>
          <t>EKSJÖ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33132-2025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46217</v>
      </c>
      <c r="F203" t="inlineStr">
        <is>
          <t>JÖNKÖPINGS LÄN</t>
        </is>
      </c>
      <c r="G203" t="inlineStr">
        <is>
          <t>EKSJÖ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29653-2025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46217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46217</v>
      </c>
      <c r="F205" t="inlineStr">
        <is>
          <t>JÖNKÖPINGS LÄN</t>
        </is>
      </c>
      <c r="G205" t="inlineStr">
        <is>
          <t>EKSJÖ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25654-2026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46217</v>
      </c>
      <c r="F206" t="inlineStr">
        <is>
          <t>JÖNKÖPINGS LÄN</t>
        </is>
      </c>
      <c r="G206" t="inlineStr">
        <is>
          <t>EKSJÖ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25783-2026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46217</v>
      </c>
      <c r="F207" t="inlineStr">
        <is>
          <t>JÖNKÖPINGS LÄN</t>
        </is>
      </c>
      <c r="G207" t="inlineStr">
        <is>
          <t>EKSJÖ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41038-2025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46217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54292-2023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45232</v>
      </c>
      <c r="E209" s="1" t="n">
        <v>46217</v>
      </c>
      <c r="F209" t="inlineStr">
        <is>
          <t>JÖNKÖPINGS LÄN</t>
        </is>
      </c>
      <c r="G209" t="inlineStr">
        <is>
          <t>EKSJÖ</t>
        </is>
      </c>
      <c r="I209" t="n">
        <v>18.3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13273-2023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45003</v>
      </c>
      <c r="E210" s="1" t="n">
        <v>46217</v>
      </c>
      <c r="F210" t="inlineStr">
        <is>
          <t>JÖNKÖPINGS LÄN</t>
        </is>
      </c>
      <c r="G210" t="inlineStr">
        <is>
          <t>EKSJÖ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41035-2025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46217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45911-2023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46217</v>
      </c>
      <c r="F212" t="inlineStr">
        <is>
          <t>JÖNKÖPINGS LÄN</t>
        </is>
      </c>
      <c r="G212" t="inlineStr">
        <is>
          <t>EKSJÖ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58095-2024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46217</v>
      </c>
      <c r="F213" t="inlineStr">
        <is>
          <t>JÖNKÖPINGS LÄN</t>
        </is>
      </c>
      <c r="G213" t="inlineStr">
        <is>
          <t>EKSJÖ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40094-2025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45894</v>
      </c>
      <c r="E214" s="1" t="n">
        <v>46217</v>
      </c>
      <c r="F214" t="inlineStr">
        <is>
          <t>JÖNKÖPINGS LÄN</t>
        </is>
      </c>
      <c r="G214" t="inlineStr">
        <is>
          <t>EKSJÖ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32361-2025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45837</v>
      </c>
      <c r="E215" s="1" t="n">
        <v>46217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23183-2022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46217</v>
      </c>
      <c r="F216" t="inlineStr">
        <is>
          <t>JÖNKÖPINGS LÄN</t>
        </is>
      </c>
      <c r="G216" t="inlineStr">
        <is>
          <t>EKSJÖ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17556-2023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45036</v>
      </c>
      <c r="E217" s="1" t="n">
        <v>46217</v>
      </c>
      <c r="F217" t="inlineStr">
        <is>
          <t>JÖNKÖPINGS LÄN</t>
        </is>
      </c>
      <c r="G217" t="inlineStr">
        <is>
          <t>EKSJÖ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10309-2024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46217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46217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27086-2023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46217</v>
      </c>
      <c r="F220" t="inlineStr">
        <is>
          <t>JÖNKÖPINGS LÄN</t>
        </is>
      </c>
      <c r="G220" t="inlineStr">
        <is>
          <t>EKSJÖ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46217</v>
      </c>
      <c r="F221" t="inlineStr">
        <is>
          <t>JÖNKÖPINGS LÄN</t>
        </is>
      </c>
      <c r="G221" t="inlineStr">
        <is>
          <t>EKSJÖ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46217</v>
      </c>
      <c r="F222" t="inlineStr">
        <is>
          <t>JÖNKÖPINGS LÄN</t>
        </is>
      </c>
      <c r="G222" t="inlineStr">
        <is>
          <t>EKSJÖ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43587-2025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46217</v>
      </c>
      <c r="F223" t="inlineStr">
        <is>
          <t>JÖNKÖPINGS LÄN</t>
        </is>
      </c>
      <c r="G223" t="inlineStr">
        <is>
          <t>EKSJÖ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43568-2025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46217</v>
      </c>
      <c r="F224" t="inlineStr">
        <is>
          <t>JÖNKÖPINGS LÄN</t>
        </is>
      </c>
      <c r="G224" t="inlineStr">
        <is>
          <t>EKSJÖ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43586-2025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46217</v>
      </c>
      <c r="F225" t="inlineStr">
        <is>
          <t>JÖNKÖPINGS LÄN</t>
        </is>
      </c>
      <c r="G225" t="inlineStr">
        <is>
          <t>EKSJÖ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46217</v>
      </c>
      <c r="F226" t="inlineStr">
        <is>
          <t>JÖNKÖPINGS LÄN</t>
        </is>
      </c>
      <c r="G226" t="inlineStr">
        <is>
          <t>EKSJÖ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43584-2025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46217</v>
      </c>
      <c r="F227" t="inlineStr">
        <is>
          <t>JÖNKÖPINGS LÄN</t>
        </is>
      </c>
      <c r="G227" t="inlineStr">
        <is>
          <t>EKSJÖ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43561-2025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46217</v>
      </c>
      <c r="F228" t="inlineStr">
        <is>
          <t>JÖNKÖPINGS LÄN</t>
        </is>
      </c>
      <c r="G228" t="inlineStr">
        <is>
          <t>EKSJÖ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44526-2025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45916</v>
      </c>
      <c r="E229" s="1" t="n">
        <v>46217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46217</v>
      </c>
      <c r="F230" t="inlineStr">
        <is>
          <t>JÖNKÖPINGS LÄN</t>
        </is>
      </c>
      <c r="G230" t="inlineStr">
        <is>
          <t>EKSJÖ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50516-2025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46217</v>
      </c>
      <c r="F231" t="inlineStr">
        <is>
          <t>JÖNKÖPINGS LÄN</t>
        </is>
      </c>
      <c r="G231" t="inlineStr">
        <is>
          <t>EKSJÖ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57868-2024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46217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46127-2025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46217</v>
      </c>
      <c r="F233" t="inlineStr">
        <is>
          <t>JÖNKÖPINGS LÄN</t>
        </is>
      </c>
      <c r="G233" t="inlineStr">
        <is>
          <t>EKSJÖ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46134-2025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46217</v>
      </c>
      <c r="F234" t="inlineStr">
        <is>
          <t>JÖNKÖPINGS LÄN</t>
        </is>
      </c>
      <c r="G234" t="inlineStr">
        <is>
          <t>EKSJÖ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58631-2023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45251</v>
      </c>
      <c r="E235" s="1" t="n">
        <v>46217</v>
      </c>
      <c r="F235" t="inlineStr">
        <is>
          <t>JÖNKÖPINGS LÄN</t>
        </is>
      </c>
      <c r="G235" t="inlineStr">
        <is>
          <t>EKSJÖ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32623-2022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46217</v>
      </c>
      <c r="F236" t="inlineStr">
        <is>
          <t>JÖNKÖPINGS LÄN</t>
        </is>
      </c>
      <c r="G236" t="inlineStr">
        <is>
          <t>EKSJÖ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47390-2022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44853</v>
      </c>
      <c r="E237" s="1" t="n">
        <v>46217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37753-2023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45156</v>
      </c>
      <c r="E238" s="1" t="n">
        <v>46217</v>
      </c>
      <c r="F238" t="inlineStr">
        <is>
          <t>JÖNKÖPINGS LÄN</t>
        </is>
      </c>
      <c r="G238" t="inlineStr">
        <is>
          <t>EKSJÖ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20480-2026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46217</v>
      </c>
      <c r="F239" t="inlineStr">
        <is>
          <t>JÖNKÖPINGS LÄN</t>
        </is>
      </c>
      <c r="G239" t="inlineStr">
        <is>
          <t>EKSJÖ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9364-2025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46217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45818</v>
      </c>
      <c r="E241" s="1" t="n">
        <v>46217</v>
      </c>
      <c r="F241" t="inlineStr">
        <is>
          <t>JÖNKÖPINGS LÄN</t>
        </is>
      </c>
      <c r="G241" t="inlineStr">
        <is>
          <t>EKSJÖ</t>
        </is>
      </c>
      <c r="H241" t="inlineStr">
        <is>
          <t>Övriga Aktiebolag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29754-2024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46217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38198-2023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46217</v>
      </c>
      <c r="F243" t="inlineStr">
        <is>
          <t>JÖNKÖPINGS LÄN</t>
        </is>
      </c>
      <c r="G243" t="inlineStr">
        <is>
          <t>EKSJÖ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38199-2023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46217</v>
      </c>
      <c r="F244" t="inlineStr">
        <is>
          <t>JÖNKÖPINGS LÄN</t>
        </is>
      </c>
      <c r="G244" t="inlineStr">
        <is>
          <t>EKSJÖ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55207-2023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46217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43588-2025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46217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7728-2025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46217</v>
      </c>
      <c r="F247" t="inlineStr">
        <is>
          <t>JÖNKÖPINGS LÄN</t>
        </is>
      </c>
      <c r="G247" t="inlineStr">
        <is>
          <t>EKSJÖ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38592-2022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44813</v>
      </c>
      <c r="E248" s="1" t="n">
        <v>46217</v>
      </c>
      <c r="F248" t="inlineStr">
        <is>
          <t>JÖNKÖPINGS LÄN</t>
        </is>
      </c>
      <c r="G248" t="inlineStr">
        <is>
          <t>EKSJÖ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52200-2023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45224</v>
      </c>
      <c r="E249" s="1" t="n">
        <v>46217</v>
      </c>
      <c r="F249" t="inlineStr">
        <is>
          <t>JÖNKÖPINGS LÄN</t>
        </is>
      </c>
      <c r="G249" t="inlineStr">
        <is>
          <t>EKSJÖ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9400-2025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46217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9404-2025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46217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49862-2025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46217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10045-2025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46217</v>
      </c>
      <c r="F253" t="inlineStr">
        <is>
          <t>JÖNKÖPINGS LÄN</t>
        </is>
      </c>
      <c r="G253" t="inlineStr">
        <is>
          <t>EKSJÖ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9294-2025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46217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9297-2025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46217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26179-2026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46217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15.2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2916-2023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44945</v>
      </c>
      <c r="E257" s="1" t="n">
        <v>46217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13906-2023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45008</v>
      </c>
      <c r="E258" s="1" t="n">
        <v>46217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46217</v>
      </c>
      <c r="F259" t="inlineStr">
        <is>
          <t>JÖNKÖPINGS LÄN</t>
        </is>
      </c>
      <c r="G259" t="inlineStr">
        <is>
          <t>EKSJÖ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50804-2025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46217</v>
      </c>
      <c r="F260" t="inlineStr">
        <is>
          <t>JÖNKÖPINGS LÄN</t>
        </is>
      </c>
      <c r="G260" t="inlineStr">
        <is>
          <t>EKSJÖ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46217</v>
      </c>
      <c r="F261" t="inlineStr">
        <is>
          <t>JÖNKÖPINGS LÄN</t>
        </is>
      </c>
      <c r="G261" t="inlineStr">
        <is>
          <t>EKSJÖ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45334</v>
      </c>
      <c r="E262" s="1" t="n">
        <v>46217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50378-2025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46217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46528-2023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46217</v>
      </c>
      <c r="F264" t="inlineStr">
        <is>
          <t>JÖNKÖPINGS LÄN</t>
        </is>
      </c>
      <c r="G264" t="inlineStr">
        <is>
          <t>EKSJÖ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46217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55553-2023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46217</v>
      </c>
      <c r="F266" t="inlineStr">
        <is>
          <t>JÖNKÖPINGS LÄN</t>
        </is>
      </c>
      <c r="G266" t="inlineStr">
        <is>
          <t>EKSJÖ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22860-2023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45072</v>
      </c>
      <c r="E267" s="1" t="n">
        <v>46217</v>
      </c>
      <c r="F267" t="inlineStr">
        <is>
          <t>JÖNKÖPINGS LÄN</t>
        </is>
      </c>
      <c r="G267" t="inlineStr">
        <is>
          <t>EKSJÖ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17631-2024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45418</v>
      </c>
      <c r="E268" s="1" t="n">
        <v>46217</v>
      </c>
      <c r="F268" t="inlineStr">
        <is>
          <t>JÖNKÖPINGS LÄN</t>
        </is>
      </c>
      <c r="G268" t="inlineStr">
        <is>
          <t>EKSJÖ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50519-2025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46217</v>
      </c>
      <c r="F269" t="inlineStr">
        <is>
          <t>JÖNKÖPINGS LÄN</t>
        </is>
      </c>
      <c r="G269" t="inlineStr">
        <is>
          <t>EKSJÖ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21883-2023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45068</v>
      </c>
      <c r="E270" s="1" t="n">
        <v>46217</v>
      </c>
      <c r="F270" t="inlineStr">
        <is>
          <t>JÖNKÖPINGS LÄN</t>
        </is>
      </c>
      <c r="G270" t="inlineStr">
        <is>
          <t>EKSJÖ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52570-2025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45954</v>
      </c>
      <c r="E271" s="1" t="n">
        <v>46217</v>
      </c>
      <c r="F271" t="inlineStr">
        <is>
          <t>JÖNKÖPINGS LÄN</t>
        </is>
      </c>
      <c r="G271" t="inlineStr">
        <is>
          <t>EKSJÖ</t>
        </is>
      </c>
      <c r="H271" t="inlineStr">
        <is>
          <t>Kyrkan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52571-2025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46217</v>
      </c>
      <c r="F272" t="inlineStr">
        <is>
          <t>JÖNKÖPINGS LÄN</t>
        </is>
      </c>
      <c r="G272" t="inlineStr">
        <is>
          <t>EKSJÖ</t>
        </is>
      </c>
      <c r="H272" t="inlineStr">
        <is>
          <t>Kyrkan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52566-2025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46217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14350-2025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45741</v>
      </c>
      <c r="E274" s="1" t="n">
        <v>46217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22670-2023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46217</v>
      </c>
      <c r="F275" t="inlineStr">
        <is>
          <t>JÖNKÖPINGS LÄN</t>
        </is>
      </c>
      <c r="G275" t="inlineStr">
        <is>
          <t>EKSJÖ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30527-2023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45111</v>
      </c>
      <c r="E276" s="1" t="n">
        <v>46217</v>
      </c>
      <c r="F276" t="inlineStr">
        <is>
          <t>JÖNKÖPINGS LÄN</t>
        </is>
      </c>
      <c r="G276" t="inlineStr">
        <is>
          <t>EKSJÖ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59852-2022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44908</v>
      </c>
      <c r="E277" s="1" t="n">
        <v>46217</v>
      </c>
      <c r="F277" t="inlineStr">
        <is>
          <t>JÖNKÖPINGS LÄN</t>
        </is>
      </c>
      <c r="G277" t="inlineStr">
        <is>
          <t>EKSJÖ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14420-2025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45741</v>
      </c>
      <c r="E278" s="1" t="n">
        <v>46217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14428-2025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45741</v>
      </c>
      <c r="E279" s="1" t="n">
        <v>46217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38106-2025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46217</v>
      </c>
      <c r="F280" t="inlineStr">
        <is>
          <t>JÖNKÖPINGS LÄN</t>
        </is>
      </c>
      <c r="G280" t="inlineStr">
        <is>
          <t>EKSJÖ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56469-2021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44480</v>
      </c>
      <c r="E281" s="1" t="n">
        <v>46217</v>
      </c>
      <c r="F281" t="inlineStr">
        <is>
          <t>JÖNKÖPINGS LÄN</t>
        </is>
      </c>
      <c r="G281" t="inlineStr">
        <is>
          <t>EKSJÖ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17387-2025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45757</v>
      </c>
      <c r="E282" s="1" t="n">
        <v>46217</v>
      </c>
      <c r="F282" t="inlineStr">
        <is>
          <t>JÖNKÖPINGS LÄN</t>
        </is>
      </c>
      <c r="G282" t="inlineStr">
        <is>
          <t>EKSJÖ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51527-2023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46217</v>
      </c>
      <c r="F283" t="inlineStr">
        <is>
          <t>JÖNKÖPINGS LÄN</t>
        </is>
      </c>
      <c r="G283" t="inlineStr">
        <is>
          <t>EKSJÖ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55628-2025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46217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55641-2025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46217</v>
      </c>
      <c r="F285" t="inlineStr">
        <is>
          <t>JÖNKÖPINGS LÄN</t>
        </is>
      </c>
      <c r="G285" t="inlineStr">
        <is>
          <t>EKSJÖ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55530-2025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46217</v>
      </c>
      <c r="F286" t="inlineStr">
        <is>
          <t>JÖNKÖPINGS LÄN</t>
        </is>
      </c>
      <c r="G286" t="inlineStr">
        <is>
          <t>EKSJÖ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46217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26405-2026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46183</v>
      </c>
      <c r="E288" s="1" t="n">
        <v>46217</v>
      </c>
      <c r="F288" t="inlineStr">
        <is>
          <t>JÖNKÖPINGS LÄN</t>
        </is>
      </c>
      <c r="G288" t="inlineStr">
        <is>
          <t>EKSJÖ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46217</v>
      </c>
      <c r="F289" t="inlineStr">
        <is>
          <t>JÖNKÖPINGS LÄN</t>
        </is>
      </c>
      <c r="G289" t="inlineStr">
        <is>
          <t>EKSJÖ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39049-2021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44412</v>
      </c>
      <c r="E290" s="1" t="n">
        <v>46217</v>
      </c>
      <c r="F290" t="inlineStr">
        <is>
          <t>JÖNKÖPINGS LÄN</t>
        </is>
      </c>
      <c r="G290" t="inlineStr">
        <is>
          <t>EKSJÖ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56491-2025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46217</v>
      </c>
      <c r="F291" t="inlineStr">
        <is>
          <t>JÖNKÖPINGS LÄN</t>
        </is>
      </c>
      <c r="G291" t="inlineStr">
        <is>
          <t>EKSJÖ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27422-2023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46217</v>
      </c>
      <c r="F292" t="inlineStr">
        <is>
          <t>JÖNKÖPINGS LÄN</t>
        </is>
      </c>
      <c r="G292" t="inlineStr">
        <is>
          <t>EKSJÖ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26419-2023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46217</v>
      </c>
      <c r="F293" t="inlineStr">
        <is>
          <t>JÖNKÖPINGS LÄN</t>
        </is>
      </c>
      <c r="G293" t="inlineStr">
        <is>
          <t>EKSJÖ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46217</v>
      </c>
      <c r="F294" t="inlineStr">
        <is>
          <t>JÖNKÖPINGS LÄN</t>
        </is>
      </c>
      <c r="G294" t="inlineStr">
        <is>
          <t>EKSJÖ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26644-2026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46217</v>
      </c>
      <c r="F295" t="inlineStr">
        <is>
          <t>JÖNKÖPINGS LÄN</t>
        </is>
      </c>
      <c r="G295" t="inlineStr">
        <is>
          <t>EKSJÖ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11446-2023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46217</v>
      </c>
      <c r="F296" t="inlineStr">
        <is>
          <t>JÖNKÖPINGS LÄN</t>
        </is>
      </c>
      <c r="G296" t="inlineStr">
        <is>
          <t>EKSJÖ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6526-2023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46217</v>
      </c>
      <c r="F297" t="inlineStr">
        <is>
          <t>JÖNKÖPINGS LÄN</t>
        </is>
      </c>
      <c r="G297" t="inlineStr">
        <is>
          <t>EKSJÖ</t>
        </is>
      </c>
      <c r="H297" t="inlineStr">
        <is>
          <t>Kyrkan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26648-2026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46217</v>
      </c>
      <c r="F298" t="inlineStr">
        <is>
          <t>JÖNKÖPINGS LÄN</t>
        </is>
      </c>
      <c r="G298" t="inlineStr">
        <is>
          <t>EKSJÖ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26650-2026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46217</v>
      </c>
      <c r="F299" t="inlineStr">
        <is>
          <t>JÖNKÖPINGS LÄN</t>
        </is>
      </c>
      <c r="G299" t="inlineStr">
        <is>
          <t>EKSJÖ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27220-2026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46217</v>
      </c>
      <c r="F300" t="inlineStr">
        <is>
          <t>JÖNKÖPINGS LÄN</t>
        </is>
      </c>
      <c r="G300" t="inlineStr">
        <is>
          <t>EKSJÖ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21073-2026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46217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58307-2025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46217</v>
      </c>
      <c r="F302" t="inlineStr">
        <is>
          <t>JÖNKÖPINGS LÄN</t>
        </is>
      </c>
      <c r="G302" t="inlineStr">
        <is>
          <t>EKSJÖ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46217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46217</v>
      </c>
      <c r="F304" t="inlineStr">
        <is>
          <t>JÖNKÖPINGS LÄN</t>
        </is>
      </c>
      <c r="G304" t="inlineStr">
        <is>
          <t>EKSJÖ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13833-2024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45391</v>
      </c>
      <c r="E305" s="1" t="n">
        <v>46217</v>
      </c>
      <c r="F305" t="inlineStr">
        <is>
          <t>JÖNKÖPINGS LÄN</t>
        </is>
      </c>
      <c r="G305" t="inlineStr">
        <is>
          <t>EKSJÖ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59673-2025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46217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59655-2025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46217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59665-2025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46217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59564-2025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45991</v>
      </c>
      <c r="E309" s="1" t="n">
        <v>46217</v>
      </c>
      <c r="F309" t="inlineStr">
        <is>
          <t>JÖNKÖPINGS LÄN</t>
        </is>
      </c>
      <c r="G309" t="inlineStr">
        <is>
          <t>EKSJÖ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43100-2021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44431</v>
      </c>
      <c r="E310" s="1" t="n">
        <v>46217</v>
      </c>
      <c r="F310" t="inlineStr">
        <is>
          <t>JÖNKÖPINGS LÄN</t>
        </is>
      </c>
      <c r="G310" t="inlineStr">
        <is>
          <t>EKSJÖ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35617-2023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46217</v>
      </c>
      <c r="F311" t="inlineStr">
        <is>
          <t>JÖNKÖPINGS LÄN</t>
        </is>
      </c>
      <c r="G311" t="inlineStr">
        <is>
          <t>EKSJÖ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41816-2024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46217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28371-2026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46217</v>
      </c>
      <c r="F313" t="inlineStr">
        <is>
          <t>JÖNKÖPINGS LÄN</t>
        </is>
      </c>
      <c r="G313" t="inlineStr">
        <is>
          <t>EKSJÖ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61913-2022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46217</v>
      </c>
      <c r="F314" t="inlineStr">
        <is>
          <t>JÖNKÖPINGS LÄN</t>
        </is>
      </c>
      <c r="G314" t="inlineStr">
        <is>
          <t>EKSJÖ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36503-2024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46217</v>
      </c>
      <c r="F315" t="inlineStr">
        <is>
          <t>JÖNKÖPINGS LÄN</t>
        </is>
      </c>
      <c r="G315" t="inlineStr">
        <is>
          <t>EKSJÖ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46217</v>
      </c>
      <c r="F316" t="inlineStr">
        <is>
          <t>JÖNKÖPINGS LÄN</t>
        </is>
      </c>
      <c r="G316" t="inlineStr">
        <is>
          <t>EKSJÖ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9281-2023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46217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41397-2024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45560</v>
      </c>
      <c r="E318" s="1" t="n">
        <v>46217</v>
      </c>
      <c r="F318" t="inlineStr">
        <is>
          <t>JÖNKÖPINGS LÄN</t>
        </is>
      </c>
      <c r="G318" t="inlineStr">
        <is>
          <t>EKSJÖ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64419-2021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44511</v>
      </c>
      <c r="E319" s="1" t="n">
        <v>46217</v>
      </c>
      <c r="F319" t="inlineStr">
        <is>
          <t>JÖNKÖPINGS LÄN</t>
        </is>
      </c>
      <c r="G319" t="inlineStr">
        <is>
          <t>EKSJÖ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26222-2024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45468</v>
      </c>
      <c r="E320" s="1" t="n">
        <v>46217</v>
      </c>
      <c r="F320" t="inlineStr">
        <is>
          <t>JÖNKÖPINGS LÄN</t>
        </is>
      </c>
      <c r="G320" t="inlineStr">
        <is>
          <t>EKSJÖ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3007-2024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45315</v>
      </c>
      <c r="E321" s="1" t="n">
        <v>46217</v>
      </c>
      <c r="F321" t="inlineStr">
        <is>
          <t>JÖNKÖPINGS LÄN</t>
        </is>
      </c>
      <c r="G321" t="inlineStr">
        <is>
          <t>EKSJÖ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45664</v>
      </c>
      <c r="E322" s="1" t="n">
        <v>46217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62892-2025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46217</v>
      </c>
      <c r="F323" t="inlineStr">
        <is>
          <t>JÖNKÖPINGS LÄN</t>
        </is>
      </c>
      <c r="G323" t="inlineStr">
        <is>
          <t>EKSJÖ</t>
        </is>
      </c>
      <c r="H323" t="inlineStr">
        <is>
          <t>Kommuner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60436-2024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45643</v>
      </c>
      <c r="E324" s="1" t="n">
        <v>46217</v>
      </c>
      <c r="F324" t="inlineStr">
        <is>
          <t>JÖNKÖPINGS LÄN</t>
        </is>
      </c>
      <c r="G324" t="inlineStr">
        <is>
          <t>EKSJÖ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62958-2025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46217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63438-2025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46217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46014</v>
      </c>
      <c r="E327" s="1" t="n">
        <v>46217</v>
      </c>
      <c r="F327" t="inlineStr">
        <is>
          <t>JÖNKÖPINGS LÄN</t>
        </is>
      </c>
      <c r="G327" t="inlineStr">
        <is>
          <t>EKSJÖ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64106-2025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46217</v>
      </c>
      <c r="F328" t="inlineStr">
        <is>
          <t>JÖNKÖPINGS LÄN</t>
        </is>
      </c>
      <c r="G328" t="inlineStr">
        <is>
          <t>EKSJÖ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63439-2025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46217</v>
      </c>
      <c r="F329" t="inlineStr">
        <is>
          <t>JÖNKÖPINGS LÄN</t>
        </is>
      </c>
      <c r="G329" t="inlineStr">
        <is>
          <t>EKSJÖ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28486-2026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46217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8165-2022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44609</v>
      </c>
      <c r="E331" s="1" t="n">
        <v>46217</v>
      </c>
      <c r="F331" t="inlineStr">
        <is>
          <t>JÖNKÖPINGS LÄN</t>
        </is>
      </c>
      <c r="G331" t="inlineStr">
        <is>
          <t>EKSJÖ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58607-2023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45251</v>
      </c>
      <c r="E332" s="1" t="n">
        <v>46217</v>
      </c>
      <c r="F332" t="inlineStr">
        <is>
          <t>JÖNKÖPINGS LÄN</t>
        </is>
      </c>
      <c r="G332" t="inlineStr">
        <is>
          <t>EKSJÖ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46217</v>
      </c>
      <c r="F333" t="inlineStr">
        <is>
          <t>JÖNKÖPINGS LÄN</t>
        </is>
      </c>
      <c r="G333" t="inlineStr">
        <is>
          <t>EKSJÖ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7262-2024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45344</v>
      </c>
      <c r="E334" s="1" t="n">
        <v>46217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28624-2026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46217</v>
      </c>
      <c r="F335" t="inlineStr">
        <is>
          <t>JÖNKÖPINGS LÄN</t>
        </is>
      </c>
      <c r="G335" t="inlineStr">
        <is>
          <t>EKSJÖ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46217</v>
      </c>
      <c r="F336" t="inlineStr">
        <is>
          <t>JÖNKÖPINGS LÄN</t>
        </is>
      </c>
      <c r="G336" t="inlineStr">
        <is>
          <t>EKSJÖ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15619-2024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45402</v>
      </c>
      <c r="E337" s="1" t="n">
        <v>46217</v>
      </c>
      <c r="F337" t="inlineStr">
        <is>
          <t>JÖNKÖPINGS LÄN</t>
        </is>
      </c>
      <c r="G337" t="inlineStr">
        <is>
          <t>EKSJÖ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58490-2024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45635</v>
      </c>
      <c r="E338" s="1" t="n">
        <v>46217</v>
      </c>
      <c r="F338" t="inlineStr">
        <is>
          <t>JÖNKÖPINGS LÄN</t>
        </is>
      </c>
      <c r="G338" t="inlineStr">
        <is>
          <t>EKSJÖ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46217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46217</v>
      </c>
      <c r="F340" t="inlineStr">
        <is>
          <t>JÖNKÖPINGS LÄN</t>
        </is>
      </c>
      <c r="G340" t="inlineStr">
        <is>
          <t>EKSJÖ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22491-2023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45071</v>
      </c>
      <c r="E341" s="1" t="n">
        <v>46217</v>
      </c>
      <c r="F341" t="inlineStr">
        <is>
          <t>JÖNKÖPINGS LÄN</t>
        </is>
      </c>
      <c r="G341" t="inlineStr">
        <is>
          <t>EKSJÖ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46217</v>
      </c>
      <c r="F342" t="inlineStr">
        <is>
          <t>JÖNKÖPINGS LÄN</t>
        </is>
      </c>
      <c r="G342" t="inlineStr">
        <is>
          <t>EKSJÖ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46217</v>
      </c>
      <c r="F343" t="inlineStr">
        <is>
          <t>JÖNKÖPINGS LÄN</t>
        </is>
      </c>
      <c r="G343" t="inlineStr">
        <is>
          <t>EKSJÖ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46217</v>
      </c>
      <c r="F344" t="inlineStr">
        <is>
          <t>JÖNKÖPINGS LÄN</t>
        </is>
      </c>
      <c r="G344" t="inlineStr">
        <is>
          <t>EKSJÖ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46217</v>
      </c>
      <c r="F345" t="inlineStr">
        <is>
          <t>JÖNKÖPINGS LÄN</t>
        </is>
      </c>
      <c r="G345" t="inlineStr">
        <is>
          <t>EKSJÖ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34098-2024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46217</v>
      </c>
      <c r="F346" t="inlineStr">
        <is>
          <t>JÖNKÖPINGS LÄN</t>
        </is>
      </c>
      <c r="G346" t="inlineStr">
        <is>
          <t>EKSJÖ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46217</v>
      </c>
      <c r="F347" t="inlineStr">
        <is>
          <t>JÖNKÖPINGS LÄN</t>
        </is>
      </c>
      <c r="G347" t="inlineStr">
        <is>
          <t>EKSJÖ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46217</v>
      </c>
      <c r="F348" t="inlineStr">
        <is>
          <t>JÖNKÖPINGS LÄN</t>
        </is>
      </c>
      <c r="G348" t="inlineStr">
        <is>
          <t>EKSJÖ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46217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46217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46217</v>
      </c>
      <c r="F351" t="inlineStr">
        <is>
          <t>JÖNKÖPINGS LÄN</t>
        </is>
      </c>
      <c r="G351" t="inlineStr">
        <is>
          <t>EKSJÖ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12399-2023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44999</v>
      </c>
      <c r="E352" s="1" t="n">
        <v>46217</v>
      </c>
      <c r="F352" t="inlineStr">
        <is>
          <t>JÖNKÖPINGS LÄN</t>
        </is>
      </c>
      <c r="G352" t="inlineStr">
        <is>
          <t>EKSJÖ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12409-2023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44999</v>
      </c>
      <c r="E353" s="1" t="n">
        <v>46217</v>
      </c>
      <c r="F353" t="inlineStr">
        <is>
          <t>JÖNKÖPINGS LÄN</t>
        </is>
      </c>
      <c r="G353" t="inlineStr">
        <is>
          <t>EKSJÖ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45329</v>
      </c>
      <c r="E354" s="1" t="n">
        <v>46217</v>
      </c>
      <c r="F354" t="inlineStr">
        <is>
          <t>JÖNKÖPINGS LÄN</t>
        </is>
      </c>
      <c r="G354" t="inlineStr">
        <is>
          <t>EKSJÖ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47989-2023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45204</v>
      </c>
      <c r="E355" s="1" t="n">
        <v>46217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46217</v>
      </c>
      <c r="F356" t="inlineStr">
        <is>
          <t>JÖNKÖPINGS LÄN</t>
        </is>
      </c>
      <c r="G356" t="inlineStr">
        <is>
          <t>EKSJÖ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46217</v>
      </c>
      <c r="F357" t="inlineStr">
        <is>
          <t>JÖNKÖPINGS LÄN</t>
        </is>
      </c>
      <c r="G357" t="inlineStr">
        <is>
          <t>EKSJÖ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2462-2026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46217</v>
      </c>
      <c r="F358" t="inlineStr">
        <is>
          <t>JÖNKÖPINGS LÄN</t>
        </is>
      </c>
      <c r="G358" t="inlineStr">
        <is>
          <t>EKSJÖ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46217</v>
      </c>
      <c r="F359" t="inlineStr">
        <is>
          <t>JÖNKÖPINGS LÄN</t>
        </is>
      </c>
      <c r="G359" t="inlineStr">
        <is>
          <t>EKSJÖ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28402-2026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46217</v>
      </c>
      <c r="F360" t="inlineStr">
        <is>
          <t>JÖNKÖPINGS LÄN</t>
        </is>
      </c>
      <c r="G360" t="inlineStr">
        <is>
          <t>EKSJÖ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46217</v>
      </c>
      <c r="F361" t="inlineStr">
        <is>
          <t>JÖNKÖPINGS LÄN</t>
        </is>
      </c>
      <c r="G361" t="inlineStr">
        <is>
          <t>EKSJÖ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7729-2025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46217</v>
      </c>
      <c r="F362" t="inlineStr">
        <is>
          <t>JÖNKÖPINGS LÄN</t>
        </is>
      </c>
      <c r="G362" t="inlineStr">
        <is>
          <t>EKSJÖ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9283-2025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46217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9287-2025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46217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9292-2025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46217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9300-2025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46217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7372-2024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45345</v>
      </c>
      <c r="E367" s="1" t="n">
        <v>46217</v>
      </c>
      <c r="F367" t="inlineStr">
        <is>
          <t>JÖNKÖPINGS LÄN</t>
        </is>
      </c>
      <c r="G367" t="inlineStr">
        <is>
          <t>EKSJÖ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29043-2026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46217</v>
      </c>
      <c r="F368" t="inlineStr">
        <is>
          <t>JÖNKÖPINGS LÄN</t>
        </is>
      </c>
      <c r="G368" t="inlineStr">
        <is>
          <t>EKSJÖ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44581</v>
      </c>
      <c r="E369" s="1" t="n">
        <v>46217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46217</v>
      </c>
      <c r="F370" t="inlineStr">
        <is>
          <t>JÖNKÖPINGS LÄN</t>
        </is>
      </c>
      <c r="G370" t="inlineStr">
        <is>
          <t>EKSJÖ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46217</v>
      </c>
      <c r="F371" t="inlineStr">
        <is>
          <t>JÖNKÖPINGS LÄN</t>
        </is>
      </c>
      <c r="G371" t="inlineStr">
        <is>
          <t>EKSJÖ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9058-2022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44615</v>
      </c>
      <c r="E372" s="1" t="n">
        <v>46217</v>
      </c>
      <c r="F372" t="inlineStr">
        <is>
          <t>JÖNKÖPINGS LÄN</t>
        </is>
      </c>
      <c r="G372" t="inlineStr">
        <is>
          <t>EKSJÖ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46217</v>
      </c>
      <c r="F373" t="inlineStr">
        <is>
          <t>JÖNKÖPINGS LÄN</t>
        </is>
      </c>
      <c r="G373" t="inlineStr">
        <is>
          <t>EKSJÖ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46217</v>
      </c>
      <c r="F374" t="inlineStr">
        <is>
          <t>JÖNKÖPINGS LÄN</t>
        </is>
      </c>
      <c r="G374" t="inlineStr">
        <is>
          <t>EKSJÖ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60920-2025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46217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46217</v>
      </c>
      <c r="F376" t="inlineStr">
        <is>
          <t>JÖNKÖPINGS LÄN</t>
        </is>
      </c>
      <c r="G376" t="inlineStr">
        <is>
          <t>EKSJÖ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41030-2023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46217</v>
      </c>
      <c r="F377" t="inlineStr">
        <is>
          <t>JÖNKÖPINGS LÄN</t>
        </is>
      </c>
      <c r="G377" t="inlineStr">
        <is>
          <t>EKSJÖ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23868-2023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45078</v>
      </c>
      <c r="E378" s="1" t="n">
        <v>46217</v>
      </c>
      <c r="F378" t="inlineStr">
        <is>
          <t>JÖNKÖPINGS LÄN</t>
        </is>
      </c>
      <c r="G378" t="inlineStr">
        <is>
          <t>EKSJÖ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47987-2023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46217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29193-2026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46202</v>
      </c>
      <c r="E380" s="1" t="n">
        <v>46217</v>
      </c>
      <c r="F380" t="inlineStr">
        <is>
          <t>JÖNKÖPINGS LÄN</t>
        </is>
      </c>
      <c r="G380" t="inlineStr">
        <is>
          <t>EKSJÖ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6596-2026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46217</v>
      </c>
      <c r="F381" t="inlineStr">
        <is>
          <t>JÖNKÖPINGS LÄN</t>
        </is>
      </c>
      <c r="G381" t="inlineStr">
        <is>
          <t>EKSJÖ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45686</v>
      </c>
      <c r="E382" s="1" t="n">
        <v>46217</v>
      </c>
      <c r="F382" t="inlineStr">
        <is>
          <t>JÖNKÖPINGS LÄN</t>
        </is>
      </c>
      <c r="G382" t="inlineStr">
        <is>
          <t>EKSJÖ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46217</v>
      </c>
      <c r="F383" t="inlineStr">
        <is>
          <t>JÖNKÖPINGS LÄN</t>
        </is>
      </c>
      <c r="G383" t="inlineStr">
        <is>
          <t>EKSJÖ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41739-2023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46217</v>
      </c>
      <c r="F384" t="inlineStr">
        <is>
          <t>JÖNKÖPINGS LÄN</t>
        </is>
      </c>
      <c r="G384" t="inlineStr">
        <is>
          <t>EKSJÖ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55817-2023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45239</v>
      </c>
      <c r="E385" s="1" t="n">
        <v>46217</v>
      </c>
      <c r="F385" t="inlineStr">
        <is>
          <t>JÖNKÖPINGS LÄN</t>
        </is>
      </c>
      <c r="G385" t="inlineStr">
        <is>
          <t>EKSJÖ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53987-2023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45231</v>
      </c>
      <c r="E386" s="1" t="n">
        <v>46217</v>
      </c>
      <c r="F386" t="inlineStr">
        <is>
          <t>JÖNKÖPINGS LÄN</t>
        </is>
      </c>
      <c r="G386" t="inlineStr">
        <is>
          <t>EKSJÖ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38659-2023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46217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8984-2026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46217</v>
      </c>
      <c r="F388" t="inlineStr">
        <is>
          <t>JÖNKÖPINGS LÄN</t>
        </is>
      </c>
      <c r="G388" t="inlineStr">
        <is>
          <t>EKSJÖ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54292-2023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45232</v>
      </c>
      <c r="E389" s="1" t="n">
        <v>46217</v>
      </c>
      <c r="F389" t="inlineStr">
        <is>
          <t>JÖNKÖPINGS LÄN</t>
        </is>
      </c>
      <c r="G389" t="inlineStr">
        <is>
          <t>EKSJÖ</t>
        </is>
      </c>
      <c r="I389" t="n">
        <v>18.3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38337-2023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46217</v>
      </c>
      <c r="F390" t="inlineStr">
        <is>
          <t>JÖNKÖPINGS LÄN</t>
        </is>
      </c>
      <c r="G390" t="inlineStr">
        <is>
          <t>EKSJÖ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18062-2024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45420</v>
      </c>
      <c r="E391" s="1" t="n">
        <v>46217</v>
      </c>
      <c r="F391" t="inlineStr">
        <is>
          <t>JÖNKÖPINGS LÄN</t>
        </is>
      </c>
      <c r="G391" t="inlineStr">
        <is>
          <t>EKSJÖ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23309-2026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46217</v>
      </c>
      <c r="F392" t="inlineStr">
        <is>
          <t>JÖNKÖPINGS LÄN</t>
        </is>
      </c>
      <c r="G392" t="inlineStr">
        <is>
          <t>EKSJÖ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9388-2026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46217</v>
      </c>
      <c r="F393" t="inlineStr">
        <is>
          <t>JÖNKÖPINGS LÄN</t>
        </is>
      </c>
      <c r="G393" t="inlineStr">
        <is>
          <t>EKSJÖ</t>
        </is>
      </c>
      <c r="H393" t="inlineStr">
        <is>
          <t>Kommuner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53479-2023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45223</v>
      </c>
      <c r="E394" s="1" t="n">
        <v>46217</v>
      </c>
      <c r="F394" t="inlineStr">
        <is>
          <t>JÖNKÖPINGS LÄN</t>
        </is>
      </c>
      <c r="G394" t="inlineStr">
        <is>
          <t>EKSJÖ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45666</v>
      </c>
      <c r="E395" s="1" t="n">
        <v>46217</v>
      </c>
      <c r="F395" t="inlineStr">
        <is>
          <t>JÖNKÖPINGS LÄN</t>
        </is>
      </c>
      <c r="G395" t="inlineStr">
        <is>
          <t>EKSJÖ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34021-2024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46217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46217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10946-2026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46217</v>
      </c>
      <c r="F398" t="inlineStr">
        <is>
          <t>JÖNKÖPINGS LÄN</t>
        </is>
      </c>
      <c r="G398" t="inlineStr">
        <is>
          <t>EKSJÖ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45912-2023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46217</v>
      </c>
      <c r="F399" t="inlineStr">
        <is>
          <t>JÖNKÖPINGS LÄN</t>
        </is>
      </c>
      <c r="G399" t="inlineStr">
        <is>
          <t>EKSJÖ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45913-2023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45195</v>
      </c>
      <c r="E400" s="1" t="n">
        <v>46217</v>
      </c>
      <c r="F400" t="inlineStr">
        <is>
          <t>JÖNKÖPINGS LÄN</t>
        </is>
      </c>
      <c r="G400" t="inlineStr">
        <is>
          <t>EKSJÖ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23533-2026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46217</v>
      </c>
      <c r="F401" t="inlineStr">
        <is>
          <t>JÖNKÖPINGS LÄN</t>
        </is>
      </c>
      <c r="G401" t="inlineStr">
        <is>
          <t>EKSJÖ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46217</v>
      </c>
      <c r="F402" t="inlineStr">
        <is>
          <t>JÖNKÖPINGS LÄN</t>
        </is>
      </c>
      <c r="G402" t="inlineStr">
        <is>
          <t>EKSJÖ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23575-2026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46217</v>
      </c>
      <c r="F403" t="inlineStr">
        <is>
          <t>JÖNKÖPINGS LÄN</t>
        </is>
      </c>
      <c r="G403" t="inlineStr">
        <is>
          <t>EKSJÖ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23451-2026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46217</v>
      </c>
      <c r="F404" t="inlineStr">
        <is>
          <t>JÖNKÖPINGS LÄN</t>
        </is>
      </c>
      <c r="G404" t="inlineStr">
        <is>
          <t>EKSJÖ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42467-2023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45175</v>
      </c>
      <c r="E405" s="1" t="n">
        <v>46217</v>
      </c>
      <c r="F405" t="inlineStr">
        <is>
          <t>JÖNKÖPINGS LÄN</t>
        </is>
      </c>
      <c r="G405" t="inlineStr">
        <is>
          <t>EKSJÖ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46217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18324-2022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44685</v>
      </c>
      <c r="E407" s="1" t="n">
        <v>46217</v>
      </c>
      <c r="F407" t="inlineStr">
        <is>
          <t>JÖNKÖPINGS LÄN</t>
        </is>
      </c>
      <c r="G407" t="inlineStr">
        <is>
          <t>EKSJÖ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54916-2023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46217</v>
      </c>
      <c r="F408" t="inlineStr">
        <is>
          <t>JÖNKÖPINGS LÄN</t>
        </is>
      </c>
      <c r="G408" t="inlineStr">
        <is>
          <t>EKSJÖ</t>
        </is>
      </c>
      <c r="H408" t="inlineStr">
        <is>
          <t>Övriga Aktiebolag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8056-2025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45707</v>
      </c>
      <c r="E409" s="1" t="n">
        <v>46217</v>
      </c>
      <c r="F409" t="inlineStr">
        <is>
          <t>JÖNKÖPINGS LÄN</t>
        </is>
      </c>
      <c r="G409" t="inlineStr">
        <is>
          <t>EKSJÖ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59905-2022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46217</v>
      </c>
      <c r="F410" t="inlineStr">
        <is>
          <t>JÖNKÖPINGS LÄN</t>
        </is>
      </c>
      <c r="G410" t="inlineStr">
        <is>
          <t>EKSJÖ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23488-2026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46217</v>
      </c>
      <c r="F411" t="inlineStr">
        <is>
          <t>JÖNKÖPINGS LÄN</t>
        </is>
      </c>
      <c r="G411" t="inlineStr">
        <is>
          <t>EKSJÖ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23572-2026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46217</v>
      </c>
      <c r="F412" t="inlineStr">
        <is>
          <t>JÖNKÖPINGS LÄN</t>
        </is>
      </c>
      <c r="G412" t="inlineStr">
        <is>
          <t>EKSJÖ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55808-2023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45239</v>
      </c>
      <c r="E413" s="1" t="n">
        <v>46217</v>
      </c>
      <c r="F413" t="inlineStr">
        <is>
          <t>JÖNKÖPINGS LÄN</t>
        </is>
      </c>
      <c r="G413" t="inlineStr">
        <is>
          <t>EKSJÖ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23573-2026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46217</v>
      </c>
      <c r="F414" t="inlineStr">
        <is>
          <t>JÖNKÖPINGS LÄN</t>
        </is>
      </c>
      <c r="G414" t="inlineStr">
        <is>
          <t>EKSJÖ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2838-2024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46217</v>
      </c>
      <c r="F415" t="inlineStr">
        <is>
          <t>JÖNKÖPINGS LÄN</t>
        </is>
      </c>
      <c r="G415" t="inlineStr">
        <is>
          <t>EKSJÖ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13881-2026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46217</v>
      </c>
      <c r="F416" t="inlineStr">
        <is>
          <t>JÖNKÖPINGS LÄN</t>
        </is>
      </c>
      <c r="G416" t="inlineStr">
        <is>
          <t>EKSJÖ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19497-2025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45770</v>
      </c>
      <c r="E417" s="1" t="n">
        <v>46217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45314</v>
      </c>
      <c r="E418" s="1" t="n">
        <v>46217</v>
      </c>
      <c r="F418" t="inlineStr">
        <is>
          <t>JÖNKÖPINGS LÄN</t>
        </is>
      </c>
      <c r="G418" t="inlineStr">
        <is>
          <t>EKSJÖ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45314</v>
      </c>
      <c r="E419" s="1" t="n">
        <v>46217</v>
      </c>
      <c r="F419" t="inlineStr">
        <is>
          <t>JÖNKÖPINGS LÄN</t>
        </is>
      </c>
      <c r="G419" t="inlineStr">
        <is>
          <t>EKSJÖ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25613-2024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45463</v>
      </c>
      <c r="E420" s="1" t="n">
        <v>46217</v>
      </c>
      <c r="F420" t="inlineStr">
        <is>
          <t>JÖNKÖPINGS LÄN</t>
        </is>
      </c>
      <c r="G420" t="inlineStr">
        <is>
          <t>EKSJÖ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30394-2026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46217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14344-2026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46100</v>
      </c>
      <c r="E422" s="1" t="n">
        <v>46217</v>
      </c>
      <c r="F422" t="inlineStr">
        <is>
          <t>JÖNKÖPINGS LÄN</t>
        </is>
      </c>
      <c r="G422" t="inlineStr">
        <is>
          <t>EKSJÖ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4744-2024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46217</v>
      </c>
      <c r="F423" t="inlineStr">
        <is>
          <t>JÖNKÖPINGS LÄN</t>
        </is>
      </c>
      <c r="G423" t="inlineStr">
        <is>
          <t>EKSJÖ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4784-2024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46217</v>
      </c>
      <c r="F424" t="inlineStr">
        <is>
          <t>JÖNKÖPINGS LÄN</t>
        </is>
      </c>
      <c r="G424" t="inlineStr">
        <is>
          <t>EKSJÖ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30392-2026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46217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17636-2025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45758</v>
      </c>
      <c r="E426" s="1" t="n">
        <v>46217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30362-2026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46217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9429-2025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45715</v>
      </c>
      <c r="E428" s="1" t="n">
        <v>46217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28261-2022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44746</v>
      </c>
      <c r="E429" s="1" t="n">
        <v>46217</v>
      </c>
      <c r="F429" t="inlineStr">
        <is>
          <t>JÖNKÖPINGS LÄN</t>
        </is>
      </c>
      <c r="G429" t="inlineStr">
        <is>
          <t>EKSJÖ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15750-2026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46217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15755-2026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46217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15763-2026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46217</v>
      </c>
      <c r="F432" t="inlineStr">
        <is>
          <t>JÖNKÖPINGS LÄN</t>
        </is>
      </c>
      <c r="G432" t="inlineStr">
        <is>
          <t>EKSJÖ</t>
        </is>
      </c>
      <c r="H432" t="inlineStr">
        <is>
          <t>Sveaskog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15767-2026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46217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15754-2026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46217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41744-2023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46217</v>
      </c>
      <c r="F435" t="inlineStr">
        <is>
          <t>JÖNKÖPINGS LÄN</t>
        </is>
      </c>
      <c r="G435" t="inlineStr">
        <is>
          <t>EKSJÖ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15403-2026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46217</v>
      </c>
      <c r="F436" t="inlineStr">
        <is>
          <t>JÖNKÖPINGS LÄN</t>
        </is>
      </c>
      <c r="G436" t="inlineStr">
        <is>
          <t>EKSJÖ</t>
        </is>
      </c>
      <c r="H436" t="inlineStr">
        <is>
          <t>Kommuner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15411-2026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46217</v>
      </c>
      <c r="F437" t="inlineStr">
        <is>
          <t>JÖNKÖPINGS LÄN</t>
        </is>
      </c>
      <c r="G437" t="inlineStr">
        <is>
          <t>EKSJÖ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55656-2022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46217</v>
      </c>
      <c r="F438" t="inlineStr">
        <is>
          <t>JÖNKÖPINGS LÄN</t>
        </is>
      </c>
      <c r="G438" t="inlineStr">
        <is>
          <t>EKSJÖ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61384-2023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46217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30363-2026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46217</v>
      </c>
      <c r="F440" t="inlineStr">
        <is>
          <t>JÖNKÖPINGS LÄN</t>
        </is>
      </c>
      <c r="G440" t="inlineStr">
        <is>
          <t>EKSJÖ</t>
        </is>
      </c>
      <c r="H440" t="inlineStr">
        <is>
          <t>Sveaskog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59734-2022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46217</v>
      </c>
      <c r="F441" t="inlineStr">
        <is>
          <t>JÖNKÖPINGS LÄN</t>
        </is>
      </c>
      <c r="G441" t="inlineStr">
        <is>
          <t>EKSJÖ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15965-2026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46217</v>
      </c>
      <c r="F442" t="inlineStr">
        <is>
          <t>JÖNKÖPINGS LÄN</t>
        </is>
      </c>
      <c r="G442" t="inlineStr">
        <is>
          <t>EKSJÖ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16573-2026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46217</v>
      </c>
      <c r="F443" t="inlineStr">
        <is>
          <t>JÖNKÖPINGS LÄN</t>
        </is>
      </c>
      <c r="G443" t="inlineStr">
        <is>
          <t>EKSJÖ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44293-2025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46217</v>
      </c>
      <c r="F444" t="inlineStr">
        <is>
          <t>JÖNKÖPINGS LÄN</t>
        </is>
      </c>
      <c r="G444" t="inlineStr">
        <is>
          <t>EKSJÖ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16885-2026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46217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16894-2026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46217</v>
      </c>
      <c r="F446" t="inlineStr">
        <is>
          <t>JÖNKÖPINGS LÄN</t>
        </is>
      </c>
      <c r="G446" t="inlineStr">
        <is>
          <t>EKSJÖ</t>
        </is>
      </c>
      <c r="H446" t="inlineStr">
        <is>
          <t>Övriga Aktiebolag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16847-2026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46113</v>
      </c>
      <c r="E447" s="1" t="n">
        <v>46217</v>
      </c>
      <c r="F447" t="inlineStr">
        <is>
          <t>JÖNKÖPINGS LÄN</t>
        </is>
      </c>
      <c r="G447" t="inlineStr">
        <is>
          <t>EKSJÖ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46013-2022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44846</v>
      </c>
      <c r="E448" s="1" t="n">
        <v>46217</v>
      </c>
      <c r="F448" t="inlineStr">
        <is>
          <t>JÖNKÖPINGS LÄN</t>
        </is>
      </c>
      <c r="G448" t="inlineStr">
        <is>
          <t>EKSJÖ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46014-2022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44846</v>
      </c>
      <c r="E449" s="1" t="n">
        <v>46217</v>
      </c>
      <c r="F449" t="inlineStr">
        <is>
          <t>JÖNKÖPINGS LÄN</t>
        </is>
      </c>
      <c r="G449" t="inlineStr">
        <is>
          <t>EKSJÖ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9188-2024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45358</v>
      </c>
      <c r="E450" s="1" t="n">
        <v>46217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56563-2023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46217</v>
      </c>
      <c r="F451" t="inlineStr">
        <is>
          <t>JÖNKÖPINGS LÄN</t>
        </is>
      </c>
      <c r="G451" t="inlineStr">
        <is>
          <t>EKSJÖ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11381-2022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44630</v>
      </c>
      <c r="E452" s="1" t="n">
        <v>46217</v>
      </c>
      <c r="F452" t="inlineStr">
        <is>
          <t>JÖNKÖPINGS LÄN</t>
        </is>
      </c>
      <c r="G452" t="inlineStr">
        <is>
          <t>EKSJÖ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50275-2023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45209</v>
      </c>
      <c r="E453" s="1" t="n">
        <v>46217</v>
      </c>
      <c r="F453" t="inlineStr">
        <is>
          <t>JÖNKÖPINGS LÄN</t>
        </is>
      </c>
      <c r="G453" t="inlineStr">
        <is>
          <t>EKSJÖ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47204-2022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44851</v>
      </c>
      <c r="E454" s="1" t="n">
        <v>46217</v>
      </c>
      <c r="F454" t="inlineStr">
        <is>
          <t>JÖNKÖPINGS LÄN</t>
        </is>
      </c>
      <c r="G454" t="inlineStr">
        <is>
          <t>EKSJÖ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37918-2023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46217</v>
      </c>
      <c r="F455" t="inlineStr">
        <is>
          <t>JÖNKÖPINGS LÄN</t>
        </is>
      </c>
      <c r="G455" t="inlineStr">
        <is>
          <t>EKSJÖ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18520-2026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46127</v>
      </c>
      <c r="E456" s="1" t="n">
        <v>46217</v>
      </c>
      <c r="F456" t="inlineStr">
        <is>
          <t>JÖNKÖPINGS LÄN</t>
        </is>
      </c>
      <c r="G456" t="inlineStr">
        <is>
          <t>EKSJÖ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27448-2023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45097</v>
      </c>
      <c r="E457" s="1" t="n">
        <v>46217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19095-2026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46217</v>
      </c>
      <c r="F458" t="inlineStr">
        <is>
          <t>JÖNKÖPINGS LÄN</t>
        </is>
      </c>
      <c r="G458" t="inlineStr">
        <is>
          <t>EKSJÖ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46577-2022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44848</v>
      </c>
      <c r="E459" s="1" t="n">
        <v>46217</v>
      </c>
      <c r="F459" t="inlineStr">
        <is>
          <t>JÖNKÖPINGS LÄN</t>
        </is>
      </c>
      <c r="G459" t="inlineStr">
        <is>
          <t>EKSJÖ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35738-2024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45532</v>
      </c>
      <c r="E460" s="1" t="n">
        <v>46217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10464-2023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44987</v>
      </c>
      <c r="E461" s="1" t="n">
        <v>46217</v>
      </c>
      <c r="F461" t="inlineStr">
        <is>
          <t>JÖNKÖPINGS LÄN</t>
        </is>
      </c>
      <c r="G461" t="inlineStr">
        <is>
          <t>EKSJÖ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25132-2026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46217</v>
      </c>
      <c r="F462" t="inlineStr">
        <is>
          <t>JÖNKÖPINGS LÄN</t>
        </is>
      </c>
      <c r="G462" t="inlineStr">
        <is>
          <t>EKSJÖ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25066-2026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46217</v>
      </c>
      <c r="F463" t="inlineStr">
        <is>
          <t>JÖNKÖPINGS LÄN</t>
        </is>
      </c>
      <c r="G463" t="inlineStr">
        <is>
          <t>EKSJÖ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13892-2024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45391</v>
      </c>
      <c r="E464" s="1" t="n">
        <v>46217</v>
      </c>
      <c r="F464" t="inlineStr">
        <is>
          <t>JÖNKÖPINGS LÄN</t>
        </is>
      </c>
      <c r="G464" t="inlineStr">
        <is>
          <t>EKSJÖ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42929-2021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44431</v>
      </c>
      <c r="E465" s="1" t="n">
        <v>46217</v>
      </c>
      <c r="F465" t="inlineStr">
        <is>
          <t>JÖNKÖPINGS LÄN</t>
        </is>
      </c>
      <c r="G465" t="inlineStr">
        <is>
          <t>EKSJÖ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50967-2021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44460</v>
      </c>
      <c r="E466" s="1" t="n">
        <v>46217</v>
      </c>
      <c r="F466" t="inlineStr">
        <is>
          <t>JÖNKÖPINGS LÄN</t>
        </is>
      </c>
      <c r="G466" t="inlineStr">
        <is>
          <t>EKSJÖ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25140-2026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46217</v>
      </c>
      <c r="F467" t="inlineStr">
        <is>
          <t>JÖNKÖPINGS LÄN</t>
        </is>
      </c>
      <c r="G467" t="inlineStr">
        <is>
          <t>EKSJÖ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49403-2021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44454</v>
      </c>
      <c r="E468" s="1" t="n">
        <v>46217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45367-2024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45576</v>
      </c>
      <c r="E469" s="1" t="n">
        <v>46217</v>
      </c>
      <c r="F469" t="inlineStr">
        <is>
          <t>JÖNKÖPINGS LÄN</t>
        </is>
      </c>
      <c r="G469" t="inlineStr">
        <is>
          <t>EKSJÖ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26706-2022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44739</v>
      </c>
      <c r="E470" s="1" t="n">
        <v>46217</v>
      </c>
      <c r="F470" t="inlineStr">
        <is>
          <t>JÖNKÖPINGS LÄN</t>
        </is>
      </c>
      <c r="G470" t="inlineStr">
        <is>
          <t>EKSJÖ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71313-2021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46217</v>
      </c>
      <c r="F471" t="inlineStr">
        <is>
          <t>JÖNKÖPINGS LÄN</t>
        </is>
      </c>
      <c r="G471" t="inlineStr">
        <is>
          <t>EKSJÖ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44939</v>
      </c>
      <c r="E472" s="1" t="n">
        <v>46217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46217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26054-2023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46217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19682-2023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45051</v>
      </c>
      <c r="E475" s="1" t="n">
        <v>46217</v>
      </c>
      <c r="F475" t="inlineStr">
        <is>
          <t>JÖNKÖPINGS LÄN</t>
        </is>
      </c>
      <c r="G475" t="inlineStr">
        <is>
          <t>EKSJÖ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33644-2022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44789</v>
      </c>
      <c r="E476" s="1" t="n">
        <v>46217</v>
      </c>
      <c r="F476" t="inlineStr">
        <is>
          <t>JÖNKÖPINGS LÄN</t>
        </is>
      </c>
      <c r="G476" t="inlineStr">
        <is>
          <t>EKSJÖ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17030-2024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46217</v>
      </c>
      <c r="F477" t="inlineStr">
        <is>
          <t>JÖNKÖPINGS LÄN</t>
        </is>
      </c>
      <c r="G477" t="inlineStr">
        <is>
          <t>EKSJÖ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24556-2023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46217</v>
      </c>
      <c r="F478" t="inlineStr">
        <is>
          <t>JÖNKÖPINGS LÄN</t>
        </is>
      </c>
      <c r="G478" t="inlineStr">
        <is>
          <t>EKSJÖ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25262-2023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45086</v>
      </c>
      <c r="E479" s="1" t="n">
        <v>46217</v>
      </c>
      <c r="F479" t="inlineStr">
        <is>
          <t>JÖNKÖPINGS LÄN</t>
        </is>
      </c>
      <c r="G479" t="inlineStr">
        <is>
          <t>EKSJÖ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44925</v>
      </c>
      <c r="E480" s="1" t="n">
        <v>46217</v>
      </c>
      <c r="F480" t="inlineStr">
        <is>
          <t>JÖNKÖPINGS LÄN</t>
        </is>
      </c>
      <c r="G480" t="inlineStr">
        <is>
          <t>EKSJÖ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23869-2023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45078</v>
      </c>
      <c r="E481" s="1" t="n">
        <v>46217</v>
      </c>
      <c r="F481" t="inlineStr">
        <is>
          <t>JÖNKÖPINGS LÄN</t>
        </is>
      </c>
      <c r="G481" t="inlineStr">
        <is>
          <t>EKSJÖ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37144-2023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45154</v>
      </c>
      <c r="E482" s="1" t="n">
        <v>46217</v>
      </c>
      <c r="F482" t="inlineStr">
        <is>
          <t>JÖNKÖPINGS LÄN</t>
        </is>
      </c>
      <c r="G482" t="inlineStr">
        <is>
          <t>EKSJÖ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65554-2021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44516</v>
      </c>
      <c r="E483" s="1" t="n">
        <v>46217</v>
      </c>
      <c r="F483" t="inlineStr">
        <is>
          <t>JÖNKÖPINGS LÄN</t>
        </is>
      </c>
      <c r="G483" t="inlineStr">
        <is>
          <t>EKSJÖ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63959-2023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46217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28024-2022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44746</v>
      </c>
      <c r="E485" s="1" t="n">
        <v>46217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32333-2022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44781</v>
      </c>
      <c r="E486" s="1" t="n">
        <v>46217</v>
      </c>
      <c r="F486" t="inlineStr">
        <is>
          <t>JÖNKÖPINGS LÄN</t>
        </is>
      </c>
      <c r="G486" t="inlineStr">
        <is>
          <t>EKSJÖ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32336-2022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44781</v>
      </c>
      <c r="E487" s="1" t="n">
        <v>46217</v>
      </c>
      <c r="F487" t="inlineStr">
        <is>
          <t>JÖNKÖPINGS LÄN</t>
        </is>
      </c>
      <c r="G487" t="inlineStr">
        <is>
          <t>EKSJÖ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6163-2024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45337</v>
      </c>
      <c r="E488" s="1" t="n">
        <v>46217</v>
      </c>
      <c r="F488" t="inlineStr">
        <is>
          <t>JÖNKÖPINGS LÄN</t>
        </is>
      </c>
      <c r="G488" t="inlineStr">
        <is>
          <t>EKSJÖ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3484-2025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45680</v>
      </c>
      <c r="E489" s="1" t="n">
        <v>46217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46918-2023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46217</v>
      </c>
      <c r="F490" t="inlineStr">
        <is>
          <t>JÖNKÖPINGS LÄN</t>
        </is>
      </c>
      <c r="G490" t="inlineStr">
        <is>
          <t>EKSJÖ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8183-2023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46217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64541-2023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46217</v>
      </c>
      <c r="F492" t="inlineStr">
        <is>
          <t>JÖNKÖPINGS LÄN</t>
        </is>
      </c>
      <c r="G492" t="inlineStr">
        <is>
          <t>EKSJÖ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44949</v>
      </c>
      <c r="E493" s="1" t="n">
        <v>46217</v>
      </c>
      <c r="F493" t="inlineStr">
        <is>
          <t>JÖNKÖPINGS LÄN</t>
        </is>
      </c>
      <c r="G493" t="inlineStr">
        <is>
          <t>EKSJÖ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8923-2025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46217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20485-2023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45057</v>
      </c>
      <c r="E495" s="1" t="n">
        <v>46217</v>
      </c>
      <c r="F495" t="inlineStr">
        <is>
          <t>JÖNKÖPINGS LÄN</t>
        </is>
      </c>
      <c r="G495" t="inlineStr">
        <is>
          <t>EKSJÖ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59254-2023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45253</v>
      </c>
      <c r="E496" s="1" t="n">
        <v>46217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64993-2023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45286</v>
      </c>
      <c r="E497" s="1" t="n">
        <v>46217</v>
      </c>
      <c r="F497" t="inlineStr">
        <is>
          <t>JÖNKÖPINGS LÄN</t>
        </is>
      </c>
      <c r="G497" t="inlineStr">
        <is>
          <t>EKSJÖ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45659</v>
      </c>
      <c r="E498" s="1" t="n">
        <v>46217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18337-2025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45762</v>
      </c>
      <c r="E499" s="1" t="n">
        <v>46217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11022-2024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45370</v>
      </c>
      <c r="E500" s="1" t="n">
        <v>46217</v>
      </c>
      <c r="F500" t="inlineStr">
        <is>
          <t>JÖNKÖPINGS LÄN</t>
        </is>
      </c>
      <c r="G500" t="inlineStr">
        <is>
          <t>EKSJÖ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23156-2023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45075</v>
      </c>
      <c r="E501" s="1" t="n">
        <v>46217</v>
      </c>
      <c r="F501" t="inlineStr">
        <is>
          <t>JÖNKÖPINGS LÄN</t>
        </is>
      </c>
      <c r="G501" t="inlineStr">
        <is>
          <t>EKSJÖ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27395-2023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46217</v>
      </c>
      <c r="F502" t="inlineStr">
        <is>
          <t>JÖNKÖPINGS LÄN</t>
        </is>
      </c>
      <c r="G502" t="inlineStr">
        <is>
          <t>EKSJÖ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36306-2023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45152</v>
      </c>
      <c r="E503" s="1" t="n">
        <v>46217</v>
      </c>
      <c r="F503" t="inlineStr">
        <is>
          <t>JÖNKÖPINGS LÄN</t>
        </is>
      </c>
      <c r="G503" t="inlineStr">
        <is>
          <t>EKSJÖ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53053-2021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44467</v>
      </c>
      <c r="E504" s="1" t="n">
        <v>46217</v>
      </c>
      <c r="F504" t="inlineStr">
        <is>
          <t>JÖNKÖPINGS LÄN</t>
        </is>
      </c>
      <c r="G504" t="inlineStr">
        <is>
          <t>EKSJÖ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44925</v>
      </c>
      <c r="E505" s="1" t="n">
        <v>46217</v>
      </c>
      <c r="F505" t="inlineStr">
        <is>
          <t>JÖNKÖPINGS LÄN</t>
        </is>
      </c>
      <c r="G505" t="inlineStr">
        <is>
          <t>EKSJÖ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44940</v>
      </c>
      <c r="E506" s="1" t="n">
        <v>46217</v>
      </c>
      <c r="F506" t="inlineStr">
        <is>
          <t>JÖNKÖPINGS LÄN</t>
        </is>
      </c>
      <c r="G506" t="inlineStr">
        <is>
          <t>EKSJÖ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44941</v>
      </c>
      <c r="E507" s="1" t="n">
        <v>46217</v>
      </c>
      <c r="F507" t="inlineStr">
        <is>
          <t>JÖNKÖPINGS LÄN</t>
        </is>
      </c>
      <c r="G507" t="inlineStr">
        <is>
          <t>EKSJÖ</t>
        </is>
      </c>
      <c r="H507" t="inlineStr">
        <is>
          <t>Övriga Aktiebolag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49919-2023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45214</v>
      </c>
      <c r="E508" s="1" t="n">
        <v>46217</v>
      </c>
      <c r="F508" t="inlineStr">
        <is>
          <t>JÖNKÖPINGS LÄN</t>
        </is>
      </c>
      <c r="G508" t="inlineStr">
        <is>
          <t>EKSJÖ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47806-2023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46217</v>
      </c>
      <c r="F509" t="inlineStr">
        <is>
          <t>JÖNKÖPINGS LÄN</t>
        </is>
      </c>
      <c r="G509" t="inlineStr">
        <is>
          <t>EKSJÖ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49681-2023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45212</v>
      </c>
      <c r="E510" s="1" t="n">
        <v>46217</v>
      </c>
      <c r="F510" t="inlineStr">
        <is>
          <t>JÖNKÖPINGS LÄN</t>
        </is>
      </c>
      <c r="G510" t="inlineStr">
        <is>
          <t>EKSJÖ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61850-2024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45649</v>
      </c>
      <c r="E511" s="1" t="n">
        <v>46217</v>
      </c>
      <c r="F511" t="inlineStr">
        <is>
          <t>JÖNKÖPINGS LÄN</t>
        </is>
      </c>
      <c r="G511" t="inlineStr">
        <is>
          <t>EKSJÖ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34772-2023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45141</v>
      </c>
      <c r="E512" s="1" t="n">
        <v>46217</v>
      </c>
      <c r="F512" t="inlineStr">
        <is>
          <t>JÖNKÖPINGS LÄN</t>
        </is>
      </c>
      <c r="G512" t="inlineStr">
        <is>
          <t>EKSJÖ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20068-2023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45054</v>
      </c>
      <c r="E513" s="1" t="n">
        <v>46217</v>
      </c>
      <c r="F513" t="inlineStr">
        <is>
          <t>JÖNKÖPINGS LÄN</t>
        </is>
      </c>
      <c r="G513" t="inlineStr">
        <is>
          <t>EKSJÖ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46019-2022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44846</v>
      </c>
      <c r="E514" s="1" t="n">
        <v>46217</v>
      </c>
      <c r="F514" t="inlineStr">
        <is>
          <t>JÖNKÖPINGS LÄN</t>
        </is>
      </c>
      <c r="G514" t="inlineStr">
        <is>
          <t>EKSJÖ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45493-2022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44845</v>
      </c>
      <c r="E515" s="1" t="n">
        <v>46217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45300</v>
      </c>
      <c r="E516" s="1" t="n">
        <v>46217</v>
      </c>
      <c r="F516" t="inlineStr">
        <is>
          <t>JÖNKÖPINGS LÄN</t>
        </is>
      </c>
      <c r="G516" t="inlineStr">
        <is>
          <t>EKSJÖ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36354-2022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44803</v>
      </c>
      <c r="E517" s="1" t="n">
        <v>46217</v>
      </c>
      <c r="F517" t="inlineStr">
        <is>
          <t>JÖNKÖPINGS LÄN</t>
        </is>
      </c>
      <c r="G517" t="inlineStr">
        <is>
          <t>EKSJÖ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48740-2023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45208</v>
      </c>
      <c r="E518" s="1" t="n">
        <v>46217</v>
      </c>
      <c r="F518" t="inlineStr">
        <is>
          <t>JÖNKÖPINGS LÄN</t>
        </is>
      </c>
      <c r="G518" t="inlineStr">
        <is>
          <t>EKSJÖ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29878-2023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46217</v>
      </c>
      <c r="F519" t="inlineStr">
        <is>
          <t>JÖNKÖPINGS LÄN</t>
        </is>
      </c>
      <c r="G519" t="inlineStr">
        <is>
          <t>EKSJÖ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46217</v>
      </c>
      <c r="F520" t="inlineStr">
        <is>
          <t>JÖNKÖPINGS LÄN</t>
        </is>
      </c>
      <c r="G520" t="inlineStr">
        <is>
          <t>EKSJÖ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11723-2024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46217</v>
      </c>
      <c r="F521" t="inlineStr">
        <is>
          <t>JÖNKÖPINGS LÄN</t>
        </is>
      </c>
      <c r="G521" t="inlineStr">
        <is>
          <t>EKSJÖ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50410-2024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45601</v>
      </c>
      <c r="E522" s="1" t="n">
        <v>46217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46217</v>
      </c>
      <c r="F523" t="inlineStr">
        <is>
          <t>JÖNKÖPINGS LÄN</t>
        </is>
      </c>
      <c r="G523" t="inlineStr">
        <is>
          <t>EKSJÖ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5629-2024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45334</v>
      </c>
      <c r="E524" s="1" t="n">
        <v>46217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25608-2024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45463</v>
      </c>
      <c r="E525" s="1" t="n">
        <v>46217</v>
      </c>
      <c r="F525" t="inlineStr">
        <is>
          <t>JÖNKÖPINGS LÄN</t>
        </is>
      </c>
      <c r="G525" t="inlineStr">
        <is>
          <t>EKSJÖ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38201-2023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45161</v>
      </c>
      <c r="E526" s="1" t="n">
        <v>46217</v>
      </c>
      <c r="F526" t="inlineStr">
        <is>
          <t>JÖNKÖPINGS LÄN</t>
        </is>
      </c>
      <c r="G526" t="inlineStr">
        <is>
          <t>EKSJÖ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54470-2024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45617</v>
      </c>
      <c r="E527" s="1" t="n">
        <v>46217</v>
      </c>
      <c r="F527" t="inlineStr">
        <is>
          <t>JÖNKÖPINGS LÄN</t>
        </is>
      </c>
      <c r="G527" t="inlineStr">
        <is>
          <t>EKSJÖ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2591-2022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44580</v>
      </c>
      <c r="E528" s="1" t="n">
        <v>46217</v>
      </c>
      <c r="F528" t="inlineStr">
        <is>
          <t>JÖNKÖPINGS LÄN</t>
        </is>
      </c>
      <c r="G528" t="inlineStr">
        <is>
          <t>EKSJÖ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27775-2024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45475</v>
      </c>
      <c r="E529" s="1" t="n">
        <v>46217</v>
      </c>
      <c r="F529" t="inlineStr">
        <is>
          <t>JÖNKÖPINGS LÄN</t>
        </is>
      </c>
      <c r="G529" t="inlineStr">
        <is>
          <t>EKSJÖ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9363-2025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45715</v>
      </c>
      <c r="E530" s="1" t="n">
        <v>46217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46217</v>
      </c>
      <c r="F531" t="inlineStr">
        <is>
          <t>JÖNKÖPINGS LÄN</t>
        </is>
      </c>
      <c r="G531" t="inlineStr">
        <is>
          <t>EKSJÖ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10972-2025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46217</v>
      </c>
      <c r="F532" t="inlineStr">
        <is>
          <t>JÖNKÖPINGS LÄN</t>
        </is>
      </c>
      <c r="G532" t="inlineStr">
        <is>
          <t>EKSJÖ</t>
        </is>
      </c>
      <c r="I532" t="n">
        <v>8.6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51541-2023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45222</v>
      </c>
      <c r="E533" s="1" t="n">
        <v>46217</v>
      </c>
      <c r="F533" t="inlineStr">
        <is>
          <t>JÖNKÖPINGS LÄN</t>
        </is>
      </c>
      <c r="G533" t="inlineStr">
        <is>
          <t>EKSJÖ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6455-2024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45338</v>
      </c>
      <c r="E534" s="1" t="n">
        <v>46217</v>
      </c>
      <c r="F534" t="inlineStr">
        <is>
          <t>JÖNKÖPINGS LÄN</t>
        </is>
      </c>
      <c r="G534" t="inlineStr">
        <is>
          <t>EKSJÖ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45016-2024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45575</v>
      </c>
      <c r="E535" s="1" t="n">
        <v>46217</v>
      </c>
      <c r="F535" t="inlineStr">
        <is>
          <t>JÖNKÖPINGS LÄN</t>
        </is>
      </c>
      <c r="G535" t="inlineStr">
        <is>
          <t>EKSJÖ</t>
        </is>
      </c>
      <c r="H535" t="inlineStr">
        <is>
          <t>Övriga Aktiebolag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50287-2024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45600</v>
      </c>
      <c r="E536" s="1" t="n">
        <v>46217</v>
      </c>
      <c r="F536" t="inlineStr">
        <is>
          <t>JÖNKÖPINGS LÄN</t>
        </is>
      </c>
      <c r="G536" t="inlineStr">
        <is>
          <t>EKSJÖ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19469-2025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45770</v>
      </c>
      <c r="E537" s="1" t="n">
        <v>46217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18695-2024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45426</v>
      </c>
      <c r="E538" s="1" t="n">
        <v>46217</v>
      </c>
      <c r="F538" t="inlineStr">
        <is>
          <t>JÖNKÖPINGS LÄN</t>
        </is>
      </c>
      <c r="G538" t="inlineStr">
        <is>
          <t>EKSJÖ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20986-2025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46217</v>
      </c>
      <c r="F539" t="inlineStr">
        <is>
          <t>JÖNKÖPINGS LÄN</t>
        </is>
      </c>
      <c r="G539" t="inlineStr">
        <is>
          <t>EKSJÖ</t>
        </is>
      </c>
      <c r="H539" t="inlineStr">
        <is>
          <t>Kommuner</t>
        </is>
      </c>
      <c r="I539" t="n">
        <v>9.6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20960-2025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46217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21224-2025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45779</v>
      </c>
      <c r="E541" s="1" t="n">
        <v>46217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59234-2024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45637</v>
      </c>
      <c r="E542" s="1" t="n">
        <v>46217</v>
      </c>
      <c r="F542" t="inlineStr">
        <is>
          <t>JÖNKÖPINGS LÄN</t>
        </is>
      </c>
      <c r="G542" t="inlineStr">
        <is>
          <t>EKSJÖ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42469-2023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46217</v>
      </c>
      <c r="F543" t="inlineStr">
        <is>
          <t>JÖNKÖPINGS LÄN</t>
        </is>
      </c>
      <c r="G543" t="inlineStr">
        <is>
          <t>EKSJÖ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7723-2025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45706</v>
      </c>
      <c r="E544" s="1" t="n">
        <v>46217</v>
      </c>
      <c r="F544" t="inlineStr">
        <is>
          <t>JÖNKÖPINGS LÄN</t>
        </is>
      </c>
      <c r="G544" t="inlineStr">
        <is>
          <t>EKSJÖ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22574-2025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46217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22987-2025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45790</v>
      </c>
      <c r="E546" s="1" t="n">
        <v>46217</v>
      </c>
      <c r="F546" t="inlineStr">
        <is>
          <t>JÖNKÖPINGS LÄN</t>
        </is>
      </c>
      <c r="G546" t="inlineStr">
        <is>
          <t>EKSJÖ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7585-2025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45705</v>
      </c>
      <c r="E547" s="1" t="n">
        <v>46217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35253-2024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45530</v>
      </c>
      <c r="E548" s="1" t="n">
        <v>46217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23386-2025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46217</v>
      </c>
      <c r="F549" t="inlineStr">
        <is>
          <t>JÖNKÖPINGS LÄN</t>
        </is>
      </c>
      <c r="G549" t="inlineStr">
        <is>
          <t>EKSJÖ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23387-2025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46217</v>
      </c>
      <c r="F550" t="inlineStr">
        <is>
          <t>JÖNKÖPINGS LÄN</t>
        </is>
      </c>
      <c r="G550" t="inlineStr">
        <is>
          <t>EKSJÖ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45743-2024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46217</v>
      </c>
      <c r="F551" t="inlineStr">
        <is>
          <t>JÖNKÖPINGS LÄN</t>
        </is>
      </c>
      <c r="G551" t="inlineStr">
        <is>
          <t>EKSJÖ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14366-2025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46217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11957-2025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46217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11669-2025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45727</v>
      </c>
      <c r="E554" s="1" t="n">
        <v>46217</v>
      </c>
      <c r="F554" t="inlineStr">
        <is>
          <t>JÖNKÖPINGS LÄN</t>
        </is>
      </c>
      <c r="G554" t="inlineStr">
        <is>
          <t>EKSJÖ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46217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14382-2025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45741</v>
      </c>
      <c r="E556" s="1" t="n">
        <v>46217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14817-2025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46217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46217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14376-2025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46217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11345-2025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45726</v>
      </c>
      <c r="E560" s="1" t="n">
        <v>46217</v>
      </c>
      <c r="F560" t="inlineStr">
        <is>
          <t>JÖNKÖPINGS LÄN</t>
        </is>
      </c>
      <c r="G560" t="inlineStr">
        <is>
          <t>EKSJÖ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56039-2024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46217</v>
      </c>
      <c r="F561" t="inlineStr">
        <is>
          <t>JÖNKÖPINGS LÄN</t>
        </is>
      </c>
      <c r="G561" t="inlineStr">
        <is>
          <t>EKSJÖ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13735-2025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45737</v>
      </c>
      <c r="E562" s="1" t="n">
        <v>46217</v>
      </c>
      <c r="F562" t="inlineStr">
        <is>
          <t>JÖNKÖPINGS LÄN</t>
        </is>
      </c>
      <c r="G562" t="inlineStr">
        <is>
          <t>EKSJÖ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34173-2024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45524</v>
      </c>
      <c r="E563" s="1" t="n">
        <v>46217</v>
      </c>
      <c r="F563" t="inlineStr">
        <is>
          <t>JÖNKÖPINGS LÄN</t>
        </is>
      </c>
      <c r="G563" t="inlineStr">
        <is>
          <t>EKSJÖ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26306-2023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45091</v>
      </c>
      <c r="E564" s="1" t="n">
        <v>46217</v>
      </c>
      <c r="F564" t="inlineStr">
        <is>
          <t>JÖNKÖPINGS LÄN</t>
        </is>
      </c>
      <c r="G564" t="inlineStr">
        <is>
          <t>EKSJÖ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19856-2025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45771</v>
      </c>
      <c r="E565" s="1" t="n">
        <v>46217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27089-2025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45811</v>
      </c>
      <c r="E566" s="1" t="n">
        <v>46217</v>
      </c>
      <c r="F566" t="inlineStr">
        <is>
          <t>JÖNKÖPINGS LÄN</t>
        </is>
      </c>
      <c r="G566" t="inlineStr">
        <is>
          <t>EKSJÖ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28465-2025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46217</v>
      </c>
      <c r="F567" t="inlineStr">
        <is>
          <t>JÖNKÖPINGS LÄN</t>
        </is>
      </c>
      <c r="G567" t="inlineStr">
        <is>
          <t>EKSJÖ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28441-2025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46217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30137-2025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45826</v>
      </c>
      <c r="E569" s="1" t="n">
        <v>46217</v>
      </c>
      <c r="F569" t="inlineStr">
        <is>
          <t>JÖNKÖPINGS LÄN</t>
        </is>
      </c>
      <c r="G569" t="inlineStr">
        <is>
          <t>EKSJÖ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41440-2024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45560</v>
      </c>
      <c r="E570" s="1" t="n">
        <v>46217</v>
      </c>
      <c r="F570" t="inlineStr">
        <is>
          <t>JÖNKÖPINGS LÄN</t>
        </is>
      </c>
      <c r="G570" t="inlineStr">
        <is>
          <t>EKSJÖ</t>
        </is>
      </c>
      <c r="H570" t="inlineStr">
        <is>
          <t>Kyrkan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32873-2025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45839</v>
      </c>
      <c r="E571" s="1" t="n">
        <v>46217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33614-2025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46217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46217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33775-2025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45842</v>
      </c>
      <c r="E574" s="1" t="n">
        <v>46217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34124-2025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46217</v>
      </c>
      <c r="F575" t="inlineStr">
        <is>
          <t>JÖNKÖPINGS LÄN</t>
        </is>
      </c>
      <c r="G575" t="inlineStr">
        <is>
          <t>EKSJÖ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33970-2025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46217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8057-2023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44974</v>
      </c>
      <c r="E577" s="1" t="n">
        <v>46217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6033-2025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45695</v>
      </c>
      <c r="E578" s="1" t="n">
        <v>46217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22176-2025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45785</v>
      </c>
      <c r="E579" s="1" t="n">
        <v>46217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24928-2024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46217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35784-2025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46217</v>
      </c>
      <c r="F581" t="inlineStr">
        <is>
          <t>JÖNKÖPINGS LÄN</t>
        </is>
      </c>
      <c r="G581" t="inlineStr">
        <is>
          <t>EKSJÖ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35785-2025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46217</v>
      </c>
      <c r="F582" t="inlineStr">
        <is>
          <t>JÖNKÖPINGS LÄN</t>
        </is>
      </c>
      <c r="G582" t="inlineStr">
        <is>
          <t>EKSJÖ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36148-2025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45866</v>
      </c>
      <c r="E583" s="1" t="n">
        <v>46217</v>
      </c>
      <c r="F583" t="inlineStr">
        <is>
          <t>JÖNKÖPINGS LÄN</t>
        </is>
      </c>
      <c r="G583" t="inlineStr">
        <is>
          <t>EKSJÖ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545-2024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46217</v>
      </c>
      <c r="F584" t="inlineStr">
        <is>
          <t>JÖNKÖPINGS LÄN</t>
        </is>
      </c>
      <c r="G584" t="inlineStr">
        <is>
          <t>EKSJÖ</t>
        </is>
      </c>
      <c r="I584" t="n">
        <v>40.5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538-2024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46217</v>
      </c>
      <c r="F585" t="inlineStr">
        <is>
          <t>JÖNKÖPINGS LÄN</t>
        </is>
      </c>
      <c r="G585" t="inlineStr">
        <is>
          <t>EKSJÖ</t>
        </is>
      </c>
      <c r="I585" t="n">
        <v>25.6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544-2024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46217</v>
      </c>
      <c r="F586" t="inlineStr">
        <is>
          <t>JÖNKÖPINGS LÄN</t>
        </is>
      </c>
      <c r="G586" t="inlineStr">
        <is>
          <t>EKSJÖ</t>
        </is>
      </c>
      <c r="I586" t="n">
        <v>37.3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549-2024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46217</v>
      </c>
      <c r="F587" t="inlineStr">
        <is>
          <t>JÖNKÖPINGS LÄN</t>
        </is>
      </c>
      <c r="G587" t="inlineStr">
        <is>
          <t>EKSJÖ</t>
        </is>
      </c>
      <c r="I587" t="n">
        <v>30.9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2245-2023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46217</v>
      </c>
      <c r="F588" t="inlineStr">
        <is>
          <t>JÖNKÖPINGS LÄN</t>
        </is>
      </c>
      <c r="G588" t="inlineStr">
        <is>
          <t>EKSJÖ</t>
        </is>
      </c>
      <c r="I588" t="n">
        <v>33.4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2246-2023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46217</v>
      </c>
      <c r="F589" t="inlineStr">
        <is>
          <t>JÖNKÖPINGS LÄN</t>
        </is>
      </c>
      <c r="G589" t="inlineStr">
        <is>
          <t>EKSJÖ</t>
        </is>
      </c>
      <c r="I589" t="n">
        <v>22.7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541-2024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46217</v>
      </c>
      <c r="F590" t="inlineStr">
        <is>
          <t>JÖNKÖPINGS LÄN</t>
        </is>
      </c>
      <c r="G590" t="inlineStr">
        <is>
          <t>EKSJÖ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2270-2023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45103</v>
      </c>
      <c r="E591" s="1" t="n">
        <v>46217</v>
      </c>
      <c r="F591" t="inlineStr">
        <is>
          <t>JÖNKÖPINGS LÄN</t>
        </is>
      </c>
      <c r="G591" t="inlineStr">
        <is>
          <t>EKSJÖ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4938-2024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45628</v>
      </c>
      <c r="E592" s="1" t="n">
        <v>46217</v>
      </c>
      <c r="F592" t="inlineStr">
        <is>
          <t>JÖNKÖPINGS LÄN</t>
        </is>
      </c>
      <c r="G592" t="inlineStr">
        <is>
          <t>EKSJÖ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546-2024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46217</v>
      </c>
      <c r="F593" t="inlineStr">
        <is>
          <t>JÖNKÖPINGS LÄN</t>
        </is>
      </c>
      <c r="G593" t="inlineStr">
        <is>
          <t>EKSJÖ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540-2024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46217</v>
      </c>
      <c r="F594" t="inlineStr">
        <is>
          <t>JÖNKÖPINGS LÄN</t>
        </is>
      </c>
      <c r="G594" t="inlineStr">
        <is>
          <t>EKSJÖ</t>
        </is>
      </c>
      <c r="I594" t="n">
        <v>25.9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543-2024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46217</v>
      </c>
      <c r="F595" t="inlineStr">
        <is>
          <t>JÖNKÖPINGS LÄN</t>
        </is>
      </c>
      <c r="G595" t="inlineStr">
        <is>
          <t>EKSJÖ</t>
        </is>
      </c>
      <c r="I595" t="n">
        <v>21.4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1407-2023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45042</v>
      </c>
      <c r="E596" s="1" t="n">
        <v>46217</v>
      </c>
      <c r="F596" t="inlineStr">
        <is>
          <t>JÖNKÖPINGS LÄN</t>
        </is>
      </c>
      <c r="G596" t="inlineStr">
        <is>
          <t>EKSJÖ</t>
        </is>
      </c>
      <c r="I596" t="n">
        <v>60.7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539-2024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46217</v>
      </c>
      <c r="F597" t="inlineStr">
        <is>
          <t>JÖNKÖPINGS LÄN</t>
        </is>
      </c>
      <c r="G597" t="inlineStr">
        <is>
          <t>EKSJÖ</t>
        </is>
      </c>
      <c r="I597" t="n">
        <v>41.7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2244-2023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46217</v>
      </c>
      <c r="F598" t="inlineStr">
        <is>
          <t>JÖNKÖPINGS LÄN</t>
        </is>
      </c>
      <c r="G598" t="inlineStr">
        <is>
          <t>EKSJÖ</t>
        </is>
      </c>
      <c r="I598" t="n">
        <v>26.1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2704-2023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45155</v>
      </c>
      <c r="E599" s="1" t="n">
        <v>46217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1298-2025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45770</v>
      </c>
      <c r="E600" s="1" t="n">
        <v>46217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949-2025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45741</v>
      </c>
      <c r="E601" s="1" t="n">
        <v>46217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583-2025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45712</v>
      </c>
      <c r="E602" s="1" t="n">
        <v>46217</v>
      </c>
      <c r="F602" t="inlineStr">
        <is>
          <t>JÖNKÖPINGS LÄN</t>
        </is>
      </c>
      <c r="G602" t="inlineStr">
        <is>
          <t>EKSJÖ</t>
        </is>
      </c>
      <c r="I602" t="n">
        <v>18.6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524-2025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45707</v>
      </c>
      <c r="E603" s="1" t="n">
        <v>46217</v>
      </c>
      <c r="F603" t="inlineStr">
        <is>
          <t>JÖNKÖPINGS LÄN</t>
        </is>
      </c>
      <c r="G603" t="inlineStr">
        <is>
          <t>EKSJÖ</t>
        </is>
      </c>
      <c r="I603" t="n">
        <v>114.6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1670-2025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45804</v>
      </c>
      <c r="E604" s="1" t="n">
        <v>46217</v>
      </c>
      <c r="F604" t="inlineStr">
        <is>
          <t>JÖNKÖPINGS LÄN</t>
        </is>
      </c>
      <c r="G604" t="inlineStr">
        <is>
          <t>EKSJÖ</t>
        </is>
      </c>
      <c r="I604" t="n">
        <v>21.5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2606-2025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45916</v>
      </c>
      <c r="E605" s="1" t="n">
        <v>46217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2834-2025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45940</v>
      </c>
      <c r="E606" s="1" t="n">
        <v>46217</v>
      </c>
      <c r="F606" t="inlineStr">
        <is>
          <t>JÖNKÖPINGS LÄN</t>
        </is>
      </c>
      <c r="G606" t="inlineStr">
        <is>
          <t>EKSJÖ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1004-2026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46121</v>
      </c>
      <c r="E607" s="1" t="n">
        <v>46217</v>
      </c>
      <c r="F607" t="inlineStr">
        <is>
          <t>JÖNKÖPINGS LÄN</t>
        </is>
      </c>
      <c r="G607" t="inlineStr">
        <is>
          <t>EKSJÖ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1825-2026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46217</v>
      </c>
      <c r="F608" t="inlineStr">
        <is>
          <t>JÖNKÖPINGS LÄN</t>
        </is>
      </c>
      <c r="G608" t="inlineStr">
        <is>
          <t>EKSJÖ</t>
        </is>
      </c>
      <c r="I608" t="n">
        <v>14.8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46217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46217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46217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>
      <c r="A612" t="inlineStr">
        <is>
          <t>S 1973-2026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46210</v>
      </c>
      <c r="E612" s="1" t="n">
        <v>46217</v>
      </c>
      <c r="F612" t="inlineStr">
        <is>
          <t>JÖNKÖPINGS LÄN</t>
        </is>
      </c>
      <c r="G612" t="inlineStr">
        <is>
          <t>EKSJÖ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2026-07-14T09:00:36Z</dcterms:created>
  <dcterms:modified xmlns:dcterms="http://purl.org/dc/terms/" xmlns:xsi="http://www.w3.org/2001/XMLSchema-instance" xsi:type="dcterms:W3CDTF">2026-07-14T09:00:36Z</dcterms:modified>
</cp:coreProperties>
</file>