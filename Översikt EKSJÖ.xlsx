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45941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45941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18327-2024</t>
        </is>
      </c>
      <c r="B5" s="1" t="n">
        <v>45422.55405092592</v>
      </c>
      <c r="C5" s="1" t="n">
        <v>45941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Dvärgbägarlav</t>
        </is>
      </c>
      <c r="S5">
        <f>HYPERLINK("https://klasma.github.io/Logging_0686/artfynd/A 18327-2024 artfynd.xlsx", "A 18327-2024")</f>
        <v/>
      </c>
      <c r="T5">
        <f>HYPERLINK("https://klasma.github.io/Logging_0686/kartor/A 18327-2024 karta.png", "A 18327-2024")</f>
        <v/>
      </c>
      <c r="V5">
        <f>HYPERLINK("https://klasma.github.io/Logging_0686/klagomål/A 18327-2024 FSC-klagomål.docx", "A 18327-2024")</f>
        <v/>
      </c>
      <c r="W5">
        <f>HYPERLINK("https://klasma.github.io/Logging_0686/klagomålsmail/A 18327-2024 FSC-klagomål mail.docx", "A 18327-2024")</f>
        <v/>
      </c>
      <c r="X5">
        <f>HYPERLINK("https://klasma.github.io/Logging_0686/tillsyn/A 18327-2024 tillsynsbegäran.docx", "A 18327-2024")</f>
        <v/>
      </c>
      <c r="Y5">
        <f>HYPERLINK("https://klasma.github.io/Logging_0686/tillsynsmail/A 18327-2024 tillsynsbegäran mail.docx", "A 18327-2024")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45941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45941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45941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45941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45941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45941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45941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45941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45941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45941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45941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43356-2023</t>
        </is>
      </c>
      <c r="B17" s="1" t="n">
        <v>45183</v>
      </c>
      <c r="C17" s="1" t="n">
        <v>45941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43356-2023 artfynd.xlsx", "A 43356-2023")</f>
        <v/>
      </c>
      <c r="T17">
        <f>HYPERLINK("https://klasma.github.io/Logging_0686/kartor/A 43356-2023 karta.png", "A 43356-2023")</f>
        <v/>
      </c>
      <c r="V17">
        <f>HYPERLINK("https://klasma.github.io/Logging_0686/klagomål/A 43356-2023 FSC-klagomål.docx", "A 43356-2023")</f>
        <v/>
      </c>
      <c r="W17">
        <f>HYPERLINK("https://klasma.github.io/Logging_0686/klagomålsmail/A 43356-2023 FSC-klagomål mail.docx", "A 43356-2023")</f>
        <v/>
      </c>
      <c r="X17">
        <f>HYPERLINK("https://klasma.github.io/Logging_0686/tillsyn/A 43356-2023 tillsynsbegäran.docx", "A 43356-2023")</f>
        <v/>
      </c>
      <c r="Y17">
        <f>HYPERLINK("https://klasma.github.io/Logging_0686/tillsynsmail/A 43356-2023 tillsynsbegäran mail.docx", "A 43356-2023")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45941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45941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45941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45941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45941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45941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45941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45941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56005-2022</t>
        </is>
      </c>
      <c r="B26" s="1" t="n">
        <v>44889</v>
      </c>
      <c r="C26" s="1" t="n">
        <v>45941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45941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45941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45941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45941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45941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45941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45941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45941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45941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45941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45941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45941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45941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45941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45941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45941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45941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45941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45941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45941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45941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45941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45941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45941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45941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45941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45941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45941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45941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45941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45941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45941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45941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45941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45941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45941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45941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45941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45941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45941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45941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45941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45941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52161-2020</t>
        </is>
      </c>
      <c r="B70" s="1" t="n">
        <v>44117</v>
      </c>
      <c r="C70" s="1" t="n">
        <v>45941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45941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45941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45941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45941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45941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45941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45941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45941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45941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45941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45941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45941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45941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45941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45941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45941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45941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45941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45941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53266-2020</t>
        </is>
      </c>
      <c r="B90" s="1" t="n">
        <v>44123</v>
      </c>
      <c r="C90" s="1" t="n">
        <v>45941</v>
      </c>
      <c r="D90" t="inlineStr">
        <is>
          <t>JÖNKÖPINGS LÄN</t>
        </is>
      </c>
      <c r="E90" t="inlineStr">
        <is>
          <t>EKSJÖ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45941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45941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45941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10344-2021</t>
        </is>
      </c>
      <c r="B94" s="1" t="n">
        <v>44257</v>
      </c>
      <c r="C94" s="1" t="n">
        <v>45941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10326-2021</t>
        </is>
      </c>
      <c r="B95" s="1" t="n">
        <v>44257</v>
      </c>
      <c r="C95" s="1" t="n">
        <v>45941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28684-2022</t>
        </is>
      </c>
      <c r="B96" s="1" t="n">
        <v>44748.71412037037</v>
      </c>
      <c r="C96" s="1" t="n">
        <v>45941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29776-2021</t>
        </is>
      </c>
      <c r="B97" s="1" t="n">
        <v>44362</v>
      </c>
      <c r="C97" s="1" t="n">
        <v>45941</v>
      </c>
      <c r="D97" t="inlineStr">
        <is>
          <t>JÖNKÖPINGS LÄN</t>
        </is>
      </c>
      <c r="E97" t="inlineStr">
        <is>
          <t>EKSJÖ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33396-2021</t>
        </is>
      </c>
      <c r="B98" s="1" t="n">
        <v>44377.57223379629</v>
      </c>
      <c r="C98" s="1" t="n">
        <v>45941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23007-2021</t>
        </is>
      </c>
      <c r="B99" s="1" t="n">
        <v>44328.84101851852</v>
      </c>
      <c r="C99" s="1" t="n">
        <v>45941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66930-2021</t>
        </is>
      </c>
      <c r="B100" s="1" t="n">
        <v>44522.55723379629</v>
      </c>
      <c r="C100" s="1" t="n">
        <v>45941</v>
      </c>
      <c r="D100" t="inlineStr">
        <is>
          <t>JÖNKÖPINGS LÄN</t>
        </is>
      </c>
      <c r="E100" t="inlineStr">
        <is>
          <t>EKSJÖ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22150-2021</t>
        </is>
      </c>
      <c r="B101" s="1" t="n">
        <v>44324</v>
      </c>
      <c r="C101" s="1" t="n">
        <v>45941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8335-2022</t>
        </is>
      </c>
      <c r="B102" s="1" t="n">
        <v>44610</v>
      </c>
      <c r="C102" s="1" t="n">
        <v>45941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16763-2021</t>
        </is>
      </c>
      <c r="B103" s="1" t="n">
        <v>44294.7769675926</v>
      </c>
      <c r="C103" s="1" t="n">
        <v>45941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4946-2021</t>
        </is>
      </c>
      <c r="B104" s="1" t="n">
        <v>44228.32541666667</v>
      </c>
      <c r="C104" s="1" t="n">
        <v>45941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45941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57705-2020</t>
        </is>
      </c>
      <c r="B106" s="1" t="n">
        <v>44140.90706018519</v>
      </c>
      <c r="C106" s="1" t="n">
        <v>45941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25041-2021</t>
        </is>
      </c>
      <c r="B107" s="1" t="n">
        <v>44341</v>
      </c>
      <c r="C107" s="1" t="n">
        <v>45941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45941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42779-2021</t>
        </is>
      </c>
      <c r="B109" s="1" t="n">
        <v>44428.69538194445</v>
      </c>
      <c r="C109" s="1" t="n">
        <v>45941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50489-2022</t>
        </is>
      </c>
      <c r="B110" s="1" t="n">
        <v>44861</v>
      </c>
      <c r="C110" s="1" t="n">
        <v>45941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51123-2021</t>
        </is>
      </c>
      <c r="B111" s="1" t="n">
        <v>44461</v>
      </c>
      <c r="C111" s="1" t="n">
        <v>45941</v>
      </c>
      <c r="D111" t="inlineStr">
        <is>
          <t>JÖNKÖPINGS LÄN</t>
        </is>
      </c>
      <c r="E111" t="inlineStr">
        <is>
          <t>EKSJÖ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45941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61343-2021</t>
        </is>
      </c>
      <c r="B113" s="1" t="n">
        <v>44498</v>
      </c>
      <c r="C113" s="1" t="n">
        <v>45941</v>
      </c>
      <c r="D113" t="inlineStr">
        <is>
          <t>JÖNKÖPINGS LÄN</t>
        </is>
      </c>
      <c r="E113" t="inlineStr">
        <is>
          <t>EKSJÖ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24845-2021</t>
        </is>
      </c>
      <c r="B114" s="1" t="n">
        <v>44340</v>
      </c>
      <c r="C114" s="1" t="n">
        <v>45941</v>
      </c>
      <c r="D114" t="inlineStr">
        <is>
          <t>JÖNKÖPINGS LÄN</t>
        </is>
      </c>
      <c r="E114" t="inlineStr">
        <is>
          <t>EKSJÖ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16878-2021</t>
        </is>
      </c>
      <c r="B115" s="1" t="n">
        <v>44294</v>
      </c>
      <c r="C115" s="1" t="n">
        <v>45941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28039-2022</t>
        </is>
      </c>
      <c r="B116" s="1" t="n">
        <v>44746</v>
      </c>
      <c r="C116" s="1" t="n">
        <v>45941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4406-2021</t>
        </is>
      </c>
      <c r="B117" s="1" t="n">
        <v>44223</v>
      </c>
      <c r="C117" s="1" t="n">
        <v>45941</v>
      </c>
      <c r="D117" t="inlineStr">
        <is>
          <t>JÖNKÖPINGS LÄN</t>
        </is>
      </c>
      <c r="E117" t="inlineStr">
        <is>
          <t>EKSJÖ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65645-2021</t>
        </is>
      </c>
      <c r="B118" s="1" t="n">
        <v>44516</v>
      </c>
      <c r="C118" s="1" t="n">
        <v>45941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45941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46220-2022</t>
        </is>
      </c>
      <c r="B120" s="1" t="n">
        <v>44847.58372685185</v>
      </c>
      <c r="C120" s="1" t="n">
        <v>45941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56471-2021</t>
        </is>
      </c>
      <c r="B121" s="1" t="n">
        <v>44480.55214120371</v>
      </c>
      <c r="C121" s="1" t="n">
        <v>45941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26704-2022</t>
        </is>
      </c>
      <c r="B122" s="1" t="n">
        <v>44739</v>
      </c>
      <c r="C122" s="1" t="n">
        <v>45941</v>
      </c>
      <c r="D122" t="inlineStr">
        <is>
          <t>JÖNKÖPINGS LÄN</t>
        </is>
      </c>
      <c r="E122" t="inlineStr">
        <is>
          <t>EKSJÖ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54700-2022</t>
        </is>
      </c>
      <c r="B123" s="1" t="n">
        <v>44883</v>
      </c>
      <c r="C123" s="1" t="n">
        <v>45941</v>
      </c>
      <c r="D123" t="inlineStr">
        <is>
          <t>JÖNKÖPINGS LÄN</t>
        </is>
      </c>
      <c r="E123" t="inlineStr">
        <is>
          <t>EKSJÖ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45941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52817-2021</t>
        </is>
      </c>
      <c r="B125" s="1" t="n">
        <v>44467</v>
      </c>
      <c r="C125" s="1" t="n">
        <v>45941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28945-2021</t>
        </is>
      </c>
      <c r="B126" s="1" t="n">
        <v>44358.34016203704</v>
      </c>
      <c r="C126" s="1" t="n">
        <v>45941</v>
      </c>
      <c r="D126" t="inlineStr">
        <is>
          <t>JÖNKÖPINGS LÄN</t>
        </is>
      </c>
      <c r="E126" t="inlineStr">
        <is>
          <t>EKSJÖ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21998-2021</t>
        </is>
      </c>
      <c r="B127" s="1" t="n">
        <v>44323</v>
      </c>
      <c r="C127" s="1" t="n">
        <v>45941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19353-2021</t>
        </is>
      </c>
      <c r="B128" s="1" t="n">
        <v>44309.6172337963</v>
      </c>
      <c r="C128" s="1" t="n">
        <v>45941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7370-2021</t>
        </is>
      </c>
      <c r="B129" s="1" t="n">
        <v>44239</v>
      </c>
      <c r="C129" s="1" t="n">
        <v>45941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67308-2021</t>
        </is>
      </c>
      <c r="B130" s="1" t="n">
        <v>44523</v>
      </c>
      <c r="C130" s="1" t="n">
        <v>45941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39277-2022</t>
        </is>
      </c>
      <c r="B131" s="1" t="n">
        <v>44817</v>
      </c>
      <c r="C131" s="1" t="n">
        <v>45941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7499-2021</t>
        </is>
      </c>
      <c r="B132" s="1" t="n">
        <v>44239</v>
      </c>
      <c r="C132" s="1" t="n">
        <v>45941</v>
      </c>
      <c r="D132" t="inlineStr">
        <is>
          <t>JÖNKÖPINGS LÄN</t>
        </is>
      </c>
      <c r="E132" t="inlineStr">
        <is>
          <t>EKSJÖ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4818-2022</t>
        </is>
      </c>
      <c r="B133" s="1" t="n">
        <v>44592</v>
      </c>
      <c r="C133" s="1" t="n">
        <v>45941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58989-2022</t>
        </is>
      </c>
      <c r="B134" s="1" t="n">
        <v>44903.70918981481</v>
      </c>
      <c r="C134" s="1" t="n">
        <v>45941</v>
      </c>
      <c r="D134" t="inlineStr">
        <is>
          <t>JÖNKÖPINGS LÄN</t>
        </is>
      </c>
      <c r="E134" t="inlineStr">
        <is>
          <t>EKSJÖ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3226-2022</t>
        </is>
      </c>
      <c r="B135" s="1" t="n">
        <v>44582</v>
      </c>
      <c r="C135" s="1" t="n">
        <v>45941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36042-2024</t>
        </is>
      </c>
      <c r="B136" s="1" t="n">
        <v>45533.60511574074</v>
      </c>
      <c r="C136" s="1" t="n">
        <v>45941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46852-2022</t>
        </is>
      </c>
      <c r="B137" s="1" t="n">
        <v>44851</v>
      </c>
      <c r="C137" s="1" t="n">
        <v>45941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35298-2021</t>
        </is>
      </c>
      <c r="B138" s="1" t="n">
        <v>44384.6803125</v>
      </c>
      <c r="C138" s="1" t="n">
        <v>45941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41791-2021</t>
        </is>
      </c>
      <c r="B139" s="1" t="n">
        <v>44425</v>
      </c>
      <c r="C139" s="1" t="n">
        <v>45941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9258-2022</t>
        </is>
      </c>
      <c r="B140" s="1" t="n">
        <v>44616</v>
      </c>
      <c r="C140" s="1" t="n">
        <v>45941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50165-2022</t>
        </is>
      </c>
      <c r="B141" s="1" t="n">
        <v>44865.59502314815</v>
      </c>
      <c r="C141" s="1" t="n">
        <v>45941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55710-2021</t>
        </is>
      </c>
      <c r="B142" s="1" t="n">
        <v>44476</v>
      </c>
      <c r="C142" s="1" t="n">
        <v>45941</v>
      </c>
      <c r="D142" t="inlineStr">
        <is>
          <t>JÖNKÖPINGS LÄN</t>
        </is>
      </c>
      <c r="E142" t="inlineStr">
        <is>
          <t>EKSJÖ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41397-2024</t>
        </is>
      </c>
      <c r="B143" s="1" t="n">
        <v>45560</v>
      </c>
      <c r="C143" s="1" t="n">
        <v>45941</v>
      </c>
      <c r="D143" t="inlineStr">
        <is>
          <t>JÖNKÖPINGS LÄN</t>
        </is>
      </c>
      <c r="E143" t="inlineStr">
        <is>
          <t>EKSJÖ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64419-2021</t>
        </is>
      </c>
      <c r="B144" s="1" t="n">
        <v>44511</v>
      </c>
      <c r="C144" s="1" t="n">
        <v>45941</v>
      </c>
      <c r="D144" t="inlineStr">
        <is>
          <t>JÖNKÖPINGS LÄN</t>
        </is>
      </c>
      <c r="E144" t="inlineStr">
        <is>
          <t>EKSJÖ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36873-2023</t>
        </is>
      </c>
      <c r="B145" s="1" t="n">
        <v>45154.575</v>
      </c>
      <c r="C145" s="1" t="n">
        <v>45941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4786-2024</t>
        </is>
      </c>
      <c r="B146" s="1" t="n">
        <v>45328</v>
      </c>
      <c r="C146" s="1" t="n">
        <v>45941</v>
      </c>
      <c r="D146" t="inlineStr">
        <is>
          <t>JÖNKÖPINGS LÄN</t>
        </is>
      </c>
      <c r="E146" t="inlineStr">
        <is>
          <t>EKSJÖ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12088-2021</t>
        </is>
      </c>
      <c r="B147" s="1" t="n">
        <v>44266.50493055556</v>
      </c>
      <c r="C147" s="1" t="n">
        <v>45941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26222-2024</t>
        </is>
      </c>
      <c r="B148" s="1" t="n">
        <v>45468.603125</v>
      </c>
      <c r="C148" s="1" t="n">
        <v>45941</v>
      </c>
      <c r="D148" t="inlineStr">
        <is>
          <t>JÖNKÖPINGS LÄN</t>
        </is>
      </c>
      <c r="E148" t="inlineStr">
        <is>
          <t>EKSJÖ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2348-2023</t>
        </is>
      </c>
      <c r="B149" s="1" t="n">
        <v>44942.63164351852</v>
      </c>
      <c r="C149" s="1" t="n">
        <v>45941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54773-2020</t>
        </is>
      </c>
      <c r="B150" s="1" t="n">
        <v>44127</v>
      </c>
      <c r="C150" s="1" t="n">
        <v>45941</v>
      </c>
      <c r="D150" t="inlineStr">
        <is>
          <t>JÖNKÖPINGS LÄN</t>
        </is>
      </c>
      <c r="E150" t="inlineStr">
        <is>
          <t>EKSJÖ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3007-2024</t>
        </is>
      </c>
      <c r="B151" s="1" t="n">
        <v>45315</v>
      </c>
      <c r="C151" s="1" t="n">
        <v>45941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563-2025</t>
        </is>
      </c>
      <c r="B152" s="1" t="n">
        <v>45664.54996527778</v>
      </c>
      <c r="C152" s="1" t="n">
        <v>45941</v>
      </c>
      <c r="D152" t="inlineStr">
        <is>
          <t>JÖNKÖPINGS LÄN</t>
        </is>
      </c>
      <c r="E152" t="inlineStr">
        <is>
          <t>EKSJÖ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28688-2022</t>
        </is>
      </c>
      <c r="B153" s="1" t="n">
        <v>44748.7228125</v>
      </c>
      <c r="C153" s="1" t="n">
        <v>45941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18479-2021</t>
        </is>
      </c>
      <c r="B154" s="1" t="n">
        <v>44306</v>
      </c>
      <c r="C154" s="1" t="n">
        <v>45941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60436-2024</t>
        </is>
      </c>
      <c r="B155" s="1" t="n">
        <v>45643.57760416667</v>
      </c>
      <c r="C155" s="1" t="n">
        <v>45941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30931-2023</t>
        </is>
      </c>
      <c r="B156" s="1" t="n">
        <v>45113</v>
      </c>
      <c r="C156" s="1" t="n">
        <v>45941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11418-2022</t>
        </is>
      </c>
      <c r="B157" s="1" t="n">
        <v>44630</v>
      </c>
      <c r="C157" s="1" t="n">
        <v>45941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53564-2022</t>
        </is>
      </c>
      <c r="B158" s="1" t="n">
        <v>44879.64934027778</v>
      </c>
      <c r="C158" s="1" t="n">
        <v>45941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5528-2024</t>
        </is>
      </c>
      <c r="B159" s="1" t="n">
        <v>45334.39123842592</v>
      </c>
      <c r="C159" s="1" t="n">
        <v>45941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5587-2024</t>
        </is>
      </c>
      <c r="B160" s="1" t="n">
        <v>45334.54140046296</v>
      </c>
      <c r="C160" s="1" t="n">
        <v>45941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8165-2022</t>
        </is>
      </c>
      <c r="B161" s="1" t="n">
        <v>44609</v>
      </c>
      <c r="C161" s="1" t="n">
        <v>45941</v>
      </c>
      <c r="D161" t="inlineStr">
        <is>
          <t>JÖNKÖPINGS LÄN</t>
        </is>
      </c>
      <c r="E161" t="inlineStr">
        <is>
          <t>EKSJÖ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9441-2022</t>
        </is>
      </c>
      <c r="B162" s="1" t="n">
        <v>44616.69456018518</v>
      </c>
      <c r="C162" s="1" t="n">
        <v>45941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42398-2022</t>
        </is>
      </c>
      <c r="B163" s="1" t="n">
        <v>44831.42795138889</v>
      </c>
      <c r="C163" s="1" t="n">
        <v>45941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58607-2023</t>
        </is>
      </c>
      <c r="B164" s="1" t="n">
        <v>45251.49496527778</v>
      </c>
      <c r="C164" s="1" t="n">
        <v>45941</v>
      </c>
      <c r="D164" t="inlineStr">
        <is>
          <t>JÖNKÖPINGS LÄN</t>
        </is>
      </c>
      <c r="E164" t="inlineStr">
        <is>
          <t>EKSJÖ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60262-2020</t>
        </is>
      </c>
      <c r="B165" s="1" t="n">
        <v>44152</v>
      </c>
      <c r="C165" s="1" t="n">
        <v>45941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38340-2023</t>
        </is>
      </c>
      <c r="B166" s="1" t="n">
        <v>45161.88435185186</v>
      </c>
      <c r="C166" s="1" t="n">
        <v>45941</v>
      </c>
      <c r="D166" t="inlineStr">
        <is>
          <t>JÖNKÖPINGS LÄN</t>
        </is>
      </c>
      <c r="E166" t="inlineStr">
        <is>
          <t>EKSJÖ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10926-2023</t>
        </is>
      </c>
      <c r="B167" s="1" t="n">
        <v>44991.51064814815</v>
      </c>
      <c r="C167" s="1" t="n">
        <v>45941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34173-2024</t>
        </is>
      </c>
      <c r="B168" s="1" t="n">
        <v>45524</v>
      </c>
      <c r="C168" s="1" t="n">
        <v>45941</v>
      </c>
      <c r="D168" t="inlineStr">
        <is>
          <t>JÖNKÖPINGS LÄN</t>
        </is>
      </c>
      <c r="E168" t="inlineStr">
        <is>
          <t>EKSJÖ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7262-2024</t>
        </is>
      </c>
      <c r="B169" s="1" t="n">
        <v>45344</v>
      </c>
      <c r="C169" s="1" t="n">
        <v>45941</v>
      </c>
      <c r="D169" t="inlineStr">
        <is>
          <t>JÖNKÖPINGS LÄN</t>
        </is>
      </c>
      <c r="E169" t="inlineStr">
        <is>
          <t>EKSJÖ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9845-2025</t>
        </is>
      </c>
      <c r="B170" s="1" t="n">
        <v>45716</v>
      </c>
      <c r="C170" s="1" t="n">
        <v>45941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43483-2023</t>
        </is>
      </c>
      <c r="B171" s="1" t="n">
        <v>45184</v>
      </c>
      <c r="C171" s="1" t="n">
        <v>45941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19468-2023</t>
        </is>
      </c>
      <c r="B172" s="1" t="n">
        <v>45049</v>
      </c>
      <c r="C172" s="1" t="n">
        <v>45941</v>
      </c>
      <c r="D172" t="inlineStr">
        <is>
          <t>JÖNKÖPINGS LÄN</t>
        </is>
      </c>
      <c r="E172" t="inlineStr">
        <is>
          <t>EKSJÖ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2146-2023</t>
        </is>
      </c>
      <c r="B173" s="1" t="n">
        <v>44940.87436342592</v>
      </c>
      <c r="C173" s="1" t="n">
        <v>45941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5608-2024</t>
        </is>
      </c>
      <c r="B174" s="1" t="n">
        <v>45334</v>
      </c>
      <c r="C174" s="1" t="n">
        <v>45941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35256-2024</t>
        </is>
      </c>
      <c r="B175" s="1" t="n">
        <v>45530.57877314815</v>
      </c>
      <c r="C175" s="1" t="n">
        <v>45941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5627-2024</t>
        </is>
      </c>
      <c r="B176" s="1" t="n">
        <v>45334.60099537037</v>
      </c>
      <c r="C176" s="1" t="n">
        <v>45941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5638-2024</t>
        </is>
      </c>
      <c r="B177" s="1" t="n">
        <v>45334.61295138889</v>
      </c>
      <c r="C177" s="1" t="n">
        <v>45941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5640-2024</t>
        </is>
      </c>
      <c r="B178" s="1" t="n">
        <v>45334.61423611111</v>
      </c>
      <c r="C178" s="1" t="n">
        <v>45941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50498-2022</t>
        </is>
      </c>
      <c r="B179" s="1" t="n">
        <v>44861</v>
      </c>
      <c r="C179" s="1" t="n">
        <v>45941</v>
      </c>
      <c r="D179" t="inlineStr">
        <is>
          <t>JÖNKÖPINGS LÄN</t>
        </is>
      </c>
      <c r="E179" t="inlineStr">
        <is>
          <t>EKSJÖ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29773-2024</t>
        </is>
      </c>
      <c r="B180" s="1" t="n">
        <v>45485.44782407407</v>
      </c>
      <c r="C180" s="1" t="n">
        <v>45941</v>
      </c>
      <c r="D180" t="inlineStr">
        <is>
          <t>JÖNKÖPINGS LÄN</t>
        </is>
      </c>
      <c r="E180" t="inlineStr">
        <is>
          <t>EKSJÖ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17093-2021</t>
        </is>
      </c>
      <c r="B181" s="1" t="n">
        <v>44298.31650462963</v>
      </c>
      <c r="C181" s="1" t="n">
        <v>45941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15619-2024</t>
        </is>
      </c>
      <c r="B182" s="1" t="n">
        <v>45402.23002314815</v>
      </c>
      <c r="C182" s="1" t="n">
        <v>45941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58490-2024</t>
        </is>
      </c>
      <c r="B183" s="1" t="n">
        <v>45635</v>
      </c>
      <c r="C183" s="1" t="n">
        <v>45941</v>
      </c>
      <c r="D183" t="inlineStr">
        <is>
          <t>JÖNKÖPINGS LÄN</t>
        </is>
      </c>
      <c r="E183" t="inlineStr">
        <is>
          <t>EKSJÖ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22491-2023</t>
        </is>
      </c>
      <c r="B184" s="1" t="n">
        <v>45071</v>
      </c>
      <c r="C184" s="1" t="n">
        <v>45941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43411-2022</t>
        </is>
      </c>
      <c r="B185" s="1" t="n">
        <v>44834</v>
      </c>
      <c r="C185" s="1" t="n">
        <v>45941</v>
      </c>
      <c r="D185" t="inlineStr">
        <is>
          <t>JÖNKÖPINGS LÄN</t>
        </is>
      </c>
      <c r="E185" t="inlineStr">
        <is>
          <t>EKSJÖ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26306-2023</t>
        </is>
      </c>
      <c r="B186" s="1" t="n">
        <v>45091.65045138889</v>
      </c>
      <c r="C186" s="1" t="n">
        <v>45941</v>
      </c>
      <c r="D186" t="inlineStr">
        <is>
          <t>JÖNKÖPINGS LÄN</t>
        </is>
      </c>
      <c r="E186" t="inlineStr">
        <is>
          <t>EKSJÖ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34098-2024</t>
        </is>
      </c>
      <c r="B187" s="1" t="n">
        <v>45523.69509259259</v>
      </c>
      <c r="C187" s="1" t="n">
        <v>45941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32344-2024</t>
        </is>
      </c>
      <c r="B188" s="1" t="n">
        <v>45512.52320601852</v>
      </c>
      <c r="C188" s="1" t="n">
        <v>45941</v>
      </c>
      <c r="D188" t="inlineStr">
        <is>
          <t>JÖNKÖPINGS LÄN</t>
        </is>
      </c>
      <c r="E188" t="inlineStr">
        <is>
          <t>EKSJÖ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19856-2025</t>
        </is>
      </c>
      <c r="B189" s="1" t="n">
        <v>45771.5125</v>
      </c>
      <c r="C189" s="1" t="n">
        <v>45941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5530-2024</t>
        </is>
      </c>
      <c r="B190" s="1" t="n">
        <v>45334.40017361111</v>
      </c>
      <c r="C190" s="1" t="n">
        <v>45941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5645-2024</t>
        </is>
      </c>
      <c r="B191" s="1" t="n">
        <v>45334.62074074074</v>
      </c>
      <c r="C191" s="1" t="n">
        <v>45941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10169-2025</t>
        </is>
      </c>
      <c r="B192" s="1" t="n">
        <v>45719.65719907408</v>
      </c>
      <c r="C192" s="1" t="n">
        <v>45941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23535-2023</t>
        </is>
      </c>
      <c r="B193" s="1" t="n">
        <v>45076.99148148148</v>
      </c>
      <c r="C193" s="1" t="n">
        <v>45941</v>
      </c>
      <c r="D193" t="inlineStr">
        <is>
          <t>JÖNKÖPINGS LÄN</t>
        </is>
      </c>
      <c r="E193" t="inlineStr">
        <is>
          <t>EKSJÖ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27089-2025</t>
        </is>
      </c>
      <c r="B194" s="1" t="n">
        <v>45811.66655092593</v>
      </c>
      <c r="C194" s="1" t="n">
        <v>45941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27007-2025</t>
        </is>
      </c>
      <c r="B195" s="1" t="n">
        <v>45811.55803240741</v>
      </c>
      <c r="C195" s="1" t="n">
        <v>45941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12399-2023</t>
        </is>
      </c>
      <c r="B196" s="1" t="n">
        <v>44999.49866898148</v>
      </c>
      <c r="C196" s="1" t="n">
        <v>45941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12409-2023</t>
        </is>
      </c>
      <c r="B197" s="1" t="n">
        <v>44999.51190972222</v>
      </c>
      <c r="C197" s="1" t="n">
        <v>45941</v>
      </c>
      <c r="D197" t="inlineStr">
        <is>
          <t>JÖNKÖPINGS LÄN</t>
        </is>
      </c>
      <c r="E197" t="inlineStr">
        <is>
          <t>EKSJÖ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4929-2024</t>
        </is>
      </c>
      <c r="B198" s="1" t="n">
        <v>45329</v>
      </c>
      <c r="C198" s="1" t="n">
        <v>45941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54255-2023</t>
        </is>
      </c>
      <c r="B199" s="1" t="n">
        <v>45232</v>
      </c>
      <c r="C199" s="1" t="n">
        <v>45941</v>
      </c>
      <c r="D199" t="inlineStr">
        <is>
          <t>JÖNKÖPINGS LÄN</t>
        </is>
      </c>
      <c r="E199" t="inlineStr">
        <is>
          <t>EKSJÖ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47989-2023</t>
        </is>
      </c>
      <c r="B200" s="1" t="n">
        <v>45204.62497685185</v>
      </c>
      <c r="C200" s="1" t="n">
        <v>45941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58171-2020</t>
        </is>
      </c>
      <c r="B201" s="1" t="n">
        <v>44144</v>
      </c>
      <c r="C201" s="1" t="n">
        <v>45941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8571-2024</t>
        </is>
      </c>
      <c r="B202" s="1" t="n">
        <v>45355</v>
      </c>
      <c r="C202" s="1" t="n">
        <v>45941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36070-2024</t>
        </is>
      </c>
      <c r="B203" s="1" t="n">
        <v>45533.65033564815</v>
      </c>
      <c r="C203" s="1" t="n">
        <v>45941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6236-2022</t>
        </is>
      </c>
      <c r="B204" s="1" t="n">
        <v>44600</v>
      </c>
      <c r="C204" s="1" t="n">
        <v>45941</v>
      </c>
      <c r="D204" t="inlineStr">
        <is>
          <t>JÖNKÖPINGS LÄN</t>
        </is>
      </c>
      <c r="E204" t="inlineStr">
        <is>
          <t>EKSJÖ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16876-2024</t>
        </is>
      </c>
      <c r="B205" s="1" t="n">
        <v>45411</v>
      </c>
      <c r="C205" s="1" t="n">
        <v>45941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37519-2022</t>
        </is>
      </c>
      <c r="B206" s="1" t="n">
        <v>44809.59835648148</v>
      </c>
      <c r="C206" s="1" t="n">
        <v>45941</v>
      </c>
      <c r="D206" t="inlineStr">
        <is>
          <t>JÖNKÖPINGS LÄN</t>
        </is>
      </c>
      <c r="E206" t="inlineStr">
        <is>
          <t>EKSJÖ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7729-2025</t>
        </is>
      </c>
      <c r="B207" s="1" t="n">
        <v>45706.46256944445</v>
      </c>
      <c r="C207" s="1" t="n">
        <v>45941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63955-2020</t>
        </is>
      </c>
      <c r="B208" s="1" t="n">
        <v>44167</v>
      </c>
      <c r="C208" s="1" t="n">
        <v>45941</v>
      </c>
      <c r="D208" t="inlineStr">
        <is>
          <t>JÖNKÖPINGS LÄN</t>
        </is>
      </c>
      <c r="E208" t="inlineStr">
        <is>
          <t>EKSJÖ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9283-2025</t>
        </is>
      </c>
      <c r="B209" s="1" t="n">
        <v>45714.64796296296</v>
      </c>
      <c r="C209" s="1" t="n">
        <v>45941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9287-2025</t>
        </is>
      </c>
      <c r="B210" s="1" t="n">
        <v>45714.65370370371</v>
      </c>
      <c r="C210" s="1" t="n">
        <v>45941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9292-2025</t>
        </is>
      </c>
      <c r="B211" s="1" t="n">
        <v>45714.65763888889</v>
      </c>
      <c r="C211" s="1" t="n">
        <v>45941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9300-2025</t>
        </is>
      </c>
      <c r="B212" s="1" t="n">
        <v>45714.67034722222</v>
      </c>
      <c r="C212" s="1" t="n">
        <v>45941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59961-2022</t>
        </is>
      </c>
      <c r="B213" s="1" t="n">
        <v>44909.4028587963</v>
      </c>
      <c r="C213" s="1" t="n">
        <v>45941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38040-2024</t>
        </is>
      </c>
      <c r="B214" s="1" t="n">
        <v>45544.68020833333</v>
      </c>
      <c r="C214" s="1" t="n">
        <v>45941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14414-2025</t>
        </is>
      </c>
      <c r="B215" s="1" t="n">
        <v>45741.4753587963</v>
      </c>
      <c r="C215" s="1" t="n">
        <v>45941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14424-2025</t>
        </is>
      </c>
      <c r="B216" s="1" t="n">
        <v>45741.48952546297</v>
      </c>
      <c r="C216" s="1" t="n">
        <v>45941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14427-2025</t>
        </is>
      </c>
      <c r="B217" s="1" t="n">
        <v>45741.4928125</v>
      </c>
      <c r="C217" s="1" t="n">
        <v>45941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55155-2024</t>
        </is>
      </c>
      <c r="B218" s="1" t="n">
        <v>45621.49960648148</v>
      </c>
      <c r="C218" s="1" t="n">
        <v>45941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17945-2024</t>
        </is>
      </c>
      <c r="B219" s="1" t="n">
        <v>45419</v>
      </c>
      <c r="C219" s="1" t="n">
        <v>45941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10726-2024</t>
        </is>
      </c>
      <c r="B220" s="1" t="n">
        <v>45369</v>
      </c>
      <c r="C220" s="1" t="n">
        <v>45941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59050-2021</t>
        </is>
      </c>
      <c r="B221" s="1" t="n">
        <v>44490.36371527778</v>
      </c>
      <c r="C221" s="1" t="n">
        <v>45941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56804-2024</t>
        </is>
      </c>
      <c r="B222" s="1" t="n">
        <v>45628.47392361111</v>
      </c>
      <c r="C222" s="1" t="n">
        <v>45941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15961-2024</t>
        </is>
      </c>
      <c r="B223" s="1" t="n">
        <v>45405.55135416667</v>
      </c>
      <c r="C223" s="1" t="n">
        <v>45941</v>
      </c>
      <c r="D223" t="inlineStr">
        <is>
          <t>JÖNKÖPINGS LÄN</t>
        </is>
      </c>
      <c r="E223" t="inlineStr">
        <is>
          <t>EKSJÖ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36505-2024</t>
        </is>
      </c>
      <c r="B224" s="1" t="n">
        <v>45537.41849537037</v>
      </c>
      <c r="C224" s="1" t="n">
        <v>45941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7372-2024</t>
        </is>
      </c>
      <c r="B225" s="1" t="n">
        <v>45345.50402777778</v>
      </c>
      <c r="C225" s="1" t="n">
        <v>45941</v>
      </c>
      <c r="D225" t="inlineStr">
        <is>
          <t>JÖNKÖPINGS LÄN</t>
        </is>
      </c>
      <c r="E225" t="inlineStr">
        <is>
          <t>EKSJÖ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28276-2025</t>
        </is>
      </c>
      <c r="B226" s="1" t="n">
        <v>45818.58122685185</v>
      </c>
      <c r="C226" s="1" t="n">
        <v>45941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40689-2024</t>
        </is>
      </c>
      <c r="B227" s="1" t="n">
        <v>45558</v>
      </c>
      <c r="C227" s="1" t="n">
        <v>45941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50299-2023</t>
        </is>
      </c>
      <c r="B228" s="1" t="n">
        <v>45216.48376157408</v>
      </c>
      <c r="C228" s="1" t="n">
        <v>45941</v>
      </c>
      <c r="D228" t="inlineStr">
        <is>
          <t>JÖNKÖPINGS LÄN</t>
        </is>
      </c>
      <c r="E228" t="inlineStr">
        <is>
          <t>EKSJÖ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27077-2023</t>
        </is>
      </c>
      <c r="B229" s="1" t="n">
        <v>45096.35758101852</v>
      </c>
      <c r="C229" s="1" t="n">
        <v>45941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57327-2023</t>
        </is>
      </c>
      <c r="B230" s="1" t="n">
        <v>45245.65277777778</v>
      </c>
      <c r="C230" s="1" t="n">
        <v>45941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2819-2022</t>
        </is>
      </c>
      <c r="B231" s="1" t="n">
        <v>44581.41361111111</v>
      </c>
      <c r="C231" s="1" t="n">
        <v>45941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28465-2025</t>
        </is>
      </c>
      <c r="B232" s="1" t="n">
        <v>45819.4267824074</v>
      </c>
      <c r="C232" s="1" t="n">
        <v>45941</v>
      </c>
      <c r="D232" t="inlineStr">
        <is>
          <t>JÖNKÖPINGS LÄN</t>
        </is>
      </c>
      <c r="E232" t="inlineStr">
        <is>
          <t>EKSJÖ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28441-2025</t>
        </is>
      </c>
      <c r="B233" s="1" t="n">
        <v>45819.39496527778</v>
      </c>
      <c r="C233" s="1" t="n">
        <v>45941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29483-2025</t>
        </is>
      </c>
      <c r="B234" s="1" t="n">
        <v>45824.74221064815</v>
      </c>
      <c r="C234" s="1" t="n">
        <v>45941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54021-2024</t>
        </is>
      </c>
      <c r="B235" s="1" t="n">
        <v>45616.38618055556</v>
      </c>
      <c r="C235" s="1" t="n">
        <v>45941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51020-2023</t>
        </is>
      </c>
      <c r="B236" s="1" t="n">
        <v>45218</v>
      </c>
      <c r="C236" s="1" t="n">
        <v>45941</v>
      </c>
      <c r="D236" t="inlineStr">
        <is>
          <t>JÖNKÖPINGS LÄN</t>
        </is>
      </c>
      <c r="E236" t="inlineStr">
        <is>
          <t>EKSJÖ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9058-2022</t>
        </is>
      </c>
      <c r="B237" s="1" t="n">
        <v>44615</v>
      </c>
      <c r="C237" s="1" t="n">
        <v>45941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56689-2021</t>
        </is>
      </c>
      <c r="B238" s="1" t="n">
        <v>44481</v>
      </c>
      <c r="C238" s="1" t="n">
        <v>45941</v>
      </c>
      <c r="D238" t="inlineStr">
        <is>
          <t>JÖNKÖPINGS LÄN</t>
        </is>
      </c>
      <c r="E238" t="inlineStr">
        <is>
          <t>EKSJÖ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1793-2022</t>
        </is>
      </c>
      <c r="B239" s="1" t="n">
        <v>44574</v>
      </c>
      <c r="C239" s="1" t="n">
        <v>45941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30137-2025</t>
        </is>
      </c>
      <c r="B240" s="1" t="n">
        <v>45826</v>
      </c>
      <c r="C240" s="1" t="n">
        <v>45941</v>
      </c>
      <c r="D240" t="inlineStr">
        <is>
          <t>JÖNKÖPINGS LÄN</t>
        </is>
      </c>
      <c r="E240" t="inlineStr">
        <is>
          <t>EKSJÖ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800-2024</t>
        </is>
      </c>
      <c r="B241" s="1" t="n">
        <v>45300</v>
      </c>
      <c r="C241" s="1" t="n">
        <v>45941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29656-2025</t>
        </is>
      </c>
      <c r="B242" s="1" t="n">
        <v>45825.48480324074</v>
      </c>
      <c r="C242" s="1" t="n">
        <v>45941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29652-2025</t>
        </is>
      </c>
      <c r="B243" s="1" t="n">
        <v>45825.47730324074</v>
      </c>
      <c r="C243" s="1" t="n">
        <v>45941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29657-2025</t>
        </is>
      </c>
      <c r="B244" s="1" t="n">
        <v>45825.48501157408</v>
      </c>
      <c r="C244" s="1" t="n">
        <v>45941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1203-2025</t>
        </is>
      </c>
      <c r="B245" s="1" t="n">
        <v>45667.39393518519</v>
      </c>
      <c r="C245" s="1" t="n">
        <v>45941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1207-2025</t>
        </is>
      </c>
      <c r="B246" s="1" t="n">
        <v>45667.39702546296</v>
      </c>
      <c r="C246" s="1" t="n">
        <v>45941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41030-2023</t>
        </is>
      </c>
      <c r="B247" s="1" t="n">
        <v>45173.60072916667</v>
      </c>
      <c r="C247" s="1" t="n">
        <v>45941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32601-2024</t>
        </is>
      </c>
      <c r="B248" s="1" t="n">
        <v>45513</v>
      </c>
      <c r="C248" s="1" t="n">
        <v>45941</v>
      </c>
      <c r="D248" t="inlineStr">
        <is>
          <t>JÖNKÖPINGS LÄN</t>
        </is>
      </c>
      <c r="E248" t="inlineStr">
        <is>
          <t>EKSJÖ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30421-2025</t>
        </is>
      </c>
      <c r="B249" s="1" t="n">
        <v>45827.61111111111</v>
      </c>
      <c r="C249" s="1" t="n">
        <v>45941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41795-2022</t>
        </is>
      </c>
      <c r="B250" s="1" t="n">
        <v>44827.79935185185</v>
      </c>
      <c r="C250" s="1" t="n">
        <v>45941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11369-2025</t>
        </is>
      </c>
      <c r="B251" s="1" t="n">
        <v>45726.5505324074</v>
      </c>
      <c r="C251" s="1" t="n">
        <v>45941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30420-2025</t>
        </is>
      </c>
      <c r="B252" s="1" t="n">
        <v>45827.60984953704</v>
      </c>
      <c r="C252" s="1" t="n">
        <v>45941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23868-2023</t>
        </is>
      </c>
      <c r="B253" s="1" t="n">
        <v>45078.49630787037</v>
      </c>
      <c r="C253" s="1" t="n">
        <v>45941</v>
      </c>
      <c r="D253" t="inlineStr">
        <is>
          <t>JÖNKÖPINGS LÄN</t>
        </is>
      </c>
      <c r="E253" t="inlineStr">
        <is>
          <t>EKSJÖ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47987-2023</t>
        </is>
      </c>
      <c r="B254" s="1" t="n">
        <v>45204.62349537037</v>
      </c>
      <c r="C254" s="1" t="n">
        <v>45941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11007-2024</t>
        </is>
      </c>
      <c r="B255" s="1" t="n">
        <v>45370</v>
      </c>
      <c r="C255" s="1" t="n">
        <v>45941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46012-2022</t>
        </is>
      </c>
      <c r="B256" s="1" t="n">
        <v>44846</v>
      </c>
      <c r="C256" s="1" t="n">
        <v>45941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46017-2022</t>
        </is>
      </c>
      <c r="B257" s="1" t="n">
        <v>44846</v>
      </c>
      <c r="C257" s="1" t="n">
        <v>45941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68939-2020</t>
        </is>
      </c>
      <c r="B258" s="1" t="n">
        <v>44187</v>
      </c>
      <c r="C258" s="1" t="n">
        <v>45941</v>
      </c>
      <c r="D258" t="inlineStr">
        <is>
          <t>JÖNKÖPINGS LÄN</t>
        </is>
      </c>
      <c r="E258" t="inlineStr">
        <is>
          <t>EKSJÖ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48030-2023</t>
        </is>
      </c>
      <c r="B259" s="1" t="n">
        <v>45204</v>
      </c>
      <c r="C259" s="1" t="n">
        <v>45941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30795-2025</t>
        </is>
      </c>
      <c r="B260" s="1" t="n">
        <v>45831.64405092593</v>
      </c>
      <c r="C260" s="1" t="n">
        <v>45941</v>
      </c>
      <c r="D260" t="inlineStr">
        <is>
          <t>JÖNKÖPINGS LÄN</t>
        </is>
      </c>
      <c r="E260" t="inlineStr">
        <is>
          <t>EKSJÖ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19135-2025</t>
        </is>
      </c>
      <c r="B261" s="1" t="n">
        <v>45764</v>
      </c>
      <c r="C261" s="1" t="n">
        <v>45941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4439-2025</t>
        </is>
      </c>
      <c r="B262" s="1" t="n">
        <v>45686.51806712963</v>
      </c>
      <c r="C262" s="1" t="n">
        <v>45941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33936-2021</t>
        </is>
      </c>
      <c r="B263" s="1" t="n">
        <v>44378.77103009259</v>
      </c>
      <c r="C263" s="1" t="n">
        <v>45941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2828-2025</t>
        </is>
      </c>
      <c r="B264" s="1" t="n">
        <v>45677.62396990741</v>
      </c>
      <c r="C264" s="1" t="n">
        <v>45941</v>
      </c>
      <c r="D264" t="inlineStr">
        <is>
          <t>JÖNKÖPINGS LÄN</t>
        </is>
      </c>
      <c r="E264" t="inlineStr">
        <is>
          <t>EKSJÖ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55633-2022</t>
        </is>
      </c>
      <c r="B265" s="1" t="n">
        <v>44888</v>
      </c>
      <c r="C265" s="1" t="n">
        <v>45941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16477-2024</t>
        </is>
      </c>
      <c r="B266" s="1" t="n">
        <v>45408.28024305555</v>
      </c>
      <c r="C266" s="1" t="n">
        <v>45941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36069-2024</t>
        </is>
      </c>
      <c r="B267" s="1" t="n">
        <v>45533.64871527778</v>
      </c>
      <c r="C267" s="1" t="n">
        <v>45941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8070-2023</t>
        </is>
      </c>
      <c r="B268" s="1" t="n">
        <v>44974.36349537037</v>
      </c>
      <c r="C268" s="1" t="n">
        <v>45941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41739-2023</t>
        </is>
      </c>
      <c r="B269" s="1" t="n">
        <v>45176</v>
      </c>
      <c r="C269" s="1" t="n">
        <v>45941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55817-2023</t>
        </is>
      </c>
      <c r="B270" s="1" t="n">
        <v>45239.5780787037</v>
      </c>
      <c r="C270" s="1" t="n">
        <v>45941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53987-2023</t>
        </is>
      </c>
      <c r="B271" s="1" t="n">
        <v>45231.65976851852</v>
      </c>
      <c r="C271" s="1" t="n">
        <v>45941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41440-2024</t>
        </is>
      </c>
      <c r="B272" s="1" t="n">
        <v>45560</v>
      </c>
      <c r="C272" s="1" t="n">
        <v>45941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46476-2025</t>
        </is>
      </c>
      <c r="B273" s="1" t="n">
        <v>45925.69309027777</v>
      </c>
      <c r="C273" s="1" t="n">
        <v>45941</v>
      </c>
      <c r="D273" t="inlineStr">
        <is>
          <t>JÖNKÖPINGS LÄN</t>
        </is>
      </c>
      <c r="E273" t="inlineStr">
        <is>
          <t>EKSJÖ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31866-2025</t>
        </is>
      </c>
      <c r="B274" s="1" t="n">
        <v>45834.64112268519</v>
      </c>
      <c r="C274" s="1" t="n">
        <v>45941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31691-2025</t>
        </is>
      </c>
      <c r="B275" s="1" t="n">
        <v>45834.40570601852</v>
      </c>
      <c r="C275" s="1" t="n">
        <v>45941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32361-2025</t>
        </is>
      </c>
      <c r="B276" s="1" t="n">
        <v>45837.63300925926</v>
      </c>
      <c r="C276" s="1" t="n">
        <v>45941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32055-2025</t>
        </is>
      </c>
      <c r="B277" s="1" t="n">
        <v>45835.44341435185</v>
      </c>
      <c r="C277" s="1" t="n">
        <v>45941</v>
      </c>
      <c r="D277" t="inlineStr">
        <is>
          <t>JÖNKÖPINGS LÄN</t>
        </is>
      </c>
      <c r="E277" t="inlineStr">
        <is>
          <t>EKSJÖ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32883-2025</t>
        </is>
      </c>
      <c r="B278" s="1" t="n">
        <v>45839.5980787037</v>
      </c>
      <c r="C278" s="1" t="n">
        <v>45941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33123-2025</t>
        </is>
      </c>
      <c r="B279" s="1" t="n">
        <v>45840.49496527778</v>
      </c>
      <c r="C279" s="1" t="n">
        <v>45941</v>
      </c>
      <c r="D279" t="inlineStr">
        <is>
          <t>JÖNKÖPINGS LÄN</t>
        </is>
      </c>
      <c r="E279" t="inlineStr">
        <is>
          <t>EKSJÖ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32871-2025</t>
        </is>
      </c>
      <c r="B280" s="1" t="n">
        <v>45839.59015046297</v>
      </c>
      <c r="C280" s="1" t="n">
        <v>45941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54292-2023</t>
        </is>
      </c>
      <c r="B281" s="1" t="n">
        <v>45232</v>
      </c>
      <c r="C281" s="1" t="n">
        <v>45941</v>
      </c>
      <c r="D281" t="inlineStr">
        <is>
          <t>JÖNKÖPINGS LÄN</t>
        </is>
      </c>
      <c r="E281" t="inlineStr">
        <is>
          <t>EKSJÖ</t>
        </is>
      </c>
      <c r="G281" t="n">
        <v>18.3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66479-2020</t>
        </is>
      </c>
      <c r="B282" s="1" t="n">
        <v>44177</v>
      </c>
      <c r="C282" s="1" t="n">
        <v>45941</v>
      </c>
      <c r="D282" t="inlineStr">
        <is>
          <t>JÖNKÖPINGS LÄN</t>
        </is>
      </c>
      <c r="E282" t="inlineStr">
        <is>
          <t>EKSJÖ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11474-2024</t>
        </is>
      </c>
      <c r="B283" s="1" t="n">
        <v>45372.614375</v>
      </c>
      <c r="C283" s="1" t="n">
        <v>45941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32873-2025</t>
        </is>
      </c>
      <c r="B284" s="1" t="n">
        <v>45839.59332175926</v>
      </c>
      <c r="C284" s="1" t="n">
        <v>45941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33614-2025</t>
        </is>
      </c>
      <c r="B285" s="1" t="n">
        <v>45841.62108796297</v>
      </c>
      <c r="C285" s="1" t="n">
        <v>45941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33602-2025</t>
        </is>
      </c>
      <c r="B286" s="1" t="n">
        <v>45841</v>
      </c>
      <c r="C286" s="1" t="n">
        <v>45941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33609-2025</t>
        </is>
      </c>
      <c r="B287" s="1" t="n">
        <v>45841.61831018519</v>
      </c>
      <c r="C287" s="1" t="n">
        <v>45941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33661-2025</t>
        </is>
      </c>
      <c r="B288" s="1" t="n">
        <v>45841.66398148148</v>
      </c>
      <c r="C288" s="1" t="n">
        <v>45941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33775-2025</t>
        </is>
      </c>
      <c r="B289" s="1" t="n">
        <v>45842.39381944444</v>
      </c>
      <c r="C289" s="1" t="n">
        <v>45941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33601-2025</t>
        </is>
      </c>
      <c r="B290" s="1" t="n">
        <v>45841</v>
      </c>
      <c r="C290" s="1" t="n">
        <v>45941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33603-2025</t>
        </is>
      </c>
      <c r="B291" s="1" t="n">
        <v>45841</v>
      </c>
      <c r="C291" s="1" t="n">
        <v>45941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38659-2023</t>
        </is>
      </c>
      <c r="B292" s="1" t="n">
        <v>45162</v>
      </c>
      <c r="C292" s="1" t="n">
        <v>45941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8172-2023</t>
        </is>
      </c>
      <c r="B293" s="1" t="n">
        <v>44974.48900462963</v>
      </c>
      <c r="C293" s="1" t="n">
        <v>45941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10345-2022</t>
        </is>
      </c>
      <c r="B294" s="1" t="n">
        <v>44623.32844907408</v>
      </c>
      <c r="C294" s="1" t="n">
        <v>45941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54292-2023</t>
        </is>
      </c>
      <c r="B295" s="1" t="n">
        <v>45232</v>
      </c>
      <c r="C295" s="1" t="n">
        <v>45941</v>
      </c>
      <c r="D295" t="inlineStr">
        <is>
          <t>JÖNKÖPINGS LÄN</t>
        </is>
      </c>
      <c r="E295" t="inlineStr">
        <is>
          <t>EKSJÖ</t>
        </is>
      </c>
      <c r="G295" t="n">
        <v>18.3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38337-2023</t>
        </is>
      </c>
      <c r="B296" s="1" t="n">
        <v>45161.86523148148</v>
      </c>
      <c r="C296" s="1" t="n">
        <v>45941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12821-2024</t>
        </is>
      </c>
      <c r="B297" s="1" t="n">
        <v>45384</v>
      </c>
      <c r="C297" s="1" t="n">
        <v>45941</v>
      </c>
      <c r="D297" t="inlineStr">
        <is>
          <t>JÖNKÖPINGS LÄN</t>
        </is>
      </c>
      <c r="E297" t="inlineStr">
        <is>
          <t>EKSJÖ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34124-2025</t>
        </is>
      </c>
      <c r="B298" s="1" t="n">
        <v>45845.52295138889</v>
      </c>
      <c r="C298" s="1" t="n">
        <v>45941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19491-2025</t>
        </is>
      </c>
      <c r="B299" s="1" t="n">
        <v>45770.38864583334</v>
      </c>
      <c r="C299" s="1" t="n">
        <v>45941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33969-2025</t>
        </is>
      </c>
      <c r="B300" s="1" t="n">
        <v>45842.93458333334</v>
      </c>
      <c r="C300" s="1" t="n">
        <v>45941</v>
      </c>
      <c r="D300" t="inlineStr">
        <is>
          <t>JÖNKÖPINGS LÄN</t>
        </is>
      </c>
      <c r="E300" t="inlineStr">
        <is>
          <t>EKSJÖ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33970-2025</t>
        </is>
      </c>
      <c r="B301" s="1" t="n">
        <v>45842.93585648148</v>
      </c>
      <c r="C301" s="1" t="n">
        <v>45941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45370-2024</t>
        </is>
      </c>
      <c r="B302" s="1" t="n">
        <v>45576.50716435185</v>
      </c>
      <c r="C302" s="1" t="n">
        <v>45941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36047-2024</t>
        </is>
      </c>
      <c r="B303" s="1" t="n">
        <v>45533.61387731481</v>
      </c>
      <c r="C303" s="1" t="n">
        <v>45941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18062-2024</t>
        </is>
      </c>
      <c r="B304" s="1" t="n">
        <v>45420</v>
      </c>
      <c r="C304" s="1" t="n">
        <v>45941</v>
      </c>
      <c r="D304" t="inlineStr">
        <is>
          <t>JÖNKÖPINGS LÄN</t>
        </is>
      </c>
      <c r="E304" t="inlineStr">
        <is>
          <t>EKSJÖ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30-2023</t>
        </is>
      </c>
      <c r="B305" s="1" t="n">
        <v>44928</v>
      </c>
      <c r="C305" s="1" t="n">
        <v>45941</v>
      </c>
      <c r="D305" t="inlineStr">
        <is>
          <t>JÖNKÖPINGS LÄN</t>
        </is>
      </c>
      <c r="E305" t="inlineStr">
        <is>
          <t>EKSJÖ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10153-2024</t>
        </is>
      </c>
      <c r="B306" s="1" t="n">
        <v>45364.64887731482</v>
      </c>
      <c r="C306" s="1" t="n">
        <v>45941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39357-2023</t>
        </is>
      </c>
      <c r="B307" s="1" t="n">
        <v>45166</v>
      </c>
      <c r="C307" s="1" t="n">
        <v>45941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60004-2024</t>
        </is>
      </c>
      <c r="B308" s="1" t="n">
        <v>45642.41534722222</v>
      </c>
      <c r="C308" s="1" t="n">
        <v>45941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53479-2023</t>
        </is>
      </c>
      <c r="B309" s="1" t="n">
        <v>45223</v>
      </c>
      <c r="C309" s="1" t="n">
        <v>45941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8057-2023</t>
        </is>
      </c>
      <c r="B310" s="1" t="n">
        <v>44974.34145833334</v>
      </c>
      <c r="C310" s="1" t="n">
        <v>45941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7453-2021</t>
        </is>
      </c>
      <c r="B311" s="1" t="n">
        <v>44239</v>
      </c>
      <c r="C311" s="1" t="n">
        <v>45941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34021-2024</t>
        </is>
      </c>
      <c r="B312" s="1" t="n">
        <v>45523.57994212963</v>
      </c>
      <c r="C312" s="1" t="n">
        <v>45941</v>
      </c>
      <c r="D312" t="inlineStr">
        <is>
          <t>JÖNKÖPINGS LÄN</t>
        </is>
      </c>
      <c r="E312" t="inlineStr">
        <is>
          <t>EKSJÖ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34045-2024</t>
        </is>
      </c>
      <c r="B313" s="1" t="n">
        <v>45523.60236111111</v>
      </c>
      <c r="C313" s="1" t="n">
        <v>45941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20897-2022</t>
        </is>
      </c>
      <c r="B314" s="1" t="n">
        <v>44701</v>
      </c>
      <c r="C314" s="1" t="n">
        <v>45941</v>
      </c>
      <c r="D314" t="inlineStr">
        <is>
          <t>JÖNKÖPINGS LÄN</t>
        </is>
      </c>
      <c r="E314" t="inlineStr">
        <is>
          <t>EKSJÖ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6033-2025</t>
        </is>
      </c>
      <c r="B315" s="1" t="n">
        <v>45695.63864583334</v>
      </c>
      <c r="C315" s="1" t="n">
        <v>45941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22176-2025</t>
        </is>
      </c>
      <c r="B316" s="1" t="n">
        <v>45785.60978009259</v>
      </c>
      <c r="C316" s="1" t="n">
        <v>45941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58632-2023</t>
        </is>
      </c>
      <c r="B317" s="1" t="n">
        <v>45251.56542824074</v>
      </c>
      <c r="C317" s="1" t="n">
        <v>45941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22456-2022</t>
        </is>
      </c>
      <c r="B318" s="1" t="n">
        <v>44713.5634375</v>
      </c>
      <c r="C318" s="1" t="n">
        <v>45941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25635-2024</t>
        </is>
      </c>
      <c r="B319" s="1" t="n">
        <v>45463.6528125</v>
      </c>
      <c r="C319" s="1" t="n">
        <v>45941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45910-2023</t>
        </is>
      </c>
      <c r="B320" s="1" t="n">
        <v>45195.7950462963</v>
      </c>
      <c r="C320" s="1" t="n">
        <v>45941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45912-2023</t>
        </is>
      </c>
      <c r="B321" s="1" t="n">
        <v>45195.79848379629</v>
      </c>
      <c r="C321" s="1" t="n">
        <v>45941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45913-2023</t>
        </is>
      </c>
      <c r="B322" s="1" t="n">
        <v>45195.80072916667</v>
      </c>
      <c r="C322" s="1" t="n">
        <v>45941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42467-2023</t>
        </is>
      </c>
      <c r="B323" s="1" t="n">
        <v>45175</v>
      </c>
      <c r="C323" s="1" t="n">
        <v>45941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3496-2025</t>
        </is>
      </c>
      <c r="B324" s="1" t="n">
        <v>45680.56061342593</v>
      </c>
      <c r="C324" s="1" t="n">
        <v>45941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24928-2024</t>
        </is>
      </c>
      <c r="B325" s="1" t="n">
        <v>45461.6134837963</v>
      </c>
      <c r="C325" s="1" t="n">
        <v>45941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23534-2023</t>
        </is>
      </c>
      <c r="B326" s="1" t="n">
        <v>45076.98871527778</v>
      </c>
      <c r="C326" s="1" t="n">
        <v>45941</v>
      </c>
      <c r="D326" t="inlineStr">
        <is>
          <t>JÖNKÖPINGS LÄN</t>
        </is>
      </c>
      <c r="E326" t="inlineStr">
        <is>
          <t>EKSJÖ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18324-2022</t>
        </is>
      </c>
      <c r="B327" s="1" t="n">
        <v>44685.60590277778</v>
      </c>
      <c r="C327" s="1" t="n">
        <v>45941</v>
      </c>
      <c r="D327" t="inlineStr">
        <is>
          <t>JÖNKÖPINGS LÄN</t>
        </is>
      </c>
      <c r="E327" t="inlineStr">
        <is>
          <t>EKSJÖ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6406-2021</t>
        </is>
      </c>
      <c r="B328" s="1" t="n">
        <v>44235</v>
      </c>
      <c r="C328" s="1" t="n">
        <v>45941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36355-2022</t>
        </is>
      </c>
      <c r="B329" s="1" t="n">
        <v>44803</v>
      </c>
      <c r="C329" s="1" t="n">
        <v>45941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54916-2023</t>
        </is>
      </c>
      <c r="B330" s="1" t="n">
        <v>45236</v>
      </c>
      <c r="C330" s="1" t="n">
        <v>45941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35784-2025</t>
        </is>
      </c>
      <c r="B331" s="1" t="n">
        <v>45860.94825231482</v>
      </c>
      <c r="C331" s="1" t="n">
        <v>45941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8056-2025</t>
        </is>
      </c>
      <c r="B332" s="1" t="n">
        <v>45707.62037037037</v>
      </c>
      <c r="C332" s="1" t="n">
        <v>45941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42135-2025</t>
        </is>
      </c>
      <c r="B333" s="1" t="n">
        <v>45904.34918981481</v>
      </c>
      <c r="C333" s="1" t="n">
        <v>45941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9385-2025</t>
        </is>
      </c>
      <c r="B334" s="1" t="n">
        <v>45715.34443287037</v>
      </c>
      <c r="C334" s="1" t="n">
        <v>45941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35785-2025</t>
        </is>
      </c>
      <c r="B335" s="1" t="n">
        <v>45860.96251157407</v>
      </c>
      <c r="C335" s="1" t="n">
        <v>45941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59955-2022</t>
        </is>
      </c>
      <c r="B336" s="1" t="n">
        <v>44909.39881944445</v>
      </c>
      <c r="C336" s="1" t="n">
        <v>45941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59905-2022</t>
        </is>
      </c>
      <c r="B337" s="1" t="n">
        <v>44908.90825231482</v>
      </c>
      <c r="C337" s="1" t="n">
        <v>45941</v>
      </c>
      <c r="D337" t="inlineStr">
        <is>
          <t>JÖNKÖPINGS LÄN</t>
        </is>
      </c>
      <c r="E337" t="inlineStr">
        <is>
          <t>EKSJÖ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46475-2025</t>
        </is>
      </c>
      <c r="B338" s="1" t="n">
        <v>45925.68997685185</v>
      </c>
      <c r="C338" s="1" t="n">
        <v>45941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41599-2025</t>
        </is>
      </c>
      <c r="B339" s="1" t="n">
        <v>45901.65664351852</v>
      </c>
      <c r="C339" s="1" t="n">
        <v>45941</v>
      </c>
      <c r="D339" t="inlineStr">
        <is>
          <t>JÖNKÖPINGS LÄN</t>
        </is>
      </c>
      <c r="E339" t="inlineStr">
        <is>
          <t>EKSJÖ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56805-2024</t>
        </is>
      </c>
      <c r="B340" s="1" t="n">
        <v>45628.47484953704</v>
      </c>
      <c r="C340" s="1" t="n">
        <v>45941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55808-2023</t>
        </is>
      </c>
      <c r="B341" s="1" t="n">
        <v>45239.57196759259</v>
      </c>
      <c r="C341" s="1" t="n">
        <v>45941</v>
      </c>
      <c r="D341" t="inlineStr">
        <is>
          <t>JÖNKÖPINGS LÄN</t>
        </is>
      </c>
      <c r="E341" t="inlineStr">
        <is>
          <t>EKSJÖ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2838-2024</t>
        </is>
      </c>
      <c r="B342" s="1" t="n">
        <v>45315</v>
      </c>
      <c r="C342" s="1" t="n">
        <v>45941</v>
      </c>
      <c r="D342" t="inlineStr">
        <is>
          <t>JÖNKÖPINGS LÄN</t>
        </is>
      </c>
      <c r="E342" t="inlineStr">
        <is>
          <t>EKSJÖ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36148-2025</t>
        </is>
      </c>
      <c r="B343" s="1" t="n">
        <v>45866.95427083333</v>
      </c>
      <c r="C343" s="1" t="n">
        <v>45941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43308-2025</t>
        </is>
      </c>
      <c r="B344" s="1" t="n">
        <v>45910.64387731482</v>
      </c>
      <c r="C344" s="1" t="n">
        <v>45941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43584-2025</t>
        </is>
      </c>
      <c r="B345" s="1" t="n">
        <v>45911.65013888889</v>
      </c>
      <c r="C345" s="1" t="n">
        <v>45941</v>
      </c>
      <c r="D345" t="inlineStr">
        <is>
          <t>JÖNKÖPINGS LÄN</t>
        </is>
      </c>
      <c r="E345" t="inlineStr">
        <is>
          <t>EKSJÖ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43587-2025</t>
        </is>
      </c>
      <c r="B346" s="1" t="n">
        <v>45911.65273148148</v>
      </c>
      <c r="C346" s="1" t="n">
        <v>45941</v>
      </c>
      <c r="D346" t="inlineStr">
        <is>
          <t>JÖNKÖPINGS LÄN</t>
        </is>
      </c>
      <c r="E346" t="inlineStr">
        <is>
          <t>EKSJÖ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43561-2025</t>
        </is>
      </c>
      <c r="B347" s="1" t="n">
        <v>45911.62809027778</v>
      </c>
      <c r="C347" s="1" t="n">
        <v>45941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43407-2025</t>
        </is>
      </c>
      <c r="B348" s="1" t="n">
        <v>45911.39255787037</v>
      </c>
      <c r="C348" s="1" t="n">
        <v>45941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43414-2025</t>
        </is>
      </c>
      <c r="B349" s="1" t="n">
        <v>45911.40510416667</v>
      </c>
      <c r="C349" s="1" t="n">
        <v>45941</v>
      </c>
      <c r="D349" t="inlineStr">
        <is>
          <t>JÖNKÖPINGS LÄN</t>
        </is>
      </c>
      <c r="E349" t="inlineStr">
        <is>
          <t>EKSJÖ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43445-2025</t>
        </is>
      </c>
      <c r="B350" s="1" t="n">
        <v>45911.44883101852</v>
      </c>
      <c r="C350" s="1" t="n">
        <v>45941</v>
      </c>
      <c r="D350" t="inlineStr">
        <is>
          <t>JÖNKÖPINGS LÄN</t>
        </is>
      </c>
      <c r="E350" t="inlineStr">
        <is>
          <t>EKSJÖ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43588-2025</t>
        </is>
      </c>
      <c r="B351" s="1" t="n">
        <v>45911.6541087963</v>
      </c>
      <c r="C351" s="1" t="n">
        <v>45941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18086-2025</t>
        </is>
      </c>
      <c r="B352" s="1" t="n">
        <v>45761.52376157408</v>
      </c>
      <c r="C352" s="1" t="n">
        <v>45941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19497-2025</t>
        </is>
      </c>
      <c r="B353" s="1" t="n">
        <v>45770.39206018519</v>
      </c>
      <c r="C353" s="1" t="n">
        <v>45941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19504-2025</t>
        </is>
      </c>
      <c r="B354" s="1" t="n">
        <v>45770.40364583334</v>
      </c>
      <c r="C354" s="1" t="n">
        <v>45941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19511-2025</t>
        </is>
      </c>
      <c r="B355" s="1" t="n">
        <v>45770.42675925926</v>
      </c>
      <c r="C355" s="1" t="n">
        <v>45941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2670-2024</t>
        </is>
      </c>
      <c r="B356" s="1" t="n">
        <v>45314</v>
      </c>
      <c r="C356" s="1" t="n">
        <v>45941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2690-2024</t>
        </is>
      </c>
      <c r="B357" s="1" t="n">
        <v>45314</v>
      </c>
      <c r="C357" s="1" t="n">
        <v>45941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43444-2025</t>
        </is>
      </c>
      <c r="B358" s="1" t="n">
        <v>45911.44733796296</v>
      </c>
      <c r="C358" s="1" t="n">
        <v>45941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43586-2025</t>
        </is>
      </c>
      <c r="B359" s="1" t="n">
        <v>45911.65128472223</v>
      </c>
      <c r="C359" s="1" t="n">
        <v>45941</v>
      </c>
      <c r="D359" t="inlineStr">
        <is>
          <t>JÖNKÖPINGS LÄN</t>
        </is>
      </c>
      <c r="E359" t="inlineStr">
        <is>
          <t>EKSJÖ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25613-2024</t>
        </is>
      </c>
      <c r="B360" s="1" t="n">
        <v>45463.63712962963</v>
      </c>
      <c r="C360" s="1" t="n">
        <v>45941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47264-2025</t>
        </is>
      </c>
      <c r="B361" s="1" t="n">
        <v>45930.4549537037</v>
      </c>
      <c r="C361" s="1" t="n">
        <v>45941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4446-2023</t>
        </is>
      </c>
      <c r="B362" s="1" t="n">
        <v>44956.46387731482</v>
      </c>
      <c r="C362" s="1" t="n">
        <v>45941</v>
      </c>
      <c r="D362" t="inlineStr">
        <is>
          <t>JÖNKÖPINGS LÄN</t>
        </is>
      </c>
      <c r="E362" t="inlineStr">
        <is>
          <t>EKSJÖ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12483-2021</t>
        </is>
      </c>
      <c r="B363" s="1" t="n">
        <v>44267.73493055555</v>
      </c>
      <c r="C363" s="1" t="n">
        <v>45941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25141-2023</t>
        </is>
      </c>
      <c r="B364" s="1" t="n">
        <v>45086.46122685185</v>
      </c>
      <c r="C364" s="1" t="n">
        <v>45941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43401-2025</t>
        </is>
      </c>
      <c r="B365" s="1" t="n">
        <v>45911.384375</v>
      </c>
      <c r="C365" s="1" t="n">
        <v>45941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43568-2025</t>
        </is>
      </c>
      <c r="B366" s="1" t="n">
        <v>45911.63292824074</v>
      </c>
      <c r="C366" s="1" t="n">
        <v>45941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43745-2025</t>
        </is>
      </c>
      <c r="B367" s="1" t="n">
        <v>45912.45949074074</v>
      </c>
      <c r="C367" s="1" t="n">
        <v>45941</v>
      </c>
      <c r="D367" t="inlineStr">
        <is>
          <t>JÖNKÖPINGS LÄN</t>
        </is>
      </c>
      <c r="E367" t="inlineStr">
        <is>
          <t>EKSJÖ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32362-2025</t>
        </is>
      </c>
      <c r="B368" s="1" t="n">
        <v>45837.63809027777</v>
      </c>
      <c r="C368" s="1" t="n">
        <v>45941</v>
      </c>
      <c r="D368" t="inlineStr">
        <is>
          <t>JÖNKÖPINGS LÄN</t>
        </is>
      </c>
      <c r="E368" t="inlineStr">
        <is>
          <t>EKSJÖ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46996-2025</t>
        </is>
      </c>
      <c r="B369" s="1" t="n">
        <v>45929.54796296296</v>
      </c>
      <c r="C369" s="1" t="n">
        <v>45941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25861-2024</t>
        </is>
      </c>
      <c r="B370" s="1" t="n">
        <v>45467</v>
      </c>
      <c r="C370" s="1" t="n">
        <v>45941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4744-2024</t>
        </is>
      </c>
      <c r="B371" s="1" t="n">
        <v>45328.64667824074</v>
      </c>
      <c r="C371" s="1" t="n">
        <v>45941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4784-2024</t>
        </is>
      </c>
      <c r="B372" s="1" t="n">
        <v>45328.78028935185</v>
      </c>
      <c r="C372" s="1" t="n">
        <v>45941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17636-2025</t>
        </is>
      </c>
      <c r="B373" s="1" t="n">
        <v>45758.30741898148</v>
      </c>
      <c r="C373" s="1" t="n">
        <v>45941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45485-2022</t>
        </is>
      </c>
      <c r="B374" s="1" t="n">
        <v>44845.40542824074</v>
      </c>
      <c r="C374" s="1" t="n">
        <v>45941</v>
      </c>
      <c r="D374" t="inlineStr">
        <is>
          <t>JÖNKÖPINGS LÄN</t>
        </is>
      </c>
      <c r="E374" t="inlineStr">
        <is>
          <t>EKSJÖ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44527-2025</t>
        </is>
      </c>
      <c r="B375" s="1" t="n">
        <v>45916.73899305556</v>
      </c>
      <c r="C375" s="1" t="n">
        <v>45941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44293-2025</t>
        </is>
      </c>
      <c r="B376" s="1" t="n">
        <v>45916.35813657408</v>
      </c>
      <c r="C376" s="1" t="n">
        <v>45941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44526-2025</t>
        </is>
      </c>
      <c r="B377" s="1" t="n">
        <v>45916.73413194445</v>
      </c>
      <c r="C377" s="1" t="n">
        <v>45941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9429-2025</t>
        </is>
      </c>
      <c r="B378" s="1" t="n">
        <v>45715.40460648148</v>
      </c>
      <c r="C378" s="1" t="n">
        <v>45941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28261-2022</t>
        </is>
      </c>
      <c r="B379" s="1" t="n">
        <v>44746.79146990741</v>
      </c>
      <c r="C379" s="1" t="n">
        <v>45941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56322-2021</t>
        </is>
      </c>
      <c r="B380" s="1" t="n">
        <v>44477</v>
      </c>
      <c r="C380" s="1" t="n">
        <v>45941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44529-2025</t>
        </is>
      </c>
      <c r="B381" s="1" t="n">
        <v>45916.74359953704</v>
      </c>
      <c r="C381" s="1" t="n">
        <v>45941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34117-2025</t>
        </is>
      </c>
      <c r="B382" s="1" t="n">
        <v>45845.51493055555</v>
      </c>
      <c r="C382" s="1" t="n">
        <v>45941</v>
      </c>
      <c r="D382" t="inlineStr">
        <is>
          <t>JÖNKÖPINGS LÄN</t>
        </is>
      </c>
      <c r="E382" t="inlineStr">
        <is>
          <t>EKSJÖ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44521-2025</t>
        </is>
      </c>
      <c r="B383" s="1" t="n">
        <v>45916.72386574074</v>
      </c>
      <c r="C383" s="1" t="n">
        <v>45941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13273-2023</t>
        </is>
      </c>
      <c r="B384" s="1" t="n">
        <v>45003</v>
      </c>
      <c r="C384" s="1" t="n">
        <v>45941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41744-2023</t>
        </is>
      </c>
      <c r="B385" s="1" t="n">
        <v>45176</v>
      </c>
      <c r="C385" s="1" t="n">
        <v>45941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41746-2023</t>
        </is>
      </c>
      <c r="B386" s="1" t="n">
        <v>45176</v>
      </c>
      <c r="C386" s="1" t="n">
        <v>45941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33132-2025</t>
        </is>
      </c>
      <c r="B387" s="1" t="n">
        <v>45840.5040625</v>
      </c>
      <c r="C387" s="1" t="n">
        <v>45941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58095-2024</t>
        </is>
      </c>
      <c r="B388" s="1" t="n">
        <v>45632.3565625</v>
      </c>
      <c r="C388" s="1" t="n">
        <v>45941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55656-2022</t>
        </is>
      </c>
      <c r="B389" s="1" t="n">
        <v>44888</v>
      </c>
      <c r="C389" s="1" t="n">
        <v>45941</v>
      </c>
      <c r="D389" t="inlineStr">
        <is>
          <t>JÖNKÖPINGS LÄN</t>
        </is>
      </c>
      <c r="E389" t="inlineStr">
        <is>
          <t>EKSJÖ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61384-2023</t>
        </is>
      </c>
      <c r="B390" s="1" t="n">
        <v>45264</v>
      </c>
      <c r="C390" s="1" t="n">
        <v>45941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36853-2025</t>
        </is>
      </c>
      <c r="B391" s="1" t="n">
        <v>45874.39650462963</v>
      </c>
      <c r="C391" s="1" t="n">
        <v>45941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35974-2024</t>
        </is>
      </c>
      <c r="B392" s="1" t="n">
        <v>45533.49480324074</v>
      </c>
      <c r="C392" s="1" t="n">
        <v>45941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44492-2025</t>
        </is>
      </c>
      <c r="B393" s="1" t="n">
        <v>45916.66194444444</v>
      </c>
      <c r="C393" s="1" t="n">
        <v>45941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59734-2022</t>
        </is>
      </c>
      <c r="B394" s="1" t="n">
        <v>44908</v>
      </c>
      <c r="C394" s="1" t="n">
        <v>45941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44719.81275462963</v>
      </c>
      <c r="C395" s="1" t="n">
        <v>45941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12574-2023</t>
        </is>
      </c>
      <c r="B396" s="1" t="n">
        <v>45000.40204861111</v>
      </c>
      <c r="C396" s="1" t="n">
        <v>45941</v>
      </c>
      <c r="D396" t="inlineStr">
        <is>
          <t>JÖNKÖPINGS LÄN</t>
        </is>
      </c>
      <c r="E396" t="inlineStr">
        <is>
          <t>EKSJÖ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17556-2023</t>
        </is>
      </c>
      <c r="B397" s="1" t="n">
        <v>45036</v>
      </c>
      <c r="C397" s="1" t="n">
        <v>45941</v>
      </c>
      <c r="D397" t="inlineStr">
        <is>
          <t>JÖNKÖPINGS LÄN</t>
        </is>
      </c>
      <c r="E397" t="inlineStr">
        <is>
          <t>EKSJÖ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10309-2024</t>
        </is>
      </c>
      <c r="B398" s="1" t="n">
        <v>45365.52149305555</v>
      </c>
      <c r="C398" s="1" t="n">
        <v>45941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27082-2023</t>
        </is>
      </c>
      <c r="B399" s="1" t="n">
        <v>45096.36502314815</v>
      </c>
      <c r="C399" s="1" t="n">
        <v>45941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27086-2023</t>
        </is>
      </c>
      <c r="B400" s="1" t="n">
        <v>45096</v>
      </c>
      <c r="C400" s="1" t="n">
        <v>45941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6455-2021</t>
        </is>
      </c>
      <c r="B401" s="1" t="n">
        <v>44235</v>
      </c>
      <c r="C401" s="1" t="n">
        <v>45941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46013-2022</t>
        </is>
      </c>
      <c r="B402" s="1" t="n">
        <v>44846.89910879629</v>
      </c>
      <c r="C402" s="1" t="n">
        <v>45941</v>
      </c>
      <c r="D402" t="inlineStr">
        <is>
          <t>JÖNKÖPINGS LÄN</t>
        </is>
      </c>
      <c r="E402" t="inlineStr">
        <is>
          <t>EKSJÖ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46014-2022</t>
        </is>
      </c>
      <c r="B403" s="1" t="n">
        <v>44846.90166666666</v>
      </c>
      <c r="C403" s="1" t="n">
        <v>45941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44090-2025</t>
        </is>
      </c>
      <c r="B404" s="1" t="n">
        <v>45915.5594212963</v>
      </c>
      <c r="C404" s="1" t="n">
        <v>45941</v>
      </c>
      <c r="D404" t="inlineStr">
        <is>
          <t>JÖNKÖPINGS LÄN</t>
        </is>
      </c>
      <c r="E404" t="inlineStr">
        <is>
          <t>EKSJÖ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9188-2024</t>
        </is>
      </c>
      <c r="B405" s="1" t="n">
        <v>45358.4497337963</v>
      </c>
      <c r="C405" s="1" t="n">
        <v>45941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29653-2025</t>
        </is>
      </c>
      <c r="B406" s="1" t="n">
        <v>45825.48087962963</v>
      </c>
      <c r="C406" s="1" t="n">
        <v>45941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31307-2023</t>
        </is>
      </c>
      <c r="B407" s="1" t="n">
        <v>45114.44476851852</v>
      </c>
      <c r="C407" s="1" t="n">
        <v>45941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56563-2023</t>
        </is>
      </c>
      <c r="B408" s="1" t="n">
        <v>45243.60005787037</v>
      </c>
      <c r="C408" s="1" t="n">
        <v>45941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55162-2024</t>
        </is>
      </c>
      <c r="B409" s="1" t="n">
        <v>45621.51123842593</v>
      </c>
      <c r="C409" s="1" t="n">
        <v>45941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48880-2024</t>
        </is>
      </c>
      <c r="B410" s="1" t="n">
        <v>45594.32667824074</v>
      </c>
      <c r="C410" s="1" t="n">
        <v>45941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44883-2025</t>
        </is>
      </c>
      <c r="B411" s="1" t="n">
        <v>45918.48857638889</v>
      </c>
      <c r="C411" s="1" t="n">
        <v>45941</v>
      </c>
      <c r="D411" t="inlineStr">
        <is>
          <t>JÖNKÖPINGS LÄN</t>
        </is>
      </c>
      <c r="E411" t="inlineStr">
        <is>
          <t>EKSJÖ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11381-2022</t>
        </is>
      </c>
      <c r="B412" s="1" t="n">
        <v>44630</v>
      </c>
      <c r="C412" s="1" t="n">
        <v>45941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44767-2025</t>
        </is>
      </c>
      <c r="B413" s="1" t="n">
        <v>45917.74109953704</v>
      </c>
      <c r="C413" s="1" t="n">
        <v>45941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37169-2025</t>
        </is>
      </c>
      <c r="B414" s="1" t="n">
        <v>45875.6087962963</v>
      </c>
      <c r="C414" s="1" t="n">
        <v>45941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37173-2025</t>
        </is>
      </c>
      <c r="B415" s="1" t="n">
        <v>45875.61380787037</v>
      </c>
      <c r="C415" s="1" t="n">
        <v>45941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37203-2025</t>
        </is>
      </c>
      <c r="B416" s="1" t="n">
        <v>45875</v>
      </c>
      <c r="C416" s="1" t="n">
        <v>45941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50275-2023</t>
        </is>
      </c>
      <c r="B417" s="1" t="n">
        <v>45209</v>
      </c>
      <c r="C417" s="1" t="n">
        <v>45941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24844-2021</t>
        </is>
      </c>
      <c r="B418" s="1" t="n">
        <v>44340.82724537037</v>
      </c>
      <c r="C418" s="1" t="n">
        <v>45941</v>
      </c>
      <c r="D418" t="inlineStr">
        <is>
          <t>JÖNKÖPINGS LÄN</t>
        </is>
      </c>
      <c r="E418" t="inlineStr">
        <is>
          <t>EKSJÖ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57868-2024</t>
        </is>
      </c>
      <c r="B419" s="1" t="n">
        <v>45631.43929398148</v>
      </c>
      <c r="C419" s="1" t="n">
        <v>45941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47204-2022</t>
        </is>
      </c>
      <c r="B420" s="1" t="n">
        <v>44851</v>
      </c>
      <c r="C420" s="1" t="n">
        <v>45941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39917-2025</t>
        </is>
      </c>
      <c r="B421" s="1" t="n">
        <v>45891.65788194445</v>
      </c>
      <c r="C421" s="1" t="n">
        <v>45941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25010-2021</t>
        </is>
      </c>
      <c r="B422" s="1" t="n">
        <v>44341</v>
      </c>
      <c r="C422" s="1" t="n">
        <v>45941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40025-2025</t>
        </is>
      </c>
      <c r="B423" s="1" t="n">
        <v>45894.36571759259</v>
      </c>
      <c r="C423" s="1" t="n">
        <v>45941</v>
      </c>
      <c r="D423" t="inlineStr">
        <is>
          <t>JÖNKÖPINGS LÄN</t>
        </is>
      </c>
      <c r="E423" t="inlineStr">
        <is>
          <t>EKSJÖ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37918-2023</t>
        </is>
      </c>
      <c r="B424" s="1" t="n">
        <v>45160.48722222223</v>
      </c>
      <c r="C424" s="1" t="n">
        <v>45941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39911-2025</t>
        </is>
      </c>
      <c r="B425" s="1" t="n">
        <v>45891.6499537037</v>
      </c>
      <c r="C425" s="1" t="n">
        <v>45941</v>
      </c>
      <c r="D425" t="inlineStr">
        <is>
          <t>JÖNKÖPINGS LÄN</t>
        </is>
      </c>
      <c r="E425" t="inlineStr">
        <is>
          <t>EKSJÖ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39916-2025</t>
        </is>
      </c>
      <c r="B426" s="1" t="n">
        <v>45891.65680555555</v>
      </c>
      <c r="C426" s="1" t="n">
        <v>45941</v>
      </c>
      <c r="D426" t="inlineStr">
        <is>
          <t>JÖNKÖPINGS LÄN</t>
        </is>
      </c>
      <c r="E426" t="inlineStr">
        <is>
          <t>EKSJÖ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38224-2023</t>
        </is>
      </c>
      <c r="B427" s="1" t="n">
        <v>45161</v>
      </c>
      <c r="C427" s="1" t="n">
        <v>45941</v>
      </c>
      <c r="D427" t="inlineStr">
        <is>
          <t>JÖNKÖPINGS LÄN</t>
        </is>
      </c>
      <c r="E427" t="inlineStr">
        <is>
          <t>EKSJÖ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37519-2025</t>
        </is>
      </c>
      <c r="B428" s="1" t="n">
        <v>45877</v>
      </c>
      <c r="C428" s="1" t="n">
        <v>45941</v>
      </c>
      <c r="D428" t="inlineStr">
        <is>
          <t>JÖNKÖPINGS LÄN</t>
        </is>
      </c>
      <c r="E428" t="inlineStr">
        <is>
          <t>EKSJÖ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37537-2025</t>
        </is>
      </c>
      <c r="B429" s="1" t="n">
        <v>45878.99365740741</v>
      </c>
      <c r="C429" s="1" t="n">
        <v>45941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40094-2025</t>
        </is>
      </c>
      <c r="B430" s="1" t="n">
        <v>45894.48199074074</v>
      </c>
      <c r="C430" s="1" t="n">
        <v>45941</v>
      </c>
      <c r="D430" t="inlineStr">
        <is>
          <t>JÖNKÖPINGS LÄN</t>
        </is>
      </c>
      <c r="E430" t="inlineStr">
        <is>
          <t>EKSJÖ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28438-2025</t>
        </is>
      </c>
      <c r="B431" s="1" t="n">
        <v>45819.38864583334</v>
      </c>
      <c r="C431" s="1" t="n">
        <v>45941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57200-2020</t>
        </is>
      </c>
      <c r="B432" s="1" t="n">
        <v>44139</v>
      </c>
      <c r="C432" s="1" t="n">
        <v>45941</v>
      </c>
      <c r="D432" t="inlineStr">
        <is>
          <t>JÖNKÖPINGS LÄN</t>
        </is>
      </c>
      <c r="E432" t="inlineStr">
        <is>
          <t>EKSJÖ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27448-2023</t>
        </is>
      </c>
      <c r="B433" s="1" t="n">
        <v>45097.41813657407</v>
      </c>
      <c r="C433" s="1" t="n">
        <v>45941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46577-2022</t>
        </is>
      </c>
      <c r="B434" s="1" t="n">
        <v>44848</v>
      </c>
      <c r="C434" s="1" t="n">
        <v>45941</v>
      </c>
      <c r="D434" t="inlineStr">
        <is>
          <t>JÖNKÖPINGS LÄN</t>
        </is>
      </c>
      <c r="E434" t="inlineStr">
        <is>
          <t>EKSJÖ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33971-2025</t>
        </is>
      </c>
      <c r="B435" s="1" t="n">
        <v>45842.93702546296</v>
      </c>
      <c r="C435" s="1" t="n">
        <v>45941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37698-2025</t>
        </is>
      </c>
      <c r="B436" s="1" t="n">
        <v>45880.57400462963</v>
      </c>
      <c r="C436" s="1" t="n">
        <v>45941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35738-2024</t>
        </is>
      </c>
      <c r="B437" s="1" t="n">
        <v>45532.53065972222</v>
      </c>
      <c r="C437" s="1" t="n">
        <v>45941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10464-2023</t>
        </is>
      </c>
      <c r="B438" s="1" t="n">
        <v>44987</v>
      </c>
      <c r="C438" s="1" t="n">
        <v>45941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12277-2025</t>
        </is>
      </c>
      <c r="B439" s="1" t="n">
        <v>45729</v>
      </c>
      <c r="C439" s="1" t="n">
        <v>45941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57700-2020</t>
        </is>
      </c>
      <c r="B440" s="1" t="n">
        <v>44140</v>
      </c>
      <c r="C440" s="1" t="n">
        <v>45941</v>
      </c>
      <c r="D440" t="inlineStr">
        <is>
          <t>JÖNKÖPINGS LÄN</t>
        </is>
      </c>
      <c r="E440" t="inlineStr">
        <is>
          <t>EKSJÖ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32623-2022</t>
        </is>
      </c>
      <c r="B441" s="1" t="n">
        <v>44783</v>
      </c>
      <c r="C441" s="1" t="n">
        <v>45941</v>
      </c>
      <c r="D441" t="inlineStr">
        <is>
          <t>JÖNKÖPINGS LÄN</t>
        </is>
      </c>
      <c r="E441" t="inlineStr">
        <is>
          <t>EKSJÖ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47390-2022</t>
        </is>
      </c>
      <c r="B442" s="1" t="n">
        <v>44853</v>
      </c>
      <c r="C442" s="1" t="n">
        <v>45941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42897-2025</t>
        </is>
      </c>
      <c r="B443" s="1" t="n">
        <v>45908</v>
      </c>
      <c r="C443" s="1" t="n">
        <v>45941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49861-2025</t>
        </is>
      </c>
      <c r="B444" s="1" t="n">
        <v>45940.51159722222</v>
      </c>
      <c r="C444" s="1" t="n">
        <v>45941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49862-2025</t>
        </is>
      </c>
      <c r="B445" s="1" t="n">
        <v>45940.51297453704</v>
      </c>
      <c r="C445" s="1" t="n">
        <v>45941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13892-2024</t>
        </is>
      </c>
      <c r="B446" s="1" t="n">
        <v>45391.63104166667</v>
      </c>
      <c r="C446" s="1" t="n">
        <v>45941</v>
      </c>
      <c r="D446" t="inlineStr">
        <is>
          <t>JÖNKÖPINGS LÄN</t>
        </is>
      </c>
      <c r="E446" t="inlineStr">
        <is>
          <t>EKSJÖ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37753-2023</t>
        </is>
      </c>
      <c r="B447" s="1" t="n">
        <v>45156</v>
      </c>
      <c r="C447" s="1" t="n">
        <v>45941</v>
      </c>
      <c r="D447" t="inlineStr">
        <is>
          <t>JÖNKÖPINGS LÄN</t>
        </is>
      </c>
      <c r="E447" t="inlineStr">
        <is>
          <t>EKSJÖ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41038-2025</t>
        </is>
      </c>
      <c r="B448" s="1" t="n">
        <v>45898.38814814815</v>
      </c>
      <c r="C448" s="1" t="n">
        <v>45941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46127-2025</t>
        </is>
      </c>
      <c r="B449" s="1" t="n">
        <v>45924.59092592593</v>
      </c>
      <c r="C449" s="1" t="n">
        <v>45941</v>
      </c>
      <c r="D449" t="inlineStr">
        <is>
          <t>JÖNKÖPINGS LÄN</t>
        </is>
      </c>
      <c r="E449" t="inlineStr">
        <is>
          <t>EKSJÖ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42929-2021</t>
        </is>
      </c>
      <c r="B450" s="1" t="n">
        <v>44431</v>
      </c>
      <c r="C450" s="1" t="n">
        <v>45941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50967-2021</t>
        </is>
      </c>
      <c r="B451" s="1" t="n">
        <v>44460.66883101852</v>
      </c>
      <c r="C451" s="1" t="n">
        <v>45941</v>
      </c>
      <c r="D451" t="inlineStr">
        <is>
          <t>JÖNKÖPINGS LÄN</t>
        </is>
      </c>
      <c r="E451" t="inlineStr">
        <is>
          <t>EKSJÖ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6976-2021</t>
        </is>
      </c>
      <c r="B452" s="1" t="n">
        <v>44237</v>
      </c>
      <c r="C452" s="1" t="n">
        <v>45941</v>
      </c>
      <c r="D452" t="inlineStr">
        <is>
          <t>JÖNKÖPINGS LÄN</t>
        </is>
      </c>
      <c r="E452" t="inlineStr">
        <is>
          <t>EKSJÖ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38102-2025</t>
        </is>
      </c>
      <c r="B453" s="1" t="n">
        <v>45882.49215277778</v>
      </c>
      <c r="C453" s="1" t="n">
        <v>45941</v>
      </c>
      <c r="D453" t="inlineStr">
        <is>
          <t>JÖNKÖPINGS LÄN</t>
        </is>
      </c>
      <c r="E453" t="inlineStr">
        <is>
          <t>EKSJÖ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41035-2025</t>
        </is>
      </c>
      <c r="B454" s="1" t="n">
        <v>45898.38175925926</v>
      </c>
      <c r="C454" s="1" t="n">
        <v>45941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65405-2021</t>
        </is>
      </c>
      <c r="B455" s="1" t="n">
        <v>44515</v>
      </c>
      <c r="C455" s="1" t="n">
        <v>45941</v>
      </c>
      <c r="D455" t="inlineStr">
        <is>
          <t>JÖNKÖPINGS LÄN</t>
        </is>
      </c>
      <c r="E455" t="inlineStr">
        <is>
          <t>EKSJÖ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9364-2025</t>
        </is>
      </c>
      <c r="B456" s="1" t="n">
        <v>45715.31364583333</v>
      </c>
      <c r="C456" s="1" t="n">
        <v>45941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38106-2025</t>
        </is>
      </c>
      <c r="B457" s="1" t="n">
        <v>45882.4953125</v>
      </c>
      <c r="C457" s="1" t="n">
        <v>45941</v>
      </c>
      <c r="D457" t="inlineStr">
        <is>
          <t>JÖNKÖPINGS LÄN</t>
        </is>
      </c>
      <c r="E457" t="inlineStr">
        <is>
          <t>EKSJÖ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38109-2025</t>
        </is>
      </c>
      <c r="B458" s="1" t="n">
        <v>45882.50864583333</v>
      </c>
      <c r="C458" s="1" t="n">
        <v>45941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46134-2025</t>
        </is>
      </c>
      <c r="B459" s="1" t="n">
        <v>45924.59579861111</v>
      </c>
      <c r="C459" s="1" t="n">
        <v>45941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67449-2020</t>
        </is>
      </c>
      <c r="B460" s="1" t="n">
        <v>44181</v>
      </c>
      <c r="C460" s="1" t="n">
        <v>45941</v>
      </c>
      <c r="D460" t="inlineStr">
        <is>
          <t>JÖNKÖPINGS LÄN</t>
        </is>
      </c>
      <c r="E460" t="inlineStr">
        <is>
          <t>EKSJÖ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29754-2024</t>
        </is>
      </c>
      <c r="B461" s="1" t="n">
        <v>45485.43127314815</v>
      </c>
      <c r="C461" s="1" t="n">
        <v>45941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38198-2023</t>
        </is>
      </c>
      <c r="B462" s="1" t="n">
        <v>45161</v>
      </c>
      <c r="C462" s="1" t="n">
        <v>45941</v>
      </c>
      <c r="D462" t="inlineStr">
        <is>
          <t>JÖNKÖPINGS LÄN</t>
        </is>
      </c>
      <c r="E462" t="inlineStr">
        <is>
          <t>EKSJÖ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38199-2023</t>
        </is>
      </c>
      <c r="B463" s="1" t="n">
        <v>45161.51387731481</v>
      </c>
      <c r="C463" s="1" t="n">
        <v>45941</v>
      </c>
      <c r="D463" t="inlineStr">
        <is>
          <t>JÖNKÖPINGS LÄN</t>
        </is>
      </c>
      <c r="E463" t="inlineStr">
        <is>
          <t>EKSJÖ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49403-2021</t>
        </is>
      </c>
      <c r="B464" s="1" t="n">
        <v>44454.63469907407</v>
      </c>
      <c r="C464" s="1" t="n">
        <v>45941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45367-2024</t>
        </is>
      </c>
      <c r="B465" s="1" t="n">
        <v>45576</v>
      </c>
      <c r="C465" s="1" t="n">
        <v>45941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18413-2025</t>
        </is>
      </c>
      <c r="B466" s="1" t="n">
        <v>45762.61453703704</v>
      </c>
      <c r="C466" s="1" t="n">
        <v>45941</v>
      </c>
      <c r="D466" t="inlineStr">
        <is>
          <t>JÖNKÖPINGS LÄN</t>
        </is>
      </c>
      <c r="E466" t="inlineStr">
        <is>
          <t>EKSJÖ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55207-2023</t>
        </is>
      </c>
      <c r="B467" s="1" t="n">
        <v>45237.59287037037</v>
      </c>
      <c r="C467" s="1" t="n">
        <v>45941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26706-2022</t>
        </is>
      </c>
      <c r="B468" s="1" t="n">
        <v>44739.78042824074</v>
      </c>
      <c r="C468" s="1" t="n">
        <v>45941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7728-2025</t>
        </is>
      </c>
      <c r="B469" s="1" t="n">
        <v>45706.45956018518</v>
      </c>
      <c r="C469" s="1" t="n">
        <v>45941</v>
      </c>
      <c r="D469" t="inlineStr">
        <is>
          <t>JÖNKÖPINGS LÄN</t>
        </is>
      </c>
      <c r="E469" t="inlineStr">
        <is>
          <t>EKSJÖ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45941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52200-2023</t>
        </is>
      </c>
      <c r="B471" s="1" t="n">
        <v>45224.40849537037</v>
      </c>
      <c r="C471" s="1" t="n">
        <v>45941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9400-2025</t>
        </is>
      </c>
      <c r="B472" s="1" t="n">
        <v>45715.38047453704</v>
      </c>
      <c r="C472" s="1" t="n">
        <v>45941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9404-2025</t>
        </is>
      </c>
      <c r="B473" s="1" t="n">
        <v>45715.38317129629</v>
      </c>
      <c r="C473" s="1" t="n">
        <v>45941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10045-2025</t>
        </is>
      </c>
      <c r="B474" s="1" t="n">
        <v>45719.50693287037</v>
      </c>
      <c r="C474" s="1" t="n">
        <v>45941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71313-2021</t>
        </is>
      </c>
      <c r="B475" s="1" t="n">
        <v>44539.6791087963</v>
      </c>
      <c r="C475" s="1" t="n">
        <v>45941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58706-2020</t>
        </is>
      </c>
      <c r="B476" s="1" t="n">
        <v>44145</v>
      </c>
      <c r="C476" s="1" t="n">
        <v>45941</v>
      </c>
      <c r="D476" t="inlineStr">
        <is>
          <t>JÖNKÖPINGS LÄN</t>
        </is>
      </c>
      <c r="E476" t="inlineStr">
        <is>
          <t>EKSJÖ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9294-2025</t>
        </is>
      </c>
      <c r="B477" s="1" t="n">
        <v>45714.66260416667</v>
      </c>
      <c r="C477" s="1" t="n">
        <v>45941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9297-2025</t>
        </is>
      </c>
      <c r="B478" s="1" t="n">
        <v>45714.66707175926</v>
      </c>
      <c r="C478" s="1" t="n">
        <v>45941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2916-2023</t>
        </is>
      </c>
      <c r="B479" s="1" t="n">
        <v>44945</v>
      </c>
      <c r="C479" s="1" t="n">
        <v>45941</v>
      </c>
      <c r="D479" t="inlineStr">
        <is>
          <t>JÖNKÖPINGS LÄN</t>
        </is>
      </c>
      <c r="E479" t="inlineStr">
        <is>
          <t>EKSJÖ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2224-2023</t>
        </is>
      </c>
      <c r="B480" s="1" t="n">
        <v>44939</v>
      </c>
      <c r="C480" s="1" t="n">
        <v>45941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18344-2025</t>
        </is>
      </c>
      <c r="B481" s="1" t="n">
        <v>45762</v>
      </c>
      <c r="C481" s="1" t="n">
        <v>45941</v>
      </c>
      <c r="D481" t="inlineStr">
        <is>
          <t>JÖNKÖPINGS LÄN</t>
        </is>
      </c>
      <c r="E481" t="inlineStr">
        <is>
          <t>EKSJÖ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13906-2023</t>
        </is>
      </c>
      <c r="B482" s="1" t="n">
        <v>45008.34104166667</v>
      </c>
      <c r="C482" s="1" t="n">
        <v>45941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25140-2023</t>
        </is>
      </c>
      <c r="B483" s="1" t="n">
        <v>45086.45991898148</v>
      </c>
      <c r="C483" s="1" t="n">
        <v>45941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54773-2020</t>
        </is>
      </c>
      <c r="B484" s="1" t="n">
        <v>44127</v>
      </c>
      <c r="C484" s="1" t="n">
        <v>45941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4426-2025</t>
        </is>
      </c>
      <c r="B485" s="1" t="n">
        <v>45686.48527777778</v>
      </c>
      <c r="C485" s="1" t="n">
        <v>45941</v>
      </c>
      <c r="D485" t="inlineStr">
        <is>
          <t>JÖNKÖPINGS LÄN</t>
        </is>
      </c>
      <c r="E485" t="inlineStr">
        <is>
          <t>EKSJÖ</t>
        </is>
      </c>
      <c r="F485" t="inlineStr">
        <is>
          <t>Övriga Aktiebolag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1903-2025</t>
        </is>
      </c>
      <c r="B486" s="1" t="n">
        <v>45671.64480324074</v>
      </c>
      <c r="C486" s="1" t="n">
        <v>45941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5634-2024</t>
        </is>
      </c>
      <c r="B487" s="1" t="n">
        <v>45334.61032407408</v>
      </c>
      <c r="C487" s="1" t="n">
        <v>45941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26054-2023</t>
        </is>
      </c>
      <c r="B488" s="1" t="n">
        <v>45091.35229166667</v>
      </c>
      <c r="C488" s="1" t="n">
        <v>45941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55636-2022</t>
        </is>
      </c>
      <c r="B489" s="1" t="n">
        <v>44888</v>
      </c>
      <c r="C489" s="1" t="n">
        <v>45941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19682-2023</t>
        </is>
      </c>
      <c r="B490" s="1" t="n">
        <v>45051.40623842592</v>
      </c>
      <c r="C490" s="1" t="n">
        <v>45941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46528-2023</t>
        </is>
      </c>
      <c r="B491" s="1" t="n">
        <v>45197</v>
      </c>
      <c r="C491" s="1" t="n">
        <v>45941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33644-2022</t>
        </is>
      </c>
      <c r="B492" s="1" t="n">
        <v>44789</v>
      </c>
      <c r="C492" s="1" t="n">
        <v>45941</v>
      </c>
      <c r="D492" t="inlineStr">
        <is>
          <t>JÖNKÖPINGS LÄN</t>
        </is>
      </c>
      <c r="E492" t="inlineStr">
        <is>
          <t>EKSJÖ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41016-2023</t>
        </is>
      </c>
      <c r="B493" s="1" t="n">
        <v>45173</v>
      </c>
      <c r="C493" s="1" t="n">
        <v>45941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17030-2024</t>
        </is>
      </c>
      <c r="B494" s="1" t="n">
        <v>45411</v>
      </c>
      <c r="C494" s="1" t="n">
        <v>45941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55553-2023</t>
        </is>
      </c>
      <c r="B495" s="1" t="n">
        <v>45238.62673611111</v>
      </c>
      <c r="C495" s="1" t="n">
        <v>45941</v>
      </c>
      <c r="D495" t="inlineStr">
        <is>
          <t>JÖNKÖPINGS LÄN</t>
        </is>
      </c>
      <c r="E495" t="inlineStr">
        <is>
          <t>EKSJÖ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24556-2023</t>
        </is>
      </c>
      <c r="B496" s="1" t="n">
        <v>45082.95840277777</v>
      </c>
      <c r="C496" s="1" t="n">
        <v>45941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25262-2023</t>
        </is>
      </c>
      <c r="B497" s="1" t="n">
        <v>45086.66017361111</v>
      </c>
      <c r="C497" s="1" t="n">
        <v>45941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22860-2023</t>
        </is>
      </c>
      <c r="B498" s="1" t="n">
        <v>45072</v>
      </c>
      <c r="C498" s="1" t="n">
        <v>45941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17631-2024</t>
        </is>
      </c>
      <c r="B499" s="1" t="n">
        <v>45418.32625</v>
      </c>
      <c r="C499" s="1" t="n">
        <v>45941</v>
      </c>
      <c r="D499" t="inlineStr">
        <is>
          <t>JÖNKÖPINGS LÄN</t>
        </is>
      </c>
      <c r="E499" t="inlineStr">
        <is>
          <t>EKSJÖ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21883-2023</t>
        </is>
      </c>
      <c r="B500" s="1" t="n">
        <v>45068</v>
      </c>
      <c r="C500" s="1" t="n">
        <v>45941</v>
      </c>
      <c r="D500" t="inlineStr">
        <is>
          <t>JÖNKÖPINGS LÄN</t>
        </is>
      </c>
      <c r="E500" t="inlineStr">
        <is>
          <t>EKSJÖ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45941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14350-2025</t>
        </is>
      </c>
      <c r="B502" s="1" t="n">
        <v>45741.36134259259</v>
      </c>
      <c r="C502" s="1" t="n">
        <v>45941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22670-2023</t>
        </is>
      </c>
      <c r="B503" s="1" t="n">
        <v>45071</v>
      </c>
      <c r="C503" s="1" t="n">
        <v>45941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30527-2023</t>
        </is>
      </c>
      <c r="B504" s="1" t="n">
        <v>45111.67137731481</v>
      </c>
      <c r="C504" s="1" t="n">
        <v>45941</v>
      </c>
      <c r="D504" t="inlineStr">
        <is>
          <t>JÖNKÖPINGS LÄN</t>
        </is>
      </c>
      <c r="E504" t="inlineStr">
        <is>
          <t>EKSJÖ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23869-2023</t>
        </is>
      </c>
      <c r="B505" s="1" t="n">
        <v>45078.49762731481</v>
      </c>
      <c r="C505" s="1" t="n">
        <v>45941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37144-2023</t>
        </is>
      </c>
      <c r="B506" s="1" t="n">
        <v>45154</v>
      </c>
      <c r="C506" s="1" t="n">
        <v>45941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65554-2021</t>
        </is>
      </c>
      <c r="B507" s="1" t="n">
        <v>44516</v>
      </c>
      <c r="C507" s="1" t="n">
        <v>45941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36302-2021</t>
        </is>
      </c>
      <c r="B508" s="1" t="n">
        <v>44390.42636574074</v>
      </c>
      <c r="C508" s="1" t="n">
        <v>45941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59852-2022</t>
        </is>
      </c>
      <c r="B509" s="1" t="n">
        <v>44908</v>
      </c>
      <c r="C509" s="1" t="n">
        <v>45941</v>
      </c>
      <c r="D509" t="inlineStr">
        <is>
          <t>JÖNKÖPINGS LÄN</t>
        </is>
      </c>
      <c r="E509" t="inlineStr">
        <is>
          <t>EKSJÖ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14420-2025</t>
        </is>
      </c>
      <c r="B510" s="1" t="n">
        <v>45741.48556712963</v>
      </c>
      <c r="C510" s="1" t="n">
        <v>45941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14428-2025</t>
        </is>
      </c>
      <c r="B511" s="1" t="n">
        <v>45741.49657407407</v>
      </c>
      <c r="C511" s="1" t="n">
        <v>45941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6409-2021</t>
        </is>
      </c>
      <c r="B512" s="1" t="n">
        <v>44235</v>
      </c>
      <c r="C512" s="1" t="n">
        <v>45941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63959-2023</t>
        </is>
      </c>
      <c r="B513" s="1" t="n">
        <v>45278.65578703704</v>
      </c>
      <c r="C513" s="1" t="n">
        <v>45941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28024-2022</t>
        </is>
      </c>
      <c r="B514" s="1" t="n">
        <v>44746</v>
      </c>
      <c r="C514" s="1" t="n">
        <v>45941</v>
      </c>
      <c r="D514" t="inlineStr">
        <is>
          <t>JÖNKÖPINGS LÄN</t>
        </is>
      </c>
      <c r="E514" t="inlineStr">
        <is>
          <t>EKSJÖ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32333-2022</t>
        </is>
      </c>
      <c r="B515" s="1" t="n">
        <v>44781.72799768519</v>
      </c>
      <c r="C515" s="1" t="n">
        <v>45941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5505-2021</t>
        </is>
      </c>
      <c r="B516" s="1" t="n">
        <v>44230</v>
      </c>
      <c r="C516" s="1" t="n">
        <v>45941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32336-2022</t>
        </is>
      </c>
      <c r="B517" s="1" t="n">
        <v>44781.7577662037</v>
      </c>
      <c r="C517" s="1" t="n">
        <v>45941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58706-2020</t>
        </is>
      </c>
      <c r="B518" s="1" t="n">
        <v>44145</v>
      </c>
      <c r="C518" s="1" t="n">
        <v>45941</v>
      </c>
      <c r="D518" t="inlineStr">
        <is>
          <t>JÖNKÖPINGS LÄN</t>
        </is>
      </c>
      <c r="E518" t="inlineStr">
        <is>
          <t>EKSJÖ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44958.44994212963</v>
      </c>
      <c r="C519" s="1" t="n">
        <v>45941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56469-2021</t>
        </is>
      </c>
      <c r="B520" s="1" t="n">
        <v>44480.54768518519</v>
      </c>
      <c r="C520" s="1" t="n">
        <v>45941</v>
      </c>
      <c r="D520" t="inlineStr">
        <is>
          <t>JÖNKÖPINGS LÄN</t>
        </is>
      </c>
      <c r="E520" t="inlineStr">
        <is>
          <t>EKSJÖ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58484-2024</t>
        </is>
      </c>
      <c r="B521" s="1" t="n">
        <v>45635</v>
      </c>
      <c r="C521" s="1" t="n">
        <v>45941</v>
      </c>
      <c r="D521" t="inlineStr">
        <is>
          <t>JÖNKÖPINGS LÄN</t>
        </is>
      </c>
      <c r="E521" t="inlineStr">
        <is>
          <t>EKSJÖ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12438-2021</t>
        </is>
      </c>
      <c r="B522" s="1" t="n">
        <v>44267.62804398148</v>
      </c>
      <c r="C522" s="1" t="n">
        <v>45941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58947-2020</t>
        </is>
      </c>
      <c r="B523" s="1" t="n">
        <v>44146</v>
      </c>
      <c r="C523" s="1" t="n">
        <v>45941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6163-2024</t>
        </is>
      </c>
      <c r="B524" s="1" t="n">
        <v>45337.49902777778</v>
      </c>
      <c r="C524" s="1" t="n">
        <v>45941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17387-2025</t>
        </is>
      </c>
      <c r="B525" s="1" t="n">
        <v>45757.31737268518</v>
      </c>
      <c r="C525" s="1" t="n">
        <v>45941</v>
      </c>
      <c r="D525" t="inlineStr">
        <is>
          <t>JÖNKÖPINGS LÄN</t>
        </is>
      </c>
      <c r="E525" t="inlineStr">
        <is>
          <t>EKSJÖ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3484-2025</t>
        </is>
      </c>
      <c r="B526" s="1" t="n">
        <v>45680.54476851852</v>
      </c>
      <c r="C526" s="1" t="n">
        <v>45941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46918-2023</t>
        </is>
      </c>
      <c r="B527" s="1" t="n">
        <v>45201.39597222222</v>
      </c>
      <c r="C527" s="1" t="n">
        <v>45941</v>
      </c>
      <c r="D527" t="inlineStr">
        <is>
          <t>JÖNKÖPINGS LÄN</t>
        </is>
      </c>
      <c r="E527" t="inlineStr">
        <is>
          <t>EKSJÖ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51527-2023</t>
        </is>
      </c>
      <c r="B528" s="1" t="n">
        <v>45222</v>
      </c>
      <c r="C528" s="1" t="n">
        <v>45941</v>
      </c>
      <c r="D528" t="inlineStr">
        <is>
          <t>JÖNKÖPINGS LÄN</t>
        </is>
      </c>
      <c r="E528" t="inlineStr">
        <is>
          <t>EKSJÖ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19912-2025</t>
        </is>
      </c>
      <c r="B529" s="1" t="n">
        <v>45771.6094212963</v>
      </c>
      <c r="C529" s="1" t="n">
        <v>45941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11446-2023</t>
        </is>
      </c>
      <c r="B530" s="1" t="n">
        <v>44991</v>
      </c>
      <c r="C530" s="1" t="n">
        <v>45941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44974.49688657407</v>
      </c>
      <c r="C531" s="1" t="n">
        <v>45941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64541-2023</t>
        </is>
      </c>
      <c r="B532" s="1" t="n">
        <v>45281</v>
      </c>
      <c r="C532" s="1" t="n">
        <v>45941</v>
      </c>
      <c r="D532" t="inlineStr">
        <is>
          <t>JÖNKÖPINGS LÄN</t>
        </is>
      </c>
      <c r="E532" t="inlineStr">
        <is>
          <t>EKSJÖ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3298-2023</t>
        </is>
      </c>
      <c r="B533" s="1" t="n">
        <v>44949.38921296296</v>
      </c>
      <c r="C533" s="1" t="n">
        <v>45941</v>
      </c>
      <c r="D533" t="inlineStr">
        <is>
          <t>JÖNKÖPINGS LÄN</t>
        </is>
      </c>
      <c r="E533" t="inlineStr">
        <is>
          <t>EKSJÖ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8923-2025</t>
        </is>
      </c>
      <c r="B534" s="1" t="n">
        <v>45713.43780092592</v>
      </c>
      <c r="C534" s="1" t="n">
        <v>45941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11959-2025</t>
        </is>
      </c>
      <c r="B535" s="1" t="n">
        <v>45728.57207175926</v>
      </c>
      <c r="C535" s="1" t="n">
        <v>45941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39049-2021</t>
        </is>
      </c>
      <c r="B536" s="1" t="n">
        <v>44412</v>
      </c>
      <c r="C536" s="1" t="n">
        <v>45941</v>
      </c>
      <c r="D536" t="inlineStr">
        <is>
          <t>JÖNKÖPINGS LÄN</t>
        </is>
      </c>
      <c r="E536" t="inlineStr">
        <is>
          <t>EKSJÖ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45911-2023</t>
        </is>
      </c>
      <c r="B537" s="1" t="n">
        <v>45195.79671296296</v>
      </c>
      <c r="C537" s="1" t="n">
        <v>45941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20485-2023</t>
        </is>
      </c>
      <c r="B538" s="1" t="n">
        <v>45057</v>
      </c>
      <c r="C538" s="1" t="n">
        <v>45941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59254-2023</t>
        </is>
      </c>
      <c r="B539" s="1" t="n">
        <v>45253.54540509259</v>
      </c>
      <c r="C539" s="1" t="n">
        <v>45941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64993-2023</t>
        </is>
      </c>
      <c r="B540" s="1" t="n">
        <v>45286.66042824074</v>
      </c>
      <c r="C540" s="1" t="n">
        <v>45941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27422-2023</t>
        </is>
      </c>
      <c r="B541" s="1" t="n">
        <v>45097</v>
      </c>
      <c r="C541" s="1" t="n">
        <v>45941</v>
      </c>
      <c r="D541" t="inlineStr">
        <is>
          <t>JÖNKÖPINGS LÄN</t>
        </is>
      </c>
      <c r="E541" t="inlineStr">
        <is>
          <t>EKSJÖ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18087-2025</t>
        </is>
      </c>
      <c r="B542" s="1" t="n">
        <v>45761.525</v>
      </c>
      <c r="C542" s="1" t="n">
        <v>45941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19507-2025</t>
        </is>
      </c>
      <c r="B543" s="1" t="n">
        <v>45770.40704861111</v>
      </c>
      <c r="C543" s="1" t="n">
        <v>45941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109-2025</t>
        </is>
      </c>
      <c r="B544" s="1" t="n">
        <v>45659.49363425926</v>
      </c>
      <c r="C544" s="1" t="n">
        <v>45941</v>
      </c>
      <c r="D544" t="inlineStr">
        <is>
          <t>JÖNKÖPINGS LÄN</t>
        </is>
      </c>
      <c r="E544" t="inlineStr">
        <is>
          <t>EKSJÖ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18337-2025</t>
        </is>
      </c>
      <c r="B545" s="1" t="n">
        <v>45762.50909722222</v>
      </c>
      <c r="C545" s="1" t="n">
        <v>45941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3549-2025</t>
        </is>
      </c>
      <c r="B546" s="1" t="n">
        <v>45680.65614583333</v>
      </c>
      <c r="C546" s="1" t="n">
        <v>45941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26419-2023</t>
        </is>
      </c>
      <c r="B547" s="1" t="n">
        <v>45092.38262731482</v>
      </c>
      <c r="C547" s="1" t="n">
        <v>45941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45941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45941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27395-2023</t>
        </is>
      </c>
      <c r="B550" s="1" t="n">
        <v>45096.96689814814</v>
      </c>
      <c r="C550" s="1" t="n">
        <v>45941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6526-2023</t>
        </is>
      </c>
      <c r="B551" s="1" t="n">
        <v>44966.41256944444</v>
      </c>
      <c r="C551" s="1" t="n">
        <v>45941</v>
      </c>
      <c r="D551" t="inlineStr">
        <is>
          <t>JÖNKÖPINGS LÄN</t>
        </is>
      </c>
      <c r="E551" t="inlineStr">
        <is>
          <t>EKSJÖ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36306-2023</t>
        </is>
      </c>
      <c r="B552" s="1" t="n">
        <v>45152</v>
      </c>
      <c r="C552" s="1" t="n">
        <v>45941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4265-2023</t>
        </is>
      </c>
      <c r="B553" s="1" t="n">
        <v>44953.56549768519</v>
      </c>
      <c r="C553" s="1" t="n">
        <v>45941</v>
      </c>
      <c r="D553" t="inlineStr">
        <is>
          <t>JÖNKÖPINGS LÄN</t>
        </is>
      </c>
      <c r="E553" t="inlineStr">
        <is>
          <t>EKSJÖ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13833-2024</t>
        </is>
      </c>
      <c r="B554" s="1" t="n">
        <v>45391.43503472222</v>
      </c>
      <c r="C554" s="1" t="n">
        <v>45941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53053-2021</t>
        </is>
      </c>
      <c r="B555" s="1" t="n">
        <v>44467.74497685185</v>
      </c>
      <c r="C555" s="1" t="n">
        <v>45941</v>
      </c>
      <c r="D555" t="inlineStr">
        <is>
          <t>JÖNKÖPINGS LÄN</t>
        </is>
      </c>
      <c r="E555" t="inlineStr">
        <is>
          <t>EKSJÖ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591-2023</t>
        </is>
      </c>
      <c r="B556" s="1" t="n">
        <v>44925</v>
      </c>
      <c r="C556" s="1" t="n">
        <v>45941</v>
      </c>
      <c r="D556" t="inlineStr">
        <is>
          <t>JÖNKÖPINGS LÄN</t>
        </is>
      </c>
      <c r="E556" t="inlineStr">
        <is>
          <t>EKSJÖ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49412-2021</t>
        </is>
      </c>
      <c r="B557" s="1" t="n">
        <v>44454</v>
      </c>
      <c r="C557" s="1" t="n">
        <v>45941</v>
      </c>
      <c r="D557" t="inlineStr">
        <is>
          <t>JÖNKÖPINGS LÄN</t>
        </is>
      </c>
      <c r="E557" t="inlineStr">
        <is>
          <t>EKSJÖ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2147-2023</t>
        </is>
      </c>
      <c r="B558" s="1" t="n">
        <v>44940.89184027778</v>
      </c>
      <c r="C558" s="1" t="n">
        <v>45941</v>
      </c>
      <c r="D558" t="inlineStr">
        <is>
          <t>JÖNKÖPINGS LÄN</t>
        </is>
      </c>
      <c r="E558" t="inlineStr">
        <is>
          <t>EKSJÖ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2148-2023</t>
        </is>
      </c>
      <c r="B559" s="1" t="n">
        <v>44941</v>
      </c>
      <c r="C559" s="1" t="n">
        <v>45941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43100-2021</t>
        </is>
      </c>
      <c r="B560" s="1" t="n">
        <v>44431.60414351852</v>
      </c>
      <c r="C560" s="1" t="n">
        <v>45941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35617-2023</t>
        </is>
      </c>
      <c r="B561" s="1" t="n">
        <v>45147</v>
      </c>
      <c r="C561" s="1" t="n">
        <v>45941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49919-2023</t>
        </is>
      </c>
      <c r="B562" s="1" t="n">
        <v>45214.82375</v>
      </c>
      <c r="C562" s="1" t="n">
        <v>45941</v>
      </c>
      <c r="D562" t="inlineStr">
        <is>
          <t>JÖNKÖPINGS LÄN</t>
        </is>
      </c>
      <c r="E562" t="inlineStr">
        <is>
          <t>EKSJÖ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41816-2024</t>
        </is>
      </c>
      <c r="B563" s="1" t="n">
        <v>45561.38298611111</v>
      </c>
      <c r="C563" s="1" t="n">
        <v>45941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47804-2023</t>
        </is>
      </c>
      <c r="B564" s="1" t="n">
        <v>45204.31833333334</v>
      </c>
      <c r="C564" s="1" t="n">
        <v>45941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47806-2023</t>
        </is>
      </c>
      <c r="B565" s="1" t="n">
        <v>45204.3241087963</v>
      </c>
      <c r="C565" s="1" t="n">
        <v>45941</v>
      </c>
      <c r="D565" t="inlineStr">
        <is>
          <t>JÖNKÖPINGS LÄN</t>
        </is>
      </c>
      <c r="E565" t="inlineStr">
        <is>
          <t>EKSJÖ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19356-2021</t>
        </is>
      </c>
      <c r="B566" s="1" t="n">
        <v>44309</v>
      </c>
      <c r="C566" s="1" t="n">
        <v>45941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49681-2023</t>
        </is>
      </c>
      <c r="B567" s="1" t="n">
        <v>45212</v>
      </c>
      <c r="C567" s="1" t="n">
        <v>45941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19861-2025</t>
        </is>
      </c>
      <c r="B568" s="1" t="n">
        <v>45771.53413194444</v>
      </c>
      <c r="C568" s="1" t="n">
        <v>45941</v>
      </c>
      <c r="D568" t="inlineStr">
        <is>
          <t>JÖNKÖPINGS LÄN</t>
        </is>
      </c>
      <c r="E568" t="inlineStr">
        <is>
          <t>EKSJÖ</t>
        </is>
      </c>
      <c r="F568" t="inlineStr">
        <is>
          <t>Kyrkan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61913-2022</t>
        </is>
      </c>
      <c r="B569" s="1" t="n">
        <v>44917</v>
      </c>
      <c r="C569" s="1" t="n">
        <v>45941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44585-2024</t>
        </is>
      </c>
      <c r="B570" s="1" t="n">
        <v>45574.4961574074</v>
      </c>
      <c r="C570" s="1" t="n">
        <v>45941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61850-2024</t>
        </is>
      </c>
      <c r="B571" s="1" t="n">
        <v>45649.65947916666</v>
      </c>
      <c r="C571" s="1" t="n">
        <v>45941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36503-2024</t>
        </is>
      </c>
      <c r="B572" s="1" t="n">
        <v>45537.41435185185</v>
      </c>
      <c r="C572" s="1" t="n">
        <v>45941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34772-2023</t>
        </is>
      </c>
      <c r="B573" s="1" t="n">
        <v>45141</v>
      </c>
      <c r="C573" s="1" t="n">
        <v>45941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20068-2023</t>
        </is>
      </c>
      <c r="B574" s="1" t="n">
        <v>45054</v>
      </c>
      <c r="C574" s="1" t="n">
        <v>45941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5712-2024</t>
        </is>
      </c>
      <c r="B575" s="1" t="n">
        <v>45334</v>
      </c>
      <c r="C575" s="1" t="n">
        <v>45941</v>
      </c>
      <c r="D575" t="inlineStr">
        <is>
          <t>JÖNKÖPINGS LÄN</t>
        </is>
      </c>
      <c r="E575" t="inlineStr">
        <is>
          <t>EKSJÖ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9281-2023</t>
        </is>
      </c>
      <c r="B576" s="1" t="n">
        <v>44980.61952546296</v>
      </c>
      <c r="C576" s="1" t="n">
        <v>45941</v>
      </c>
      <c r="D576" t="inlineStr">
        <is>
          <t>JÖNKÖPINGS LÄN</t>
        </is>
      </c>
      <c r="E576" t="inlineStr">
        <is>
          <t>EKSJÖ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46019-2022</t>
        </is>
      </c>
      <c r="B577" s="1" t="n">
        <v>44846</v>
      </c>
      <c r="C577" s="1" t="n">
        <v>45941</v>
      </c>
      <c r="D577" t="inlineStr">
        <is>
          <t>JÖNKÖPINGS LÄN</t>
        </is>
      </c>
      <c r="E577" t="inlineStr">
        <is>
          <t>EKSJÖ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17634-2025</t>
        </is>
      </c>
      <c r="B578" s="1" t="n">
        <v>45758.30116898148</v>
      </c>
      <c r="C578" s="1" t="n">
        <v>45941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17635-2025</t>
        </is>
      </c>
      <c r="B579" s="1" t="n">
        <v>45758.30449074074</v>
      </c>
      <c r="C579" s="1" t="n">
        <v>45941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45493-2022</t>
        </is>
      </c>
      <c r="B580" s="1" t="n">
        <v>44845.41481481482</v>
      </c>
      <c r="C580" s="1" t="n">
        <v>45941</v>
      </c>
      <c r="D580" t="inlineStr">
        <is>
          <t>JÖNKÖPINGS LÄN</t>
        </is>
      </c>
      <c r="E580" t="inlineStr">
        <is>
          <t>EKSJÖ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45941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36354-2022</t>
        </is>
      </c>
      <c r="B582" s="1" t="n">
        <v>44803.86137731482</v>
      </c>
      <c r="C582" s="1" t="n">
        <v>45941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45941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15042-2021</t>
        </is>
      </c>
      <c r="B584" s="1" t="n">
        <v>44281.61100694445</v>
      </c>
      <c r="C584" s="1" t="n">
        <v>45941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29878-2023</t>
        </is>
      </c>
      <c r="B585" s="1" t="n">
        <v>45107</v>
      </c>
      <c r="C585" s="1" t="n">
        <v>45941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586-2023</t>
        </is>
      </c>
      <c r="B586" s="1" t="n">
        <v>44925</v>
      </c>
      <c r="C586" s="1" t="n">
        <v>45941</v>
      </c>
      <c r="D586" t="inlineStr">
        <is>
          <t>JÖNKÖPINGS LÄN</t>
        </is>
      </c>
      <c r="E586" t="inlineStr">
        <is>
          <t>EKSJÖ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22090-2021</t>
        </is>
      </c>
      <c r="B587" s="1" t="n">
        <v>44323</v>
      </c>
      <c r="C587" s="1" t="n">
        <v>45941</v>
      </c>
      <c r="D587" t="inlineStr">
        <is>
          <t>JÖNKÖPINGS LÄN</t>
        </is>
      </c>
      <c r="E587" t="inlineStr">
        <is>
          <t>EKSJÖ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11723-2024</t>
        </is>
      </c>
      <c r="B588" s="1" t="n">
        <v>45373.65174768519</v>
      </c>
      <c r="C588" s="1" t="n">
        <v>45941</v>
      </c>
      <c r="D588" t="inlineStr">
        <is>
          <t>JÖNKÖPINGS LÄN</t>
        </is>
      </c>
      <c r="E588" t="inlineStr">
        <is>
          <t>EKSJÖ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50410-2024</t>
        </is>
      </c>
      <c r="B589" s="1" t="n">
        <v>45601.36858796296</v>
      </c>
      <c r="C589" s="1" t="n">
        <v>45941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1919-2024</t>
        </is>
      </c>
      <c r="B590" s="1" t="n">
        <v>45308.42202546296</v>
      </c>
      <c r="C590" s="1" t="n">
        <v>45941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5629-2024</t>
        </is>
      </c>
      <c r="B591" s="1" t="n">
        <v>45334.60681712963</v>
      </c>
      <c r="C591" s="1" t="n">
        <v>45941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25608-2024</t>
        </is>
      </c>
      <c r="B592" s="1" t="n">
        <v>45463.63390046296</v>
      </c>
      <c r="C592" s="1" t="n">
        <v>45941</v>
      </c>
      <c r="D592" t="inlineStr">
        <is>
          <t>JÖNKÖPINGS LÄN</t>
        </is>
      </c>
      <c r="E592" t="inlineStr">
        <is>
          <t>EKSJÖ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38201-2023</t>
        </is>
      </c>
      <c r="B593" s="1" t="n">
        <v>45161</v>
      </c>
      <c r="C593" s="1" t="n">
        <v>45941</v>
      </c>
      <c r="D593" t="inlineStr">
        <is>
          <t>JÖNKÖPINGS LÄN</t>
        </is>
      </c>
      <c r="E593" t="inlineStr">
        <is>
          <t>EKSJÖ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54470-2024</t>
        </is>
      </c>
      <c r="B594" s="1" t="n">
        <v>45617.54293981481</v>
      </c>
      <c r="C594" s="1" t="n">
        <v>45941</v>
      </c>
      <c r="D594" t="inlineStr">
        <is>
          <t>JÖNKÖPINGS LÄN</t>
        </is>
      </c>
      <c r="E594" t="inlineStr">
        <is>
          <t>EKSJÖ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58631-2023</t>
        </is>
      </c>
      <c r="B595" s="1" t="n">
        <v>45251</v>
      </c>
      <c r="C595" s="1" t="n">
        <v>45941</v>
      </c>
      <c r="D595" t="inlineStr">
        <is>
          <t>JÖNKÖPINGS LÄN</t>
        </is>
      </c>
      <c r="E595" t="inlineStr">
        <is>
          <t>EKSJÖ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2591-2022</t>
        </is>
      </c>
      <c r="B596" s="1" t="n">
        <v>44580</v>
      </c>
      <c r="C596" s="1" t="n">
        <v>45941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27775-2024</t>
        </is>
      </c>
      <c r="B597" s="1" t="n">
        <v>45475.53646990741</v>
      </c>
      <c r="C597" s="1" t="n">
        <v>45941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9363-2025</t>
        </is>
      </c>
      <c r="B598" s="1" t="n">
        <v>45715.30773148148</v>
      </c>
      <c r="C598" s="1" t="n">
        <v>45941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2835-2025</t>
        </is>
      </c>
      <c r="B599" s="1" t="n">
        <v>45677</v>
      </c>
      <c r="C599" s="1" t="n">
        <v>45941</v>
      </c>
      <c r="D599" t="inlineStr">
        <is>
          <t>JÖNKÖPINGS LÄN</t>
        </is>
      </c>
      <c r="E599" t="inlineStr">
        <is>
          <t>EKSJÖ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10972-2025</t>
        </is>
      </c>
      <c r="B600" s="1" t="n">
        <v>45723.38783564815</v>
      </c>
      <c r="C600" s="1" t="n">
        <v>45941</v>
      </c>
      <c r="D600" t="inlineStr">
        <is>
          <t>JÖNKÖPINGS LÄN</t>
        </is>
      </c>
      <c r="E600" t="inlineStr">
        <is>
          <t>EKSJÖ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51541-2023</t>
        </is>
      </c>
      <c r="B601" s="1" t="n">
        <v>45222</v>
      </c>
      <c r="C601" s="1" t="n">
        <v>45941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6455-2024</t>
        </is>
      </c>
      <c r="B602" s="1" t="n">
        <v>45338.68826388889</v>
      </c>
      <c r="C602" s="1" t="n">
        <v>45941</v>
      </c>
      <c r="D602" t="inlineStr">
        <is>
          <t>JÖNKÖPINGS LÄN</t>
        </is>
      </c>
      <c r="E602" t="inlineStr">
        <is>
          <t>EKSJÖ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45016-2024</t>
        </is>
      </c>
      <c r="B603" s="1" t="n">
        <v>45575.49575231481</v>
      </c>
      <c r="C603" s="1" t="n">
        <v>45941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50287-2024</t>
        </is>
      </c>
      <c r="B604" s="1" t="n">
        <v>45600.61741898148</v>
      </c>
      <c r="C604" s="1" t="n">
        <v>45941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19469-2025</t>
        </is>
      </c>
      <c r="B605" s="1" t="n">
        <v>45770.38188657408</v>
      </c>
      <c r="C605" s="1" t="n">
        <v>45941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55158-2024</t>
        </is>
      </c>
      <c r="B606" s="1" t="n">
        <v>45621.50383101852</v>
      </c>
      <c r="C606" s="1" t="n">
        <v>45941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18695-2024</t>
        </is>
      </c>
      <c r="B607" s="1" t="n">
        <v>45426</v>
      </c>
      <c r="C607" s="1" t="n">
        <v>45941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20986-2025</t>
        </is>
      </c>
      <c r="B608" s="1" t="n">
        <v>45777.47251157407</v>
      </c>
      <c r="C608" s="1" t="n">
        <v>45941</v>
      </c>
      <c r="D608" t="inlineStr">
        <is>
          <t>JÖNKÖPINGS LÄN</t>
        </is>
      </c>
      <c r="E608" t="inlineStr">
        <is>
          <t>EKSJÖ</t>
        </is>
      </c>
      <c r="F608" t="inlineStr">
        <is>
          <t>Kommuner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20960-2025</t>
        </is>
      </c>
      <c r="B609" s="1" t="n">
        <v>45777.44771990741</v>
      </c>
      <c r="C609" s="1" t="n">
        <v>45941</v>
      </c>
      <c r="D609" t="inlineStr">
        <is>
          <t>JÖNKÖPINGS LÄN</t>
        </is>
      </c>
      <c r="E609" t="inlineStr">
        <is>
          <t>EKSJÖ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21291-2025</t>
        </is>
      </c>
      <c r="B610" s="1" t="n">
        <v>45779.87166666667</v>
      </c>
      <c r="C610" s="1" t="n">
        <v>45941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21146-2025</t>
        </is>
      </c>
      <c r="B611" s="1" t="n">
        <v>45779.33960648148</v>
      </c>
      <c r="C611" s="1" t="n">
        <v>45941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21147-2025</t>
        </is>
      </c>
      <c r="B612" s="1" t="n">
        <v>45779.34159722222</v>
      </c>
      <c r="C612" s="1" t="n">
        <v>45941</v>
      </c>
      <c r="D612" t="inlineStr">
        <is>
          <t>JÖNKÖPINGS LÄN</t>
        </is>
      </c>
      <c r="E612" t="inlineStr">
        <is>
          <t>EKSJÖ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21149-2025</t>
        </is>
      </c>
      <c r="B613" s="1" t="n">
        <v>45779.34375</v>
      </c>
      <c r="C613" s="1" t="n">
        <v>45941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21224-2025</t>
        </is>
      </c>
      <c r="B614" s="1" t="n">
        <v>45779.51002314815</v>
      </c>
      <c r="C614" s="1" t="n">
        <v>45941</v>
      </c>
      <c r="D614" t="inlineStr">
        <is>
          <t>JÖNKÖPINGS LÄN</t>
        </is>
      </c>
      <c r="E614" t="inlineStr">
        <is>
          <t>EKSJÖ</t>
        </is>
      </c>
      <c r="F614" t="inlineStr">
        <is>
          <t>Kommuner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59234-2024</t>
        </is>
      </c>
      <c r="B615" s="1" t="n">
        <v>45637.58565972222</v>
      </c>
      <c r="C615" s="1" t="n">
        <v>45941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21703-2025</t>
        </is>
      </c>
      <c r="B616" s="1" t="n">
        <v>45783.51277777777</v>
      </c>
      <c r="C616" s="1" t="n">
        <v>45941</v>
      </c>
      <c r="D616" t="inlineStr">
        <is>
          <t>JÖNKÖPINGS LÄN</t>
        </is>
      </c>
      <c r="E616" t="inlineStr">
        <is>
          <t>EKSJÖ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22298-2025</t>
        </is>
      </c>
      <c r="B617" s="1" t="n">
        <v>45786.35311342592</v>
      </c>
      <c r="C617" s="1" t="n">
        <v>45941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39361-2023</t>
        </is>
      </c>
      <c r="B618" s="1" t="n">
        <v>45166</v>
      </c>
      <c r="C618" s="1" t="n">
        <v>45941</v>
      </c>
      <c r="D618" t="inlineStr">
        <is>
          <t>JÖNKÖPINGS LÄN</t>
        </is>
      </c>
      <c r="E618" t="inlineStr">
        <is>
          <t>EKSJÖ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42469-2023</t>
        </is>
      </c>
      <c r="B619" s="1" t="n">
        <v>45175</v>
      </c>
      <c r="C619" s="1" t="n">
        <v>45941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7723-2025</t>
        </is>
      </c>
      <c r="B620" s="1" t="n">
        <v>45706.45083333334</v>
      </c>
      <c r="C620" s="1" t="n">
        <v>45941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45941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22574-2025</t>
        </is>
      </c>
      <c r="B622" s="1" t="n">
        <v>45786</v>
      </c>
      <c r="C622" s="1" t="n">
        <v>45941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22158-2025</t>
        </is>
      </c>
      <c r="B623" s="1" t="n">
        <v>45785.58204861111</v>
      </c>
      <c r="C623" s="1" t="n">
        <v>45941</v>
      </c>
      <c r="D623" t="inlineStr">
        <is>
          <t>JÖNKÖPINGS LÄN</t>
        </is>
      </c>
      <c r="E623" t="inlineStr">
        <is>
          <t>EKSJÖ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22987-2025</t>
        </is>
      </c>
      <c r="B624" s="1" t="n">
        <v>45790.57364583333</v>
      </c>
      <c r="C624" s="1" t="n">
        <v>45941</v>
      </c>
      <c r="D624" t="inlineStr">
        <is>
          <t>JÖNKÖPINGS LÄN</t>
        </is>
      </c>
      <c r="E624" t="inlineStr">
        <is>
          <t>EKSJÖ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7585-2025</t>
        </is>
      </c>
      <c r="B625" s="1" t="n">
        <v>45705.62732638889</v>
      </c>
      <c r="C625" s="1" t="n">
        <v>45941</v>
      </c>
      <c r="D625" t="inlineStr">
        <is>
          <t>JÖNKÖPINGS LÄN</t>
        </is>
      </c>
      <c r="E625" t="inlineStr">
        <is>
          <t>EKSJÖ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35253-2024</t>
        </is>
      </c>
      <c r="B626" s="1" t="n">
        <v>45530.57599537037</v>
      </c>
      <c r="C626" s="1" t="n">
        <v>45941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23386-2025</t>
        </is>
      </c>
      <c r="B627" s="1" t="n">
        <v>45791.84987268518</v>
      </c>
      <c r="C627" s="1" t="n">
        <v>45941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23387-2025</t>
        </is>
      </c>
      <c r="B628" s="1" t="n">
        <v>45791.85148148148</v>
      </c>
      <c r="C628" s="1" t="n">
        <v>45941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45743-2024</t>
        </is>
      </c>
      <c r="B629" s="1" t="n">
        <v>45579.6247337963</v>
      </c>
      <c r="C629" s="1" t="n">
        <v>45941</v>
      </c>
      <c r="D629" t="inlineStr">
        <is>
          <t>JÖNKÖPINGS LÄN</t>
        </is>
      </c>
      <c r="E629" t="inlineStr">
        <is>
          <t>EKSJÖ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14361-2025</t>
        </is>
      </c>
      <c r="B630" s="1" t="n">
        <v>45741.37712962963</v>
      </c>
      <c r="C630" s="1" t="n">
        <v>45941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14366-2025</t>
        </is>
      </c>
      <c r="B631" s="1" t="n">
        <v>45741.38883101852</v>
      </c>
      <c r="C631" s="1" t="n">
        <v>45941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11957-2025</t>
        </is>
      </c>
      <c r="B632" s="1" t="n">
        <v>45728.56989583333</v>
      </c>
      <c r="C632" s="1" t="n">
        <v>45941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11669-2025</t>
        </is>
      </c>
      <c r="B633" s="1" t="n">
        <v>45727.51495370371</v>
      </c>
      <c r="C633" s="1" t="n">
        <v>45941</v>
      </c>
      <c r="D633" t="inlineStr">
        <is>
          <t>JÖNKÖPINGS LÄN</t>
        </is>
      </c>
      <c r="E633" t="inlineStr">
        <is>
          <t>EKSJÖ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14813-2025</t>
        </is>
      </c>
      <c r="B634" s="1" t="n">
        <v>45743.34086805556</v>
      </c>
      <c r="C634" s="1" t="n">
        <v>45941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24677-2025</t>
        </is>
      </c>
      <c r="B635" s="1" t="n">
        <v>45798.65495370371</v>
      </c>
      <c r="C635" s="1" t="n">
        <v>45941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14417-2025</t>
        </is>
      </c>
      <c r="B636" s="1" t="n">
        <v>45741.4800462963</v>
      </c>
      <c r="C636" s="1" t="n">
        <v>45941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14382-2025</t>
        </is>
      </c>
      <c r="B637" s="1" t="n">
        <v>45741.41645833333</v>
      </c>
      <c r="C637" s="1" t="n">
        <v>45941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14817-2025</t>
        </is>
      </c>
      <c r="B638" s="1" t="n">
        <v>45743.35166666667</v>
      </c>
      <c r="C638" s="1" t="n">
        <v>45941</v>
      </c>
      <c r="D638" t="inlineStr">
        <is>
          <t>JÖNKÖPINGS LÄN</t>
        </is>
      </c>
      <c r="E638" t="inlineStr">
        <is>
          <t>EKSJÖ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21000-2025</t>
        </is>
      </c>
      <c r="B639" s="1" t="n">
        <v>45777</v>
      </c>
      <c r="C639" s="1" t="n">
        <v>45941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45941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45941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14362-2025</t>
        </is>
      </c>
      <c r="B642" s="1" t="n">
        <v>45741.38179398148</v>
      </c>
      <c r="C642" s="1" t="n">
        <v>45941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5128-2024</t>
        </is>
      </c>
      <c r="B643" s="1" t="n">
        <v>45330</v>
      </c>
      <c r="C643" s="1" t="n">
        <v>45941</v>
      </c>
      <c r="D643" t="inlineStr">
        <is>
          <t>JÖNKÖPINGS LÄN</t>
        </is>
      </c>
      <c r="E643" t="inlineStr">
        <is>
          <t>EKSJÖ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11345-2025</t>
        </is>
      </c>
      <c r="B644" s="1" t="n">
        <v>45726.49972222222</v>
      </c>
      <c r="C644" s="1" t="n">
        <v>45941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56039-2024</t>
        </is>
      </c>
      <c r="B645" s="1" t="n">
        <v>45624.33329861111</v>
      </c>
      <c r="C645" s="1" t="n">
        <v>45941</v>
      </c>
      <c r="D645" t="inlineStr">
        <is>
          <t>JÖNKÖPINGS LÄN</t>
        </is>
      </c>
      <c r="E645" t="inlineStr">
        <is>
          <t>EKSJÖ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13735-2025</t>
        </is>
      </c>
      <c r="B646" s="1" t="n">
        <v>45737.3978587963</v>
      </c>
      <c r="C646" s="1" t="n">
        <v>45941</v>
      </c>
      <c r="D646" t="inlineStr">
        <is>
          <t>JÖNKÖPINGS LÄN</t>
        </is>
      </c>
      <c r="E646" t="inlineStr">
        <is>
          <t>EKSJÖ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2025-10-11T12:40:09Z</dcterms:created>
  <dcterms:modified xmlns:dcterms="http://purl.org/dc/terms/" xmlns:xsi="http://www.w3.org/2001/XMLSchema-instance" xsi:type="dcterms:W3CDTF">2025-10-11T12:40:09Z</dcterms:modified>
</cp:coreProperties>
</file>