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46199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46199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46199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46199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16876-2024</t>
        </is>
      </c>
      <c r="B6" s="1" t="n">
        <v>45411</v>
      </c>
      <c r="C6" s="1" t="n">
        <v>46199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Björksplintborre</t>
        </is>
      </c>
      <c r="S6">
        <f>HYPERLINK("https://klasma.github.io/Logging_0686/artfynd/A 16876-2024 artfynd.xlsx", "A 16876-2024")</f>
        <v/>
      </c>
      <c r="T6">
        <f>HYPERLINK("https://klasma.github.io/Logging_0686/kartor/A 16876-2024 karta.png", "A 16876-2024")</f>
        <v/>
      </c>
      <c r="V6">
        <f>HYPERLINK("https://klasma.github.io/Logging_0686/klagomål/A 16876-2024 FSC-klagomål.docx", "A 16876-2024")</f>
        <v/>
      </c>
      <c r="W6">
        <f>HYPERLINK("https://klasma.github.io/Logging_0686/klagomålsmail/A 16876-2024 FSC-klagomål mail.docx", "A 16876-2024")</f>
        <v/>
      </c>
      <c r="X6">
        <f>HYPERLINK("https://klasma.github.io/Logging_0686/tillsyn/A 16876-2024 tillsynsbegäran.docx", "A 16876-2024")</f>
        <v/>
      </c>
      <c r="Y6">
        <f>HYPERLINK("https://klasma.github.io/Logging_0686/tillsynsmail/A 16876-2024 tillsynsbegäran mail.docx", "A 16876-2024")</f>
        <v/>
      </c>
      <c r="Z6">
        <f>HYPERLINK("https://klasma.github.io/Logging_0686/fåglar/A 16876-2024 prioriterade fågelarter.docx", "A 16876-2024")</f>
        <v/>
      </c>
    </row>
    <row r="7" ht="15" customHeight="1">
      <c r="A7" t="inlineStr">
        <is>
          <t>A 55636-2022</t>
        </is>
      </c>
      <c r="B7" s="1" t="n">
        <v>44888</v>
      </c>
      <c r="C7" s="1" t="n">
        <v>46199</v>
      </c>
      <c r="D7" t="inlineStr">
        <is>
          <t>JÖNKÖPINGS LÄN</t>
        </is>
      </c>
      <c r="E7" t="inlineStr">
        <is>
          <t>EKSJÖ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Dvärghäxört
Springkorn</t>
        </is>
      </c>
      <c r="S7">
        <f>HYPERLINK("https://klasma.github.io/Logging_0686/artfynd/A 55636-2022 artfynd.xlsx", "A 55636-2022")</f>
        <v/>
      </c>
      <c r="T7">
        <f>HYPERLINK("https://klasma.github.io/Logging_0686/kartor/A 55636-2022 karta.png", "A 55636-2022")</f>
        <v/>
      </c>
      <c r="V7">
        <f>HYPERLINK("https://klasma.github.io/Logging_0686/klagomål/A 55636-2022 FSC-klagomål.docx", "A 55636-2022")</f>
        <v/>
      </c>
      <c r="W7">
        <f>HYPERLINK("https://klasma.github.io/Logging_0686/klagomålsmail/A 55636-2022 FSC-klagomål mail.docx", "A 55636-2022")</f>
        <v/>
      </c>
      <c r="X7">
        <f>HYPERLINK("https://klasma.github.io/Logging_0686/tillsyn/A 55636-2022 tillsynsbegäran.docx", "A 55636-2022")</f>
        <v/>
      </c>
      <c r="Y7">
        <f>HYPERLINK("https://klasma.github.io/Logging_0686/tillsynsmail/A 55636-2022 tillsynsbegäran mail.docx", "A 55636-2022")</f>
        <v/>
      </c>
    </row>
    <row r="8" ht="15" customHeight="1">
      <c r="A8" t="inlineStr">
        <is>
          <t>A 19135-2025</t>
        </is>
      </c>
      <c r="B8" s="1" t="n">
        <v>45764</v>
      </c>
      <c r="C8" s="1" t="n">
        <v>46199</v>
      </c>
      <c r="D8" t="inlineStr">
        <is>
          <t>JÖNKÖPINGS LÄN</t>
        </is>
      </c>
      <c r="E8" t="inlineStr">
        <is>
          <t>EKSJÖ</t>
        </is>
      </c>
      <c r="G8" t="n">
        <v>0.5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Fjällig taggsvamp s.str.
Rökmusseron</t>
        </is>
      </c>
      <c r="S8">
        <f>HYPERLINK("https://klasma.github.io/Logging_0686/artfynd/A 19135-2025 artfynd.xlsx", "A 19135-2025")</f>
        <v/>
      </c>
      <c r="T8">
        <f>HYPERLINK("https://klasma.github.io/Logging_0686/kartor/A 19135-2025 karta.png", "A 19135-2025")</f>
        <v/>
      </c>
      <c r="V8">
        <f>HYPERLINK("https://klasma.github.io/Logging_0686/klagomål/A 19135-2025 FSC-klagomål.docx", "A 19135-2025")</f>
        <v/>
      </c>
      <c r="W8">
        <f>HYPERLINK("https://klasma.github.io/Logging_0686/klagomålsmail/A 19135-2025 FSC-klagomål mail.docx", "A 19135-2025")</f>
        <v/>
      </c>
      <c r="X8">
        <f>HYPERLINK("https://klasma.github.io/Logging_0686/tillsyn/A 19135-2025 tillsynsbegäran.docx", "A 19135-2025")</f>
        <v/>
      </c>
      <c r="Y8">
        <f>HYPERLINK("https://klasma.github.io/Logging_0686/tillsynsmail/A 19135-2025 tillsynsbegäran mail.docx", "A 19135-2025")</f>
        <v/>
      </c>
    </row>
    <row r="9" ht="15" customHeight="1">
      <c r="A9" t="inlineStr">
        <is>
          <t>A 64978-2023</t>
        </is>
      </c>
      <c r="B9" s="1" t="n">
        <v>45285</v>
      </c>
      <c r="C9" s="1" t="n">
        <v>46199</v>
      </c>
      <c r="D9" t="inlineStr">
        <is>
          <t>JÖNKÖPINGS LÄN</t>
        </is>
      </c>
      <c r="E9" t="inlineStr">
        <is>
          <t>EKSJÖ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HYPERLINK("https://klasma.github.io/Logging_0686/artfynd/A 64978-2023 artfynd.xlsx", "A 64978-2023")</f>
        <v/>
      </c>
      <c r="T9">
        <f>HYPERLINK("https://klasma.github.io/Logging_0686/kartor/A 64978-2023 karta.png", "A 64978-2023")</f>
        <v/>
      </c>
      <c r="V9">
        <f>HYPERLINK("https://klasma.github.io/Logging_0686/klagomål/A 64978-2023 FSC-klagomål.docx", "A 64978-2023")</f>
        <v/>
      </c>
      <c r="W9">
        <f>HYPERLINK("https://klasma.github.io/Logging_0686/klagomålsmail/A 64978-2023 FSC-klagomål mail.docx", "A 64978-2023")</f>
        <v/>
      </c>
      <c r="X9">
        <f>HYPERLINK("https://klasma.github.io/Logging_0686/tillsyn/A 64978-2023 tillsynsbegäran.docx", "A 64978-2023")</f>
        <v/>
      </c>
      <c r="Y9">
        <f>HYPERLINK("https://klasma.github.io/Logging_0686/tillsynsmail/A 64978-2023 tillsynsbegäran mail.docx", "A 64978-2023")</f>
        <v/>
      </c>
    </row>
    <row r="10" ht="15" customHeight="1">
      <c r="A10" t="inlineStr">
        <is>
          <t>A 44585-2024</t>
        </is>
      </c>
      <c r="B10" s="1" t="n">
        <v>45574</v>
      </c>
      <c r="C10" s="1" t="n">
        <v>46199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1.5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HYPERLINK("https://klasma.github.io/Logging_0686/artfynd/A 44585-2024 artfynd.xlsx", "A 44585-2024")</f>
        <v/>
      </c>
      <c r="T10">
        <f>HYPERLINK("https://klasma.github.io/Logging_0686/kartor/A 44585-2024 karta.png", "A 44585-2024")</f>
        <v/>
      </c>
      <c r="V10">
        <f>HYPERLINK("https://klasma.github.io/Logging_0686/klagomål/A 44585-2024 FSC-klagomål.docx", "A 44585-2024")</f>
        <v/>
      </c>
      <c r="W10">
        <f>HYPERLINK("https://klasma.github.io/Logging_0686/klagomålsmail/A 44585-2024 FSC-klagomål mail.docx", "A 44585-2024")</f>
        <v/>
      </c>
      <c r="X10">
        <f>HYPERLINK("https://klasma.github.io/Logging_0686/tillsyn/A 44585-2024 tillsynsbegäran.docx", "A 44585-2024")</f>
        <v/>
      </c>
      <c r="Y10">
        <f>HYPERLINK("https://klasma.github.io/Logging_0686/tillsynsmail/A 44585-2024 tillsynsbegäran mail.docx", "A 44585-2024")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46199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46199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46199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46199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46199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46199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47729-2022</t>
        </is>
      </c>
      <c r="B17" s="1" t="n">
        <v>44854</v>
      </c>
      <c r="C17" s="1" t="n">
        <v>46199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HYPERLINK("https://klasma.github.io/Logging_0686/artfynd/A 47729-2022 artfynd.xlsx", "A 47729-2022")</f>
        <v/>
      </c>
      <c r="T17">
        <f>HYPERLINK("https://klasma.github.io/Logging_0686/kartor/A 47729-2022 karta.png", "A 47729-2022")</f>
        <v/>
      </c>
      <c r="V17">
        <f>HYPERLINK("https://klasma.github.io/Logging_0686/klagomål/A 47729-2022 FSC-klagomål.docx", "A 47729-2022")</f>
        <v/>
      </c>
      <c r="W17">
        <f>HYPERLINK("https://klasma.github.io/Logging_0686/klagomålsmail/A 47729-2022 FSC-klagomål mail.docx", "A 47729-2022")</f>
        <v/>
      </c>
      <c r="X17">
        <f>HYPERLINK("https://klasma.github.io/Logging_0686/tillsyn/A 47729-2022 tillsynsbegäran.docx", "A 47729-2022")</f>
        <v/>
      </c>
      <c r="Y17">
        <f>HYPERLINK("https://klasma.github.io/Logging_0686/tillsynsmail/A 47729-2022 tillsynsbegäran mail.docx", "A 47729-2022")</f>
        <v/>
      </c>
    </row>
    <row r="18" ht="15" customHeight="1">
      <c r="A18" t="inlineStr">
        <is>
          <t>A 10726-2024</t>
        </is>
      </c>
      <c r="B18" s="1" t="n">
        <v>45369</v>
      </c>
      <c r="C18" s="1" t="n">
        <v>46199</v>
      </c>
      <c r="D18" t="inlineStr">
        <is>
          <t>JÖNKÖPINGS LÄN</t>
        </is>
      </c>
      <c r="E18" t="inlineStr">
        <is>
          <t>EKSJÖ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HYPERLINK("https://klasma.github.io/Logging_0686/artfynd/A 10726-2024 artfynd.xlsx", "A 10726-2024")</f>
        <v/>
      </c>
      <c r="T18">
        <f>HYPERLINK("https://klasma.github.io/Logging_0686/kartor/A 10726-2024 karta.png", "A 10726-2024")</f>
        <v/>
      </c>
      <c r="V18">
        <f>HYPERLINK("https://klasma.github.io/Logging_0686/klagomål/A 10726-2024 FSC-klagomål.docx", "A 10726-2024")</f>
        <v/>
      </c>
      <c r="W18">
        <f>HYPERLINK("https://klasma.github.io/Logging_0686/klagomålsmail/A 10726-2024 FSC-klagomål mail.docx", "A 10726-2024")</f>
        <v/>
      </c>
      <c r="X18">
        <f>HYPERLINK("https://klasma.github.io/Logging_0686/tillsyn/A 10726-2024 tillsynsbegäran.docx", "A 10726-2024")</f>
        <v/>
      </c>
      <c r="Y18">
        <f>HYPERLINK("https://klasma.github.io/Logging_0686/tillsynsmail/A 10726-2024 tillsynsbegäran mail.docx", "A 10726-2024")</f>
        <v/>
      </c>
    </row>
    <row r="19" ht="15" customHeight="1">
      <c r="A19" t="inlineStr">
        <is>
          <t>A 56410-2025</t>
        </is>
      </c>
      <c r="B19" s="1" t="n">
        <v>45975</v>
      </c>
      <c r="C19" s="1" t="n">
        <v>46199</v>
      </c>
      <c r="D19" t="inlineStr">
        <is>
          <t>JÖNKÖPINGS LÄN</t>
        </is>
      </c>
      <c r="E19" t="inlineStr">
        <is>
          <t>EKSJÖ</t>
        </is>
      </c>
      <c r="F19" t="inlineStr">
        <is>
          <t>Kyrkan</t>
        </is>
      </c>
      <c r="G19" t="n">
        <v>2.1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Brunfläckig pärlemorfjäril</t>
        </is>
      </c>
      <c r="S19">
        <f>HYPERLINK("https://klasma.github.io/Logging_0686/artfynd/A 56410-2025 artfynd.xlsx", "A 56410-2025")</f>
        <v/>
      </c>
      <c r="T19">
        <f>HYPERLINK("https://klasma.github.io/Logging_0686/kartor/A 56410-2025 karta.png", "A 56410-2025")</f>
        <v/>
      </c>
      <c r="V19">
        <f>HYPERLINK("https://klasma.github.io/Logging_0686/klagomål/A 56410-2025 FSC-klagomål.docx", "A 56410-2025")</f>
        <v/>
      </c>
      <c r="W19">
        <f>HYPERLINK("https://klasma.github.io/Logging_0686/klagomålsmail/A 56410-2025 FSC-klagomål mail.docx", "A 56410-2025")</f>
        <v/>
      </c>
      <c r="X19">
        <f>HYPERLINK("https://klasma.github.io/Logging_0686/tillsyn/A 56410-2025 tillsynsbegäran.docx", "A 56410-2025")</f>
        <v/>
      </c>
      <c r="Y19">
        <f>HYPERLINK("https://klasma.github.io/Logging_0686/tillsynsmail/A 56410-2025 tillsynsbegäran mail.docx", "A 56410-2025")</f>
        <v/>
      </c>
    </row>
    <row r="20" ht="15" customHeight="1">
      <c r="A20" t="inlineStr">
        <is>
          <t>A 5128-2024</t>
        </is>
      </c>
      <c r="B20" s="1" t="n">
        <v>45330</v>
      </c>
      <c r="C20" s="1" t="n">
        <v>46199</v>
      </c>
      <c r="D20" t="inlineStr">
        <is>
          <t>JÖNKÖPINGS LÄN</t>
        </is>
      </c>
      <c r="E20" t="inlineStr">
        <is>
          <t>EKSJÖ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HYPERLINK("https://klasma.github.io/Logging_0686/artfynd/A 5128-2024 artfynd.xlsx", "A 5128-2024")</f>
        <v/>
      </c>
      <c r="T20">
        <f>HYPERLINK("https://klasma.github.io/Logging_0686/kartor/A 5128-2024 karta.png", "A 5128-2024")</f>
        <v/>
      </c>
      <c r="V20">
        <f>HYPERLINK("https://klasma.github.io/Logging_0686/klagomål/A 5128-2024 FSC-klagomål.docx", "A 5128-2024")</f>
        <v/>
      </c>
      <c r="W20">
        <f>HYPERLINK("https://klasma.github.io/Logging_0686/klagomålsmail/A 5128-2024 FSC-klagomål mail.docx", "A 5128-2024")</f>
        <v/>
      </c>
      <c r="X20">
        <f>HYPERLINK("https://klasma.github.io/Logging_0686/tillsyn/A 5128-2024 tillsynsbegäran.docx", "A 5128-2024")</f>
        <v/>
      </c>
      <c r="Y20">
        <f>HYPERLINK("https://klasma.github.io/Logging_0686/tillsynsmail/A 5128-2024 tillsynsbegäran mail.docx", "A 5128-2024")</f>
        <v/>
      </c>
    </row>
    <row r="21" ht="15" customHeight="1">
      <c r="A21" t="inlineStr">
        <is>
          <t>A 4786-2024</t>
        </is>
      </c>
      <c r="B21" s="1" t="n">
        <v>45328</v>
      </c>
      <c r="C21" s="1" t="n">
        <v>46199</v>
      </c>
      <c r="D21" t="inlineStr">
        <is>
          <t>JÖNKÖPINGS LÄN</t>
        </is>
      </c>
      <c r="E21" t="inlineStr">
        <is>
          <t>EKSJÖ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HYPERLINK("https://klasma.github.io/Logging_0686/artfynd/A 4786-2024 artfynd.xlsx", "A 4786-2024")</f>
        <v/>
      </c>
      <c r="T21">
        <f>HYPERLINK("https://klasma.github.io/Logging_0686/kartor/A 4786-2024 karta.png", "A 4786-2024")</f>
        <v/>
      </c>
      <c r="V21">
        <f>HYPERLINK("https://klasma.github.io/Logging_0686/klagomål/A 4786-2024 FSC-klagomål.docx", "A 4786-2024")</f>
        <v/>
      </c>
      <c r="W21">
        <f>HYPERLINK("https://klasma.github.io/Logging_0686/klagomålsmail/A 4786-2024 FSC-klagomål mail.docx", "A 4786-2024")</f>
        <v/>
      </c>
      <c r="X21">
        <f>HYPERLINK("https://klasma.github.io/Logging_0686/tillsyn/A 4786-2024 tillsynsbegäran.docx", "A 4786-2024")</f>
        <v/>
      </c>
      <c r="Y21">
        <f>HYPERLINK("https://klasma.github.io/Logging_0686/tillsynsmail/A 4786-2024 tillsynsbegäran mail.docx", "A 4786-2024")</f>
        <v/>
      </c>
    </row>
    <row r="22" ht="15" customHeight="1">
      <c r="A22" t="inlineStr">
        <is>
          <t>A 41029-2025</t>
        </is>
      </c>
      <c r="B22" s="1" t="n">
        <v>45898</v>
      </c>
      <c r="C22" s="1" t="n">
        <v>46199</v>
      </c>
      <c r="D22" t="inlineStr">
        <is>
          <t>JÖNKÖPINGS LÄN</t>
        </is>
      </c>
      <c r="E22" t="inlineStr">
        <is>
          <t>EKSJÖ</t>
        </is>
      </c>
      <c r="F22" t="inlineStr">
        <is>
          <t>Sveaskog</t>
        </is>
      </c>
      <c r="G22" t="n">
        <v>4.4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Gränsticka</t>
        </is>
      </c>
      <c r="S22">
        <f>HYPERLINK("https://klasma.github.io/Logging_0686/artfynd/A 41029-2025 artfynd.xlsx", "A 41029-2025")</f>
        <v/>
      </c>
      <c r="T22">
        <f>HYPERLINK("https://klasma.github.io/Logging_0686/kartor/A 41029-2025 karta.png", "A 41029-2025")</f>
        <v/>
      </c>
      <c r="V22">
        <f>HYPERLINK("https://klasma.github.io/Logging_0686/klagomål/A 41029-2025 FSC-klagomål.docx", "A 41029-2025")</f>
        <v/>
      </c>
      <c r="W22">
        <f>HYPERLINK("https://klasma.github.io/Logging_0686/klagomålsmail/A 41029-2025 FSC-klagomål mail.docx", "A 41029-2025")</f>
        <v/>
      </c>
      <c r="X22">
        <f>HYPERLINK("https://klasma.github.io/Logging_0686/tillsyn/A 41029-2025 tillsynsbegäran.docx", "A 41029-2025")</f>
        <v/>
      </c>
      <c r="Y22">
        <f>HYPERLINK("https://klasma.github.io/Logging_0686/tillsynsmail/A 41029-2025 tillsynsbegäran mail.docx", "A 41029-2025")</f>
        <v/>
      </c>
    </row>
    <row r="23" ht="15" customHeight="1">
      <c r="A23" t="inlineStr">
        <is>
          <t>A 1073-2025</t>
        </is>
      </c>
      <c r="B23" s="1" t="n">
        <v>45666</v>
      </c>
      <c r="C23" s="1" t="n">
        <v>46199</v>
      </c>
      <c r="D23" t="inlineStr">
        <is>
          <t>JÖNKÖPINGS LÄN</t>
        </is>
      </c>
      <c r="E23" t="inlineStr">
        <is>
          <t>EKSJÖ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Myggblomster</t>
        </is>
      </c>
      <c r="S23">
        <f>HYPERLINK("https://klasma.github.io/Logging_0686/artfynd/A 1073-2025 artfynd.xlsx", "A 1073-2025")</f>
        <v/>
      </c>
      <c r="T23">
        <f>HYPERLINK("https://klasma.github.io/Logging_0686/kartor/A 1073-2025 karta.png", "A 1073-2025")</f>
        <v/>
      </c>
      <c r="V23">
        <f>HYPERLINK("https://klasma.github.io/Logging_0686/klagomål/A 1073-2025 FSC-klagomål.docx", "A 1073-2025")</f>
        <v/>
      </c>
      <c r="W23">
        <f>HYPERLINK("https://klasma.github.io/Logging_0686/klagomålsmail/A 1073-2025 FSC-klagomål mail.docx", "A 1073-2025")</f>
        <v/>
      </c>
      <c r="X23">
        <f>HYPERLINK("https://klasma.github.io/Logging_0686/tillsyn/A 1073-2025 tillsynsbegäran.docx", "A 1073-2025")</f>
        <v/>
      </c>
      <c r="Y23">
        <f>HYPERLINK("https://klasma.github.io/Logging_0686/tillsynsmail/A 1073-2025 tillsynsbegäran mail.docx", "A 1073-2025")</f>
        <v/>
      </c>
    </row>
    <row r="24" ht="15" customHeight="1">
      <c r="A24" t="inlineStr">
        <is>
          <t>A 58-2023</t>
        </is>
      </c>
      <c r="B24" s="1" t="n">
        <v>44928</v>
      </c>
      <c r="C24" s="1" t="n">
        <v>46199</v>
      </c>
      <c r="D24" t="inlineStr">
        <is>
          <t>JÖNKÖPINGS LÄN</t>
        </is>
      </c>
      <c r="E24" t="inlineStr">
        <is>
          <t>EKSJÖ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HYPERLINK("https://klasma.github.io/Logging_0686/artfynd/A 58-2023 artfynd.xlsx", "A 58-2023")</f>
        <v/>
      </c>
      <c r="T24">
        <f>HYPERLINK("https://klasma.github.io/Logging_0686/kartor/A 58-2023 karta.png", "A 58-2023")</f>
        <v/>
      </c>
      <c r="V24">
        <f>HYPERLINK("https://klasma.github.io/Logging_0686/klagomål/A 58-2023 FSC-klagomål.docx", "A 58-2023")</f>
        <v/>
      </c>
      <c r="W24">
        <f>HYPERLINK("https://klasma.github.io/Logging_0686/klagomålsmail/A 58-2023 FSC-klagomål mail.docx", "A 58-2023")</f>
        <v/>
      </c>
      <c r="X24">
        <f>HYPERLINK("https://klasma.github.io/Logging_0686/tillsyn/A 58-2023 tillsynsbegäran.docx", "A 58-2023")</f>
        <v/>
      </c>
      <c r="Y24">
        <f>HYPERLINK("https://klasma.github.io/Logging_0686/tillsynsmail/A 58-2023 tillsynsbegäran mail.docx", "A 58-2023")</f>
        <v/>
      </c>
    </row>
    <row r="25" ht="15" customHeight="1">
      <c r="A25" t="inlineStr">
        <is>
          <t>A 52446-2025</t>
        </is>
      </c>
      <c r="B25" s="1" t="n">
        <v>45954</v>
      </c>
      <c r="C25" s="1" t="n">
        <v>46199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52446-2025 artfynd.xlsx", "A 52446-2025")</f>
        <v/>
      </c>
      <c r="T25">
        <f>HYPERLINK("https://klasma.github.io/Logging_0686/kartor/A 52446-2025 karta.png", "A 52446-2025")</f>
        <v/>
      </c>
      <c r="V25">
        <f>HYPERLINK("https://klasma.github.io/Logging_0686/klagomål/A 52446-2025 FSC-klagomål.docx", "A 52446-2025")</f>
        <v/>
      </c>
      <c r="W25">
        <f>HYPERLINK("https://klasma.github.io/Logging_0686/klagomålsmail/A 52446-2025 FSC-klagomål mail.docx", "A 52446-2025")</f>
        <v/>
      </c>
      <c r="X25">
        <f>HYPERLINK("https://klasma.github.io/Logging_0686/tillsyn/A 52446-2025 tillsynsbegäran.docx", "A 52446-2025")</f>
        <v/>
      </c>
      <c r="Y25">
        <f>HYPERLINK("https://klasma.github.io/Logging_0686/tillsynsmail/A 52446-2025 tillsynsbegäran mail.docx", "A 52446-2025")</f>
        <v/>
      </c>
    </row>
    <row r="26" ht="15" customHeight="1">
      <c r="A26" t="inlineStr">
        <is>
          <t>A 15419-2026</t>
        </is>
      </c>
      <c r="B26" s="1" t="n">
        <v>46106</v>
      </c>
      <c r="C26" s="1" t="n">
        <v>46199</v>
      </c>
      <c r="D26" t="inlineStr">
        <is>
          <t>JÖNKÖPINGS LÄN</t>
        </is>
      </c>
      <c r="E26" t="inlineStr">
        <is>
          <t>EKSJÖ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HYPERLINK("https://klasma.github.io/Logging_0686/artfynd/A 15419-2026 artfynd.xlsx", "A 15419-2026")</f>
        <v/>
      </c>
      <c r="T26">
        <f>HYPERLINK("https://klasma.github.io/Logging_0686/kartor/A 15419-2026 karta.png", "A 15419-2026")</f>
        <v/>
      </c>
      <c r="V26">
        <f>HYPERLINK("https://klasma.github.io/Logging_0686/klagomål/A 15419-2026 FSC-klagomål.docx", "A 15419-2026")</f>
        <v/>
      </c>
      <c r="W26">
        <f>HYPERLINK("https://klasma.github.io/Logging_0686/klagomålsmail/A 15419-2026 FSC-klagomål mail.docx", "A 15419-2026")</f>
        <v/>
      </c>
      <c r="X26">
        <f>HYPERLINK("https://klasma.github.io/Logging_0686/tillsyn/A 15419-2026 tillsynsbegäran.docx", "A 15419-2026")</f>
        <v/>
      </c>
      <c r="Y26">
        <f>HYPERLINK("https://klasma.github.io/Logging_0686/tillsynsmail/A 15419-2026 tillsynsbegäran mail.docx", "A 15419-2026")</f>
        <v/>
      </c>
    </row>
    <row r="27" ht="15" customHeight="1">
      <c r="A27" t="inlineStr">
        <is>
          <t>A 23536-2026</t>
        </is>
      </c>
      <c r="B27" s="1" t="n">
        <v>46163</v>
      </c>
      <c r="C27" s="1" t="n">
        <v>46199</v>
      </c>
      <c r="D27" t="inlineStr">
        <is>
          <t>JÖNKÖPINGS LÄN</t>
        </is>
      </c>
      <c r="E27" t="inlineStr">
        <is>
          <t>EKSJÖ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Spindelört</t>
        </is>
      </c>
      <c r="S27">
        <f>HYPERLINK("https://klasma.github.io/Logging_0686/artfynd/A 23536-2026 artfynd.xlsx", "A 23536-2026")</f>
        <v/>
      </c>
      <c r="T27">
        <f>HYPERLINK("https://klasma.github.io/Logging_0686/kartor/A 23536-2026 karta.png", "A 23536-2026")</f>
        <v/>
      </c>
      <c r="V27">
        <f>HYPERLINK("https://klasma.github.io/Logging_0686/klagomål/A 23536-2026 FSC-klagomål.docx", "A 23536-2026")</f>
        <v/>
      </c>
      <c r="W27">
        <f>HYPERLINK("https://klasma.github.io/Logging_0686/klagomålsmail/A 23536-2026 FSC-klagomål mail.docx", "A 23536-2026")</f>
        <v/>
      </c>
      <c r="X27">
        <f>HYPERLINK("https://klasma.github.io/Logging_0686/tillsyn/A 23536-2026 tillsynsbegäran.docx", "A 23536-2026")</f>
        <v/>
      </c>
      <c r="Y27">
        <f>HYPERLINK("https://klasma.github.io/Logging_0686/tillsynsmail/A 23536-2026 tillsynsbegäran mail.docx", "A 23536-2026")</f>
        <v/>
      </c>
    </row>
    <row r="28" ht="15" customHeight="1">
      <c r="A28" t="inlineStr">
        <is>
          <t>A 23519-2026</t>
        </is>
      </c>
      <c r="B28" s="1" t="n">
        <v>46163</v>
      </c>
      <c r="C28" s="1" t="n">
        <v>46199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HYPERLINK("https://klasma.github.io/Logging_0686/artfynd/A 23519-2026 artfynd.xlsx", "A 23519-2026")</f>
        <v/>
      </c>
      <c r="T28">
        <f>HYPERLINK("https://klasma.github.io/Logging_0686/kartor/A 23519-2026 karta.png", "A 23519-2026")</f>
        <v/>
      </c>
      <c r="V28">
        <f>HYPERLINK("https://klasma.github.io/Logging_0686/klagomål/A 23519-2026 FSC-klagomål.docx", "A 23519-2026")</f>
        <v/>
      </c>
      <c r="W28">
        <f>HYPERLINK("https://klasma.github.io/Logging_0686/klagomålsmail/A 23519-2026 FSC-klagomål mail.docx", "A 23519-2026")</f>
        <v/>
      </c>
      <c r="X28">
        <f>HYPERLINK("https://klasma.github.io/Logging_0686/tillsyn/A 23519-2026 tillsynsbegäran.docx", "A 23519-2026")</f>
        <v/>
      </c>
      <c r="Y28">
        <f>HYPERLINK("https://klasma.github.io/Logging_0686/tillsynsmail/A 23519-2026 tillsynsbegäran mail.docx", "A 23519-2026")</f>
        <v/>
      </c>
    </row>
    <row r="29" ht="15" customHeight="1">
      <c r="A29" t="inlineStr">
        <is>
          <t>A 43356-2023</t>
        </is>
      </c>
      <c r="B29" s="1" t="n">
        <v>45183</v>
      </c>
      <c r="C29" s="1" t="n">
        <v>46199</v>
      </c>
      <c r="D29" t="inlineStr">
        <is>
          <t>JÖNKÖPINGS LÄN</t>
        </is>
      </c>
      <c r="E29" t="inlineStr">
        <is>
          <t>EKSJÖ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HYPERLINK("https://klasma.github.io/Logging_0686/artfynd/A 43356-2023 artfynd.xlsx", "A 43356-2023")</f>
        <v/>
      </c>
      <c r="T29">
        <f>HYPERLINK("https://klasma.github.io/Logging_0686/kartor/A 43356-2023 karta.png", "A 43356-2023")</f>
        <v/>
      </c>
      <c r="V29">
        <f>HYPERLINK("https://klasma.github.io/Logging_0686/klagomål/A 43356-2023 FSC-klagomål.docx", "A 43356-2023")</f>
        <v/>
      </c>
      <c r="W29">
        <f>HYPERLINK("https://klasma.github.io/Logging_0686/klagomålsmail/A 43356-2023 FSC-klagomål mail.docx", "A 43356-2023")</f>
        <v/>
      </c>
      <c r="X29">
        <f>HYPERLINK("https://klasma.github.io/Logging_0686/tillsyn/A 43356-2023 tillsynsbegäran.docx", "A 43356-2023")</f>
        <v/>
      </c>
      <c r="Y29">
        <f>HYPERLINK("https://klasma.github.io/Logging_0686/tillsynsmail/A 43356-2023 tillsynsbegäran mail.docx", "A 43356-2023")</f>
        <v/>
      </c>
    </row>
    <row r="30" ht="15" customHeight="1">
      <c r="A30" t="inlineStr">
        <is>
          <t>A 32830-2025</t>
        </is>
      </c>
      <c r="B30" s="1" t="n">
        <v>45839</v>
      </c>
      <c r="C30" s="1" t="n">
        <v>46199</v>
      </c>
      <c r="D30" t="inlineStr">
        <is>
          <t>JÖNKÖPINGS LÄN</t>
        </is>
      </c>
      <c r="E30" t="inlineStr">
        <is>
          <t>EKSJÖ</t>
        </is>
      </c>
      <c r="F30" t="inlineStr">
        <is>
          <t>Övriga Aktiebolag</t>
        </is>
      </c>
      <c r="G30" t="n">
        <v>3.3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HYPERLINK("https://klasma.github.io/Logging_0686/artfynd/A 32830-2025 artfynd.xlsx", "A 32830-2025")</f>
        <v/>
      </c>
      <c r="T30">
        <f>HYPERLINK("https://klasma.github.io/Logging_0686/kartor/A 32830-2025 karta.png", "A 32830-2025")</f>
        <v/>
      </c>
      <c r="V30">
        <f>HYPERLINK("https://klasma.github.io/Logging_0686/klagomål/A 32830-2025 FSC-klagomål.docx", "A 32830-2025")</f>
        <v/>
      </c>
      <c r="W30">
        <f>HYPERLINK("https://klasma.github.io/Logging_0686/klagomålsmail/A 32830-2025 FSC-klagomål mail.docx", "A 32830-2025")</f>
        <v/>
      </c>
      <c r="X30">
        <f>HYPERLINK("https://klasma.github.io/Logging_0686/tillsyn/A 32830-2025 tillsynsbegäran.docx", "A 32830-2025")</f>
        <v/>
      </c>
      <c r="Y30">
        <f>HYPERLINK("https://klasma.github.io/Logging_0686/tillsynsmail/A 32830-2025 tillsynsbegäran mail.docx", "A 32830-2025")</f>
        <v/>
      </c>
    </row>
    <row r="31" ht="15" customHeight="1">
      <c r="A31" t="inlineStr">
        <is>
          <t>A 18327-2024</t>
        </is>
      </c>
      <c r="B31" s="1" t="n">
        <v>45422</v>
      </c>
      <c r="C31" s="1" t="n">
        <v>46199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Dvärgbägarlav</t>
        </is>
      </c>
      <c r="S31">
        <f>HYPERLINK("https://klasma.github.io/Logging_0686/artfynd/A 18327-2024 artfynd.xlsx", "A 18327-2024")</f>
        <v/>
      </c>
      <c r="T31">
        <f>HYPERLINK("https://klasma.github.io/Logging_0686/kartor/A 18327-2024 karta.png", "A 18327-2024")</f>
        <v/>
      </c>
      <c r="V31">
        <f>HYPERLINK("https://klasma.github.io/Logging_0686/klagomål/A 18327-2024 FSC-klagomål.docx", "A 18327-2024")</f>
        <v/>
      </c>
      <c r="W31">
        <f>HYPERLINK("https://klasma.github.io/Logging_0686/klagomålsmail/A 18327-2024 FSC-klagomål mail.docx", "A 18327-2024")</f>
        <v/>
      </c>
      <c r="X31">
        <f>HYPERLINK("https://klasma.github.io/Logging_0686/tillsyn/A 18327-2024 tillsynsbegäran.docx", "A 18327-2024")</f>
        <v/>
      </c>
      <c r="Y31">
        <f>HYPERLINK("https://klasma.github.io/Logging_0686/tillsynsmail/A 18327-2024 tillsynsbegäran mail.docx", "A 18327-2024")</f>
        <v/>
      </c>
    </row>
    <row r="32" ht="15" customHeight="1">
      <c r="A32" t="inlineStr">
        <is>
          <t>A 4446-2023</t>
        </is>
      </c>
      <c r="B32" s="1" t="n">
        <v>44956</v>
      </c>
      <c r="C32" s="1" t="n">
        <v>46199</v>
      </c>
      <c r="D32" t="inlineStr">
        <is>
          <t>JÖNKÖPINGS LÄN</t>
        </is>
      </c>
      <c r="E32" t="inlineStr">
        <is>
          <t>EKSJÖ</t>
        </is>
      </c>
      <c r="G32" t="n">
        <v>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Loppstarr</t>
        </is>
      </c>
      <c r="S32">
        <f>HYPERLINK("https://klasma.github.io/Logging_0686/artfynd/A 4446-2023 artfynd.xlsx", "A 4446-2023")</f>
        <v/>
      </c>
      <c r="T32">
        <f>HYPERLINK("https://klasma.github.io/Logging_0686/kartor/A 4446-2023 karta.png", "A 4446-2023")</f>
        <v/>
      </c>
      <c r="V32">
        <f>HYPERLINK("https://klasma.github.io/Logging_0686/klagomål/A 4446-2023 FSC-klagomål.docx", "A 4446-2023")</f>
        <v/>
      </c>
      <c r="W32">
        <f>HYPERLINK("https://klasma.github.io/Logging_0686/klagomålsmail/A 4446-2023 FSC-klagomål mail.docx", "A 4446-2023")</f>
        <v/>
      </c>
      <c r="X32">
        <f>HYPERLINK("https://klasma.github.io/Logging_0686/tillsyn/A 4446-2023 tillsynsbegäran.docx", "A 4446-2023")</f>
        <v/>
      </c>
      <c r="Y32">
        <f>HYPERLINK("https://klasma.github.io/Logging_0686/tillsynsmail/A 4446-2023 tillsynsbegäran mail.docx", "A 4446-2023")</f>
        <v/>
      </c>
    </row>
    <row r="33" ht="15" customHeight="1">
      <c r="A33" t="inlineStr">
        <is>
          <t>A 41746-2023</t>
        </is>
      </c>
      <c r="B33" s="1" t="n">
        <v>45176</v>
      </c>
      <c r="C33" s="1" t="n">
        <v>46199</v>
      </c>
      <c r="D33" t="inlineStr">
        <is>
          <t>JÖNKÖPINGS LÄN</t>
        </is>
      </c>
      <c r="E33" t="inlineStr">
        <is>
          <t>EKSJÖ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vattensalamander</t>
        </is>
      </c>
      <c r="S33">
        <f>HYPERLINK("https://klasma.github.io/Logging_0686/artfynd/A 41746-2023 artfynd.xlsx", "A 41746-2023")</f>
        <v/>
      </c>
      <c r="T33">
        <f>HYPERLINK("https://klasma.github.io/Logging_0686/kartor/A 41746-2023 karta.png", "A 41746-2023")</f>
        <v/>
      </c>
      <c r="V33">
        <f>HYPERLINK("https://klasma.github.io/Logging_0686/klagomål/A 41746-2023 FSC-klagomål.docx", "A 41746-2023")</f>
        <v/>
      </c>
      <c r="W33">
        <f>HYPERLINK("https://klasma.github.io/Logging_0686/klagomålsmail/A 41746-2023 FSC-klagomål mail.docx", "A 41746-2023")</f>
        <v/>
      </c>
      <c r="X33">
        <f>HYPERLINK("https://klasma.github.io/Logging_0686/tillsyn/A 41746-2023 tillsynsbegäran.docx", "A 41746-2023")</f>
        <v/>
      </c>
      <c r="Y33">
        <f>HYPERLINK("https://klasma.github.io/Logging_0686/tillsynsmail/A 41746-2023 tillsynsbegäran mail.docx", "A 41746-2023")</f>
        <v/>
      </c>
    </row>
    <row r="34" ht="15" customHeight="1">
      <c r="A34" t="inlineStr">
        <is>
          <t>A 38224-2023</t>
        </is>
      </c>
      <c r="B34" s="1" t="n">
        <v>45161</v>
      </c>
      <c r="C34" s="1" t="n">
        <v>46199</v>
      </c>
      <c r="D34" t="inlineStr">
        <is>
          <t>JÖNKÖPINGS LÄN</t>
        </is>
      </c>
      <c r="E34" t="inlineStr">
        <is>
          <t>EKSJÖ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HYPERLINK("https://klasma.github.io/Logging_0686/artfynd/A 38224-2023 artfynd.xlsx", "A 38224-2023")</f>
        <v/>
      </c>
      <c r="T34">
        <f>HYPERLINK("https://klasma.github.io/Logging_0686/kartor/A 38224-2023 karta.png", "A 38224-2023")</f>
        <v/>
      </c>
      <c r="V34">
        <f>HYPERLINK("https://klasma.github.io/Logging_0686/klagomål/A 38224-2023 FSC-klagomål.docx", "A 38224-2023")</f>
        <v/>
      </c>
      <c r="W34">
        <f>HYPERLINK("https://klasma.github.io/Logging_0686/klagomålsmail/A 38224-2023 FSC-klagomål mail.docx", "A 38224-2023")</f>
        <v/>
      </c>
      <c r="X34">
        <f>HYPERLINK("https://klasma.github.io/Logging_0686/tillsyn/A 38224-2023 tillsynsbegäran.docx", "A 38224-2023")</f>
        <v/>
      </c>
      <c r="Y34">
        <f>HYPERLINK("https://klasma.github.io/Logging_0686/tillsynsmail/A 38224-2023 tillsynsbegäran mail.docx", "A 38224-2023")</f>
        <v/>
      </c>
    </row>
    <row r="35" ht="15" customHeight="1">
      <c r="A35" t="inlineStr">
        <is>
          <t>A 48033-2023</t>
        </is>
      </c>
      <c r="B35" s="1" t="n">
        <v>45204</v>
      </c>
      <c r="C35" s="1" t="n">
        <v>46199</v>
      </c>
      <c r="D35" t="inlineStr">
        <is>
          <t>JÖNKÖPINGS LÄN</t>
        </is>
      </c>
      <c r="E35" t="inlineStr">
        <is>
          <t>EKSJÖ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HYPERLINK("https://klasma.github.io/Logging_0686/artfynd/A 48033-2023 artfynd.xlsx", "A 48033-2023")</f>
        <v/>
      </c>
      <c r="T35">
        <f>HYPERLINK("https://klasma.github.io/Logging_0686/kartor/A 48033-2023 karta.png", "A 48033-2023")</f>
        <v/>
      </c>
      <c r="V35">
        <f>HYPERLINK("https://klasma.github.io/Logging_0686/klagomål/A 48033-2023 FSC-klagomål.docx", "A 48033-2023")</f>
        <v/>
      </c>
      <c r="W35">
        <f>HYPERLINK("https://klasma.github.io/Logging_0686/klagomålsmail/A 48033-2023 FSC-klagomål mail.docx", "A 48033-2023")</f>
        <v/>
      </c>
      <c r="X35">
        <f>HYPERLINK("https://klasma.github.io/Logging_0686/tillsyn/A 48033-2023 tillsynsbegäran.docx", "A 48033-2023")</f>
        <v/>
      </c>
      <c r="Y35">
        <f>HYPERLINK("https://klasma.github.io/Logging_0686/tillsynsmail/A 48033-2023 tillsynsbegäran mail.docx", "A 48033-2023")</f>
        <v/>
      </c>
    </row>
    <row r="36" ht="15" customHeight="1">
      <c r="A36" t="inlineStr">
        <is>
          <t>A 4964-2023</t>
        </is>
      </c>
      <c r="B36" s="1" t="n">
        <v>44958</v>
      </c>
      <c r="C36" s="1" t="n">
        <v>46199</v>
      </c>
      <c r="D36" t="inlineStr">
        <is>
          <t>JÖNKÖPINGS LÄN</t>
        </is>
      </c>
      <c r="E36" t="inlineStr">
        <is>
          <t>EKSJÖ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HYPERLINK("https://klasma.github.io/Logging_0686/artfynd/A 4964-2023 artfynd.xlsx", "A 4964-2023")</f>
        <v/>
      </c>
      <c r="T36">
        <f>HYPERLINK("https://klasma.github.io/Logging_0686/kartor/A 4964-2023 karta.png", "A 4964-2023")</f>
        <v/>
      </c>
      <c r="V36">
        <f>HYPERLINK("https://klasma.github.io/Logging_0686/klagomål/A 4964-2023 FSC-klagomål.docx", "A 4964-2023")</f>
        <v/>
      </c>
      <c r="W36">
        <f>HYPERLINK("https://klasma.github.io/Logging_0686/klagomålsmail/A 4964-2023 FSC-klagomål mail.docx", "A 4964-2023")</f>
        <v/>
      </c>
      <c r="X36">
        <f>HYPERLINK("https://klasma.github.io/Logging_0686/tillsyn/A 4964-2023 tillsynsbegäran.docx", "A 4964-2023")</f>
        <v/>
      </c>
      <c r="Y36">
        <f>HYPERLINK("https://klasma.github.io/Logging_0686/tillsynsmail/A 4964-2023 tillsynsbegäran mail.docx", "A 4964-2023")</f>
        <v/>
      </c>
    </row>
    <row r="37" ht="15" customHeight="1">
      <c r="A37" t="inlineStr">
        <is>
          <t>A 49412-2021</t>
        </is>
      </c>
      <c r="B37" s="1" t="n">
        <v>44454</v>
      </c>
      <c r="C37" s="1" t="n">
        <v>46199</v>
      </c>
      <c r="D37" t="inlineStr">
        <is>
          <t>JÖNKÖPINGS LÄN</t>
        </is>
      </c>
      <c r="E37" t="inlineStr">
        <is>
          <t>EKSJÖ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Ladusvala</t>
        </is>
      </c>
      <c r="S37">
        <f>HYPERLINK("https://klasma.github.io/Logging_0686/artfynd/A 49412-2021 artfynd.xlsx", "A 49412-2021")</f>
        <v/>
      </c>
      <c r="T37">
        <f>HYPERLINK("https://klasma.github.io/Logging_0686/kartor/A 49412-2021 karta.png", "A 49412-2021")</f>
        <v/>
      </c>
      <c r="V37">
        <f>HYPERLINK("https://klasma.github.io/Logging_0686/klagomål/A 49412-2021 FSC-klagomål.docx", "A 49412-2021")</f>
        <v/>
      </c>
      <c r="W37">
        <f>HYPERLINK("https://klasma.github.io/Logging_0686/klagomålsmail/A 49412-2021 FSC-klagomål mail.docx", "A 49412-2021")</f>
        <v/>
      </c>
      <c r="X37">
        <f>HYPERLINK("https://klasma.github.io/Logging_0686/tillsyn/A 49412-2021 tillsynsbegäran.docx", "A 49412-2021")</f>
        <v/>
      </c>
      <c r="Y37">
        <f>HYPERLINK("https://klasma.github.io/Logging_0686/tillsynsmail/A 49412-2021 tillsynsbegäran mail.docx", "A 49412-2021")</f>
        <v/>
      </c>
    </row>
    <row r="38" ht="15" customHeight="1">
      <c r="A38" t="inlineStr">
        <is>
          <t>A 56005-2022</t>
        </is>
      </c>
      <c r="B38" s="1" t="n">
        <v>44889</v>
      </c>
      <c r="C38" s="1" t="n">
        <v>46199</v>
      </c>
      <c r="D38" t="inlineStr">
        <is>
          <t>JÖNKÖPINGS LÄN</t>
        </is>
      </c>
      <c r="E38" t="inlineStr">
        <is>
          <t>EKSJÖ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32338-2022</t>
        </is>
      </c>
      <c r="B39" s="1" t="n">
        <v>44781</v>
      </c>
      <c r="C39" s="1" t="n">
        <v>46199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53109-2022</t>
        </is>
      </c>
      <c r="B40" s="1" t="n">
        <v>44873</v>
      </c>
      <c r="C40" s="1" t="n">
        <v>46199</v>
      </c>
      <c r="D40" t="inlineStr">
        <is>
          <t>JÖNKÖPINGS LÄN</t>
        </is>
      </c>
      <c r="E40" t="inlineStr">
        <is>
          <t>EKSJÖ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41532-2022</t>
        </is>
      </c>
      <c r="B41" s="1" t="n">
        <v>44827</v>
      </c>
      <c r="C41" s="1" t="n">
        <v>46199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46199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46199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46199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46199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65585-2021</t>
        </is>
      </c>
      <c r="B46" s="1" t="n">
        <v>44516</v>
      </c>
      <c r="C46" s="1" t="n">
        <v>46199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42935-2021</t>
        </is>
      </c>
      <c r="B47" s="1" t="n">
        <v>44431</v>
      </c>
      <c r="C47" s="1" t="n">
        <v>46199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33971-2022</t>
        </is>
      </c>
      <c r="B48" s="1" t="n">
        <v>44790</v>
      </c>
      <c r="C48" s="1" t="n">
        <v>46199</v>
      </c>
      <c r="D48" t="inlineStr">
        <is>
          <t>JÖNKÖPINGS LÄN</t>
        </is>
      </c>
      <c r="E48" t="inlineStr">
        <is>
          <t>EKSJÖ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34496-2022</t>
        </is>
      </c>
      <c r="B49" s="1" t="n">
        <v>44792</v>
      </c>
      <c r="C49" s="1" t="n">
        <v>46199</v>
      </c>
      <c r="D49" t="inlineStr">
        <is>
          <t>JÖNKÖPINGS LÄN</t>
        </is>
      </c>
      <c r="E49" t="inlineStr">
        <is>
          <t>EKSJÖ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9839-2022</t>
        </is>
      </c>
      <c r="B50" s="1" t="n">
        <v>44620</v>
      </c>
      <c r="C50" s="1" t="n">
        <v>46199</v>
      </c>
      <c r="D50" t="inlineStr">
        <is>
          <t>JÖNKÖPINGS LÄN</t>
        </is>
      </c>
      <c r="E50" t="inlineStr">
        <is>
          <t>EKSJÖ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57136-2021</t>
        </is>
      </c>
      <c r="B51" s="1" t="n">
        <v>44482</v>
      </c>
      <c r="C51" s="1" t="n">
        <v>46199</v>
      </c>
      <c r="D51" t="inlineStr">
        <is>
          <t>JÖNKÖPINGS LÄN</t>
        </is>
      </c>
      <c r="E51" t="inlineStr">
        <is>
          <t>EKSJÖ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46199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36599-2021</t>
        </is>
      </c>
      <c r="B53" s="1" t="n">
        <v>44391</v>
      </c>
      <c r="C53" s="1" t="n">
        <v>46199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48407-2021</t>
        </is>
      </c>
      <c r="B54" s="1" t="n">
        <v>44452</v>
      </c>
      <c r="C54" s="1" t="n">
        <v>46199</v>
      </c>
      <c r="D54" t="inlineStr">
        <is>
          <t>JÖNKÖPINGS LÄN</t>
        </is>
      </c>
      <c r="E54" t="inlineStr">
        <is>
          <t>EKSJÖ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1108-2022</t>
        </is>
      </c>
      <c r="B55" s="1" t="n">
        <v>44572</v>
      </c>
      <c r="C55" s="1" t="n">
        <v>46199</v>
      </c>
      <c r="D55" t="inlineStr">
        <is>
          <t>JÖNKÖPINGS LÄN</t>
        </is>
      </c>
      <c r="E55" t="inlineStr">
        <is>
          <t>EKSJÖ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46199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60915-2021</t>
        </is>
      </c>
      <c r="B57" s="1" t="n">
        <v>44496</v>
      </c>
      <c r="C57" s="1" t="n">
        <v>46199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51125-2021</t>
        </is>
      </c>
      <c r="B58" s="1" t="n">
        <v>44461</v>
      </c>
      <c r="C58" s="1" t="n">
        <v>46199</v>
      </c>
      <c r="D58" t="inlineStr">
        <is>
          <t>JÖNKÖPINGS LÄN</t>
        </is>
      </c>
      <c r="E58" t="inlineStr">
        <is>
          <t>EKSJÖ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47334-2022</t>
        </is>
      </c>
      <c r="B59" s="1" t="n">
        <v>44853</v>
      </c>
      <c r="C59" s="1" t="n">
        <v>46199</v>
      </c>
      <c r="D59" t="inlineStr">
        <is>
          <t>JÖNKÖPINGS LÄN</t>
        </is>
      </c>
      <c r="E59" t="inlineStr">
        <is>
          <t>EKSJÖ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28022-2022</t>
        </is>
      </c>
      <c r="B60" s="1" t="n">
        <v>44746</v>
      </c>
      <c r="C60" s="1" t="n">
        <v>46199</v>
      </c>
      <c r="D60" t="inlineStr">
        <is>
          <t>JÖNKÖPINGS LÄN</t>
        </is>
      </c>
      <c r="E60" t="inlineStr">
        <is>
          <t>EKSJÖ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13919-2022</t>
        </is>
      </c>
      <c r="B61" s="1" t="n">
        <v>44650</v>
      </c>
      <c r="C61" s="1" t="n">
        <v>46199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52294-2022</t>
        </is>
      </c>
      <c r="B62" s="1" t="n">
        <v>44873</v>
      </c>
      <c r="C62" s="1" t="n">
        <v>46199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65038-2021</t>
        </is>
      </c>
      <c r="B63" s="1" t="n">
        <v>44512</v>
      </c>
      <c r="C63" s="1" t="n">
        <v>46199</v>
      </c>
      <c r="D63" t="inlineStr">
        <is>
          <t>JÖNKÖPINGS LÄN</t>
        </is>
      </c>
      <c r="E63" t="inlineStr">
        <is>
          <t>EKSJÖ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45492-2022</t>
        </is>
      </c>
      <c r="B64" s="1" t="n">
        <v>44845</v>
      </c>
      <c r="C64" s="1" t="n">
        <v>46199</v>
      </c>
      <c r="D64" t="inlineStr">
        <is>
          <t>JÖNKÖPINGS LÄN</t>
        </is>
      </c>
      <c r="E64" t="inlineStr">
        <is>
          <t>EKSJÖ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14571-2022</t>
        </is>
      </c>
      <c r="B65" s="1" t="n">
        <v>44655</v>
      </c>
      <c r="C65" s="1" t="n">
        <v>46199</v>
      </c>
      <c r="D65" t="inlineStr">
        <is>
          <t>JÖNKÖPINGS LÄN</t>
        </is>
      </c>
      <c r="E65" t="inlineStr">
        <is>
          <t>EKSJÖ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10349-2022</t>
        </is>
      </c>
      <c r="B66" s="1" t="n">
        <v>44623</v>
      </c>
      <c r="C66" s="1" t="n">
        <v>46199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43077-2021</t>
        </is>
      </c>
      <c r="B67" s="1" t="n">
        <v>44431</v>
      </c>
      <c r="C67" s="1" t="n">
        <v>46199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32430-2022</t>
        </is>
      </c>
      <c r="B68" s="1" t="n">
        <v>44782</v>
      </c>
      <c r="C68" s="1" t="n">
        <v>46199</v>
      </c>
      <c r="D68" t="inlineStr">
        <is>
          <t>JÖNKÖPINGS LÄN</t>
        </is>
      </c>
      <c r="E68" t="inlineStr">
        <is>
          <t>EKSJÖ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26454-2022</t>
        </is>
      </c>
      <c r="B69" s="1" t="n">
        <v>44739</v>
      </c>
      <c r="C69" s="1" t="n">
        <v>46199</v>
      </c>
      <c r="D69" t="inlineStr">
        <is>
          <t>JÖNKÖPINGS LÄN</t>
        </is>
      </c>
      <c r="E69" t="inlineStr">
        <is>
          <t>EKSJÖ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</v>
      </c>
      <c r="C70" s="1" t="n">
        <v>46199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46199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</v>
      </c>
      <c r="C72" s="1" t="n">
        <v>46199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59283-2021</t>
        </is>
      </c>
      <c r="B73" s="1" t="n">
        <v>44490</v>
      </c>
      <c r="C73" s="1" t="n">
        <v>46199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73675-2021</t>
        </is>
      </c>
      <c r="B74" s="1" t="n">
        <v>44552</v>
      </c>
      <c r="C74" s="1" t="n">
        <v>46199</v>
      </c>
      <c r="D74" t="inlineStr">
        <is>
          <t>JÖNKÖPINGS LÄN</t>
        </is>
      </c>
      <c r="E74" t="inlineStr">
        <is>
          <t>EKSJÖ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56075-2021</t>
        </is>
      </c>
      <c r="B75" s="1" t="n">
        <v>44477</v>
      </c>
      <c r="C75" s="1" t="n">
        <v>46199</v>
      </c>
      <c r="D75" t="inlineStr">
        <is>
          <t>JÖNKÖPINGS LÄN</t>
        </is>
      </c>
      <c r="E75" t="inlineStr">
        <is>
          <t>EKSJÖ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51667-2021</t>
        </is>
      </c>
      <c r="B76" s="1" t="n">
        <v>44462</v>
      </c>
      <c r="C76" s="1" t="n">
        <v>46199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</v>
      </c>
      <c r="C77" s="1" t="n">
        <v>46199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46199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46199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46199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28039-2022</t>
        </is>
      </c>
      <c r="B81" s="1" t="n">
        <v>44746</v>
      </c>
      <c r="C81" s="1" t="n">
        <v>46199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65645-2021</t>
        </is>
      </c>
      <c r="B82" s="1" t="n">
        <v>44516</v>
      </c>
      <c r="C82" s="1" t="n">
        <v>46199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4818-2022</t>
        </is>
      </c>
      <c r="B83" s="1" t="n">
        <v>44592</v>
      </c>
      <c r="C83" s="1" t="n">
        <v>46199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9436-2022</t>
        </is>
      </c>
      <c r="B84" s="1" t="n">
        <v>44616</v>
      </c>
      <c r="C84" s="1" t="n">
        <v>46199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20890-2022</t>
        </is>
      </c>
      <c r="B85" s="1" t="n">
        <v>44701</v>
      </c>
      <c r="C85" s="1" t="n">
        <v>46199</v>
      </c>
      <c r="D85" t="inlineStr">
        <is>
          <t>JÖNKÖPINGS LÄN</t>
        </is>
      </c>
      <c r="E85" t="inlineStr">
        <is>
          <t>EKSJÖ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46199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33396-2021</t>
        </is>
      </c>
      <c r="B87" s="1" t="n">
        <v>44377</v>
      </c>
      <c r="C87" s="1" t="n">
        <v>46199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54700-2022</t>
        </is>
      </c>
      <c r="B88" s="1" t="n">
        <v>44883</v>
      </c>
      <c r="C88" s="1" t="n">
        <v>46199</v>
      </c>
      <c r="D88" t="inlineStr">
        <is>
          <t>JÖNKÖPINGS LÄN</t>
        </is>
      </c>
      <c r="E88" t="inlineStr">
        <is>
          <t>EKSJÖ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26704-2022</t>
        </is>
      </c>
      <c r="B89" s="1" t="n">
        <v>44739</v>
      </c>
      <c r="C89" s="1" t="n">
        <v>46199</v>
      </c>
      <c r="D89" t="inlineStr">
        <is>
          <t>JÖNKÖPINGS LÄN</t>
        </is>
      </c>
      <c r="E89" t="inlineStr">
        <is>
          <t>EKSJÖ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52817-2021</t>
        </is>
      </c>
      <c r="B90" s="1" t="n">
        <v>44467</v>
      </c>
      <c r="C90" s="1" t="n">
        <v>46199</v>
      </c>
      <c r="D90" t="inlineStr">
        <is>
          <t>JÖNKÖPINGS LÄN</t>
        </is>
      </c>
      <c r="E90" t="inlineStr">
        <is>
          <t>EKSJÖ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</v>
      </c>
      <c r="C91" s="1" t="n">
        <v>46199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46199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67308-2021</t>
        </is>
      </c>
      <c r="B93" s="1" t="n">
        <v>44523</v>
      </c>
      <c r="C93" s="1" t="n">
        <v>46199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</v>
      </c>
      <c r="C94" s="1" t="n">
        <v>46199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</v>
      </c>
      <c r="C95" s="1" t="n">
        <v>46199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</v>
      </c>
      <c r="C96" s="1" t="n">
        <v>46199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66930-2021</t>
        </is>
      </c>
      <c r="B97" s="1" t="n">
        <v>44522</v>
      </c>
      <c r="C97" s="1" t="n">
        <v>46199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8335-2022</t>
        </is>
      </c>
      <c r="B98" s="1" t="n">
        <v>44610</v>
      </c>
      <c r="C98" s="1" t="n">
        <v>46199</v>
      </c>
      <c r="D98" t="inlineStr">
        <is>
          <t>JÖNKÖPINGS LÄN</t>
        </is>
      </c>
      <c r="E98" t="inlineStr">
        <is>
          <t>EKSJÖ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46199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56471-2021</t>
        </is>
      </c>
      <c r="B100" s="1" t="n">
        <v>44480</v>
      </c>
      <c r="C100" s="1" t="n">
        <v>46199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39277-2022</t>
        </is>
      </c>
      <c r="B101" s="1" t="n">
        <v>44817</v>
      </c>
      <c r="C101" s="1" t="n">
        <v>46199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46199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41791-2021</t>
        </is>
      </c>
      <c r="B103" s="1" t="n">
        <v>44425</v>
      </c>
      <c r="C103" s="1" t="n">
        <v>46199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9258-2022</t>
        </is>
      </c>
      <c r="B104" s="1" t="n">
        <v>44616</v>
      </c>
      <c r="C104" s="1" t="n">
        <v>46199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28688-2022</t>
        </is>
      </c>
      <c r="B105" s="1" t="n">
        <v>44748</v>
      </c>
      <c r="C105" s="1" t="n">
        <v>46199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11418-2022</t>
        </is>
      </c>
      <c r="B106" s="1" t="n">
        <v>44630</v>
      </c>
      <c r="C106" s="1" t="n">
        <v>46199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53564-2022</t>
        </is>
      </c>
      <c r="B107" s="1" t="n">
        <v>44879</v>
      </c>
      <c r="C107" s="1" t="n">
        <v>46199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</v>
      </c>
      <c r="C108" s="1" t="n">
        <v>46199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9441-2022</t>
        </is>
      </c>
      <c r="B109" s="1" t="n">
        <v>44616</v>
      </c>
      <c r="C109" s="1" t="n">
        <v>46199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10926-2023</t>
        </is>
      </c>
      <c r="B110" s="1" t="n">
        <v>44991</v>
      </c>
      <c r="C110" s="1" t="n">
        <v>46199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5608-2024</t>
        </is>
      </c>
      <c r="B111" s="1" t="n">
        <v>45334</v>
      </c>
      <c r="C111" s="1" t="n">
        <v>46199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5627-2024</t>
        </is>
      </c>
      <c r="B112" s="1" t="n">
        <v>45334</v>
      </c>
      <c r="C112" s="1" t="n">
        <v>46199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5638-2024</t>
        </is>
      </c>
      <c r="B113" s="1" t="n">
        <v>45334</v>
      </c>
      <c r="C113" s="1" t="n">
        <v>46199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5640-2024</t>
        </is>
      </c>
      <c r="B114" s="1" t="n">
        <v>45334</v>
      </c>
      <c r="C114" s="1" t="n">
        <v>46199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43411-2022</t>
        </is>
      </c>
      <c r="B115" s="1" t="n">
        <v>44834</v>
      </c>
      <c r="C115" s="1" t="n">
        <v>46199</v>
      </c>
      <c r="D115" t="inlineStr">
        <is>
          <t>JÖNKÖPINGS LÄN</t>
        </is>
      </c>
      <c r="E115" t="inlineStr">
        <is>
          <t>EKSJÖ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9845-2025</t>
        </is>
      </c>
      <c r="B116" s="1" t="n">
        <v>45716</v>
      </c>
      <c r="C116" s="1" t="n">
        <v>46199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43483-2023</t>
        </is>
      </c>
      <c r="B117" s="1" t="n">
        <v>45184</v>
      </c>
      <c r="C117" s="1" t="n">
        <v>46199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19468-2023</t>
        </is>
      </c>
      <c r="B118" s="1" t="n">
        <v>45049</v>
      </c>
      <c r="C118" s="1" t="n">
        <v>46199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54255-2023</t>
        </is>
      </c>
      <c r="B119" s="1" t="n">
        <v>45232</v>
      </c>
      <c r="C119" s="1" t="n">
        <v>46199</v>
      </c>
      <c r="D119" t="inlineStr">
        <is>
          <t>JÖNKÖPINGS LÄN</t>
        </is>
      </c>
      <c r="E119" t="inlineStr">
        <is>
          <t>EKSJÖ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10169-2025</t>
        </is>
      </c>
      <c r="B120" s="1" t="n">
        <v>45719</v>
      </c>
      <c r="C120" s="1" t="n">
        <v>46199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23535-2023</t>
        </is>
      </c>
      <c r="B121" s="1" t="n">
        <v>45076</v>
      </c>
      <c r="C121" s="1" t="n">
        <v>46199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32344-2024</t>
        </is>
      </c>
      <c r="B122" s="1" t="n">
        <v>45512</v>
      </c>
      <c r="C122" s="1" t="n">
        <v>46199</v>
      </c>
      <c r="D122" t="inlineStr">
        <is>
          <t>JÖNKÖPINGS LÄN</t>
        </is>
      </c>
      <c r="E122" t="inlineStr">
        <is>
          <t>EKSJÖ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5530-2024</t>
        </is>
      </c>
      <c r="B123" s="1" t="n">
        <v>45334</v>
      </c>
      <c r="C123" s="1" t="n">
        <v>46199</v>
      </c>
      <c r="D123" t="inlineStr">
        <is>
          <t>JÖNKÖPINGS LÄN</t>
        </is>
      </c>
      <c r="E123" t="inlineStr">
        <is>
          <t>EKSJÖ</t>
        </is>
      </c>
      <c r="F123" t="inlineStr">
        <is>
          <t>Kommuner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8571-2024</t>
        </is>
      </c>
      <c r="B124" s="1" t="n">
        <v>45355</v>
      </c>
      <c r="C124" s="1" t="n">
        <v>46199</v>
      </c>
      <c r="D124" t="inlineStr">
        <is>
          <t>JÖNKÖPINGS LÄN</t>
        </is>
      </c>
      <c r="E124" t="inlineStr">
        <is>
          <t>EKSJÖ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14424-2025</t>
        </is>
      </c>
      <c r="B125" s="1" t="n">
        <v>45741</v>
      </c>
      <c r="C125" s="1" t="n">
        <v>46199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14427-2025</t>
        </is>
      </c>
      <c r="B126" s="1" t="n">
        <v>45741</v>
      </c>
      <c r="C126" s="1" t="n">
        <v>46199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37519-2022</t>
        </is>
      </c>
      <c r="B127" s="1" t="n">
        <v>44809</v>
      </c>
      <c r="C127" s="1" t="n">
        <v>46199</v>
      </c>
      <c r="D127" t="inlineStr">
        <is>
          <t>JÖNKÖPINGS LÄN</t>
        </is>
      </c>
      <c r="E127" t="inlineStr">
        <is>
          <t>EKSJÖ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27077-2023</t>
        </is>
      </c>
      <c r="B128" s="1" t="n">
        <v>45096</v>
      </c>
      <c r="C128" s="1" t="n">
        <v>46199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57327-2023</t>
        </is>
      </c>
      <c r="B129" s="1" t="n">
        <v>45245</v>
      </c>
      <c r="C129" s="1" t="n">
        <v>46199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42469-2023</t>
        </is>
      </c>
      <c r="B130" s="1" t="n">
        <v>45175</v>
      </c>
      <c r="C130" s="1" t="n">
        <v>46199</v>
      </c>
      <c r="D130" t="inlineStr">
        <is>
          <t>JÖNKÖPINGS LÄN</t>
        </is>
      </c>
      <c r="E130" t="inlineStr">
        <is>
          <t>EKSJÖ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56491-2025</t>
        </is>
      </c>
      <c r="B131" s="1" t="n">
        <v>45975</v>
      </c>
      <c r="C131" s="1" t="n">
        <v>46199</v>
      </c>
      <c r="D131" t="inlineStr">
        <is>
          <t>JÖNKÖPINGS LÄN</t>
        </is>
      </c>
      <c r="E131" t="inlineStr">
        <is>
          <t>EKSJÖ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7723-2025</t>
        </is>
      </c>
      <c r="B132" s="1" t="n">
        <v>45706</v>
      </c>
      <c r="C132" s="1" t="n">
        <v>46199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56689-2021</t>
        </is>
      </c>
      <c r="B133" s="1" t="n">
        <v>44481</v>
      </c>
      <c r="C133" s="1" t="n">
        <v>46199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22574-2025</t>
        </is>
      </c>
      <c r="B134" s="1" t="n">
        <v>45786</v>
      </c>
      <c r="C134" s="1" t="n">
        <v>46199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800-2024</t>
        </is>
      </c>
      <c r="B135" s="1" t="n">
        <v>45300</v>
      </c>
      <c r="C135" s="1" t="n">
        <v>46199</v>
      </c>
      <c r="D135" t="inlineStr">
        <is>
          <t>JÖNKÖPINGS LÄN</t>
        </is>
      </c>
      <c r="E135" t="inlineStr">
        <is>
          <t>EKSJÖ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22987-2025</t>
        </is>
      </c>
      <c r="B136" s="1" t="n">
        <v>45790</v>
      </c>
      <c r="C136" s="1" t="n">
        <v>46199</v>
      </c>
      <c r="D136" t="inlineStr">
        <is>
          <t>JÖNKÖPINGS LÄN</t>
        </is>
      </c>
      <c r="E136" t="inlineStr">
        <is>
          <t>EKSJÖ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7585-2025</t>
        </is>
      </c>
      <c r="B137" s="1" t="n">
        <v>45705</v>
      </c>
      <c r="C137" s="1" t="n">
        <v>46199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35253-2024</t>
        </is>
      </c>
      <c r="B138" s="1" t="n">
        <v>45530</v>
      </c>
      <c r="C138" s="1" t="n">
        <v>46199</v>
      </c>
      <c r="D138" t="inlineStr">
        <is>
          <t>JÖNKÖPINGS LÄN</t>
        </is>
      </c>
      <c r="E138" t="inlineStr">
        <is>
          <t>EKSJÖ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11007-2024</t>
        </is>
      </c>
      <c r="B139" s="1" t="n">
        <v>45370</v>
      </c>
      <c r="C139" s="1" t="n">
        <v>46199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23386-2025</t>
        </is>
      </c>
      <c r="B140" s="1" t="n">
        <v>45791</v>
      </c>
      <c r="C140" s="1" t="n">
        <v>46199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46012-2022</t>
        </is>
      </c>
      <c r="B141" s="1" t="n">
        <v>44846</v>
      </c>
      <c r="C141" s="1" t="n">
        <v>46199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46017-2022</t>
        </is>
      </c>
      <c r="B142" s="1" t="n">
        <v>44846</v>
      </c>
      <c r="C142" s="1" t="n">
        <v>46199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23387-2025</t>
        </is>
      </c>
      <c r="B143" s="1" t="n">
        <v>45791</v>
      </c>
      <c r="C143" s="1" t="n">
        <v>46199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57202-2025</t>
        </is>
      </c>
      <c r="B144" s="1" t="n">
        <v>45979</v>
      </c>
      <c r="C144" s="1" t="n">
        <v>46199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45743-2024</t>
        </is>
      </c>
      <c r="B145" s="1" t="n">
        <v>45579</v>
      </c>
      <c r="C145" s="1" t="n">
        <v>46199</v>
      </c>
      <c r="D145" t="inlineStr">
        <is>
          <t>JÖNKÖPINGS LÄN</t>
        </is>
      </c>
      <c r="E145" t="inlineStr">
        <is>
          <t>EKSJÖ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33936-2021</t>
        </is>
      </c>
      <c r="B146" s="1" t="n">
        <v>44378</v>
      </c>
      <c r="C146" s="1" t="n">
        <v>46199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36069-2024</t>
        </is>
      </c>
      <c r="B147" s="1" t="n">
        <v>45533</v>
      </c>
      <c r="C147" s="1" t="n">
        <v>46199</v>
      </c>
      <c r="D147" t="inlineStr">
        <is>
          <t>JÖNKÖPINGS LÄN</t>
        </is>
      </c>
      <c r="E147" t="inlineStr">
        <is>
          <t>EKSJÖ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8070-2023</t>
        </is>
      </c>
      <c r="B148" s="1" t="n">
        <v>44974</v>
      </c>
      <c r="C148" s="1" t="n">
        <v>46199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14366-2025</t>
        </is>
      </c>
      <c r="B149" s="1" t="n">
        <v>45741</v>
      </c>
      <c r="C149" s="1" t="n">
        <v>46199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32362-2025</t>
        </is>
      </c>
      <c r="B150" s="1" t="n">
        <v>45837</v>
      </c>
      <c r="C150" s="1" t="n">
        <v>46199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11957-2025</t>
        </is>
      </c>
      <c r="B151" s="1" t="n">
        <v>45728</v>
      </c>
      <c r="C151" s="1" t="n">
        <v>46199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11669-2025</t>
        </is>
      </c>
      <c r="B152" s="1" t="n">
        <v>45727</v>
      </c>
      <c r="C152" s="1" t="n">
        <v>46199</v>
      </c>
      <c r="D152" t="inlineStr">
        <is>
          <t>JÖNKÖPINGS LÄN</t>
        </is>
      </c>
      <c r="E152" t="inlineStr">
        <is>
          <t>EKSJÖ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14813-2025</t>
        </is>
      </c>
      <c r="B153" s="1" t="n">
        <v>45743</v>
      </c>
      <c r="C153" s="1" t="n">
        <v>46199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14382-2025</t>
        </is>
      </c>
      <c r="B154" s="1" t="n">
        <v>45741</v>
      </c>
      <c r="C154" s="1" t="n">
        <v>46199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56322-2021</t>
        </is>
      </c>
      <c r="B155" s="1" t="n">
        <v>44477</v>
      </c>
      <c r="C155" s="1" t="n">
        <v>46199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57802-2025</t>
        </is>
      </c>
      <c r="B156" s="1" t="n">
        <v>45981</v>
      </c>
      <c r="C156" s="1" t="n">
        <v>46199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58989-2022</t>
        </is>
      </c>
      <c r="B157" s="1" t="n">
        <v>44903</v>
      </c>
      <c r="C157" s="1" t="n">
        <v>46199</v>
      </c>
      <c r="D157" t="inlineStr">
        <is>
          <t>JÖNKÖPINGS LÄN</t>
        </is>
      </c>
      <c r="E157" t="inlineStr">
        <is>
          <t>EKSJÖ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34117-2025</t>
        </is>
      </c>
      <c r="B158" s="1" t="n">
        <v>45845</v>
      </c>
      <c r="C158" s="1" t="n">
        <v>46199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36042-2024</t>
        </is>
      </c>
      <c r="B159" s="1" t="n">
        <v>45533</v>
      </c>
      <c r="C159" s="1" t="n">
        <v>46199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14817-2025</t>
        </is>
      </c>
      <c r="B160" s="1" t="n">
        <v>45743</v>
      </c>
      <c r="C160" s="1" t="n">
        <v>46199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33132-2025</t>
        </is>
      </c>
      <c r="B161" s="1" t="n">
        <v>45840</v>
      </c>
      <c r="C161" s="1" t="n">
        <v>46199</v>
      </c>
      <c r="D161" t="inlineStr">
        <is>
          <t>JÖNKÖPINGS LÄN</t>
        </is>
      </c>
      <c r="E161" t="inlineStr">
        <is>
          <t>EKSJÖ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14355-2025</t>
        </is>
      </c>
      <c r="B162" s="1" t="n">
        <v>45741</v>
      </c>
      <c r="C162" s="1" t="n">
        <v>46199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14376-2025</t>
        </is>
      </c>
      <c r="B163" s="1" t="n">
        <v>45741</v>
      </c>
      <c r="C163" s="1" t="n">
        <v>46199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11345-2025</t>
        </is>
      </c>
      <c r="B164" s="1" t="n">
        <v>45726</v>
      </c>
      <c r="C164" s="1" t="n">
        <v>46199</v>
      </c>
      <c r="D164" t="inlineStr">
        <is>
          <t>JÖNKÖPINGS LÄN</t>
        </is>
      </c>
      <c r="E164" t="inlineStr">
        <is>
          <t>EKSJÖ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29653-2025</t>
        </is>
      </c>
      <c r="B165" s="1" t="n">
        <v>45825</v>
      </c>
      <c r="C165" s="1" t="n">
        <v>46199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50165-2022</t>
        </is>
      </c>
      <c r="B166" s="1" t="n">
        <v>44865</v>
      </c>
      <c r="C166" s="1" t="n">
        <v>46199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36873-2023</t>
        </is>
      </c>
      <c r="B167" s="1" t="n">
        <v>45154</v>
      </c>
      <c r="C167" s="1" t="n">
        <v>46199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2348-2023</t>
        </is>
      </c>
      <c r="B168" s="1" t="n">
        <v>44942</v>
      </c>
      <c r="C168" s="1" t="n">
        <v>46199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56039-2024</t>
        </is>
      </c>
      <c r="B169" s="1" t="n">
        <v>45624</v>
      </c>
      <c r="C169" s="1" t="n">
        <v>46199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41038-2025</t>
        </is>
      </c>
      <c r="B170" s="1" t="n">
        <v>45898</v>
      </c>
      <c r="C170" s="1" t="n">
        <v>46199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30931-2023</t>
        </is>
      </c>
      <c r="B171" s="1" t="n">
        <v>45113</v>
      </c>
      <c r="C171" s="1" t="n">
        <v>46199</v>
      </c>
      <c r="D171" t="inlineStr">
        <is>
          <t>JÖNKÖPINGS LÄN</t>
        </is>
      </c>
      <c r="E171" t="inlineStr">
        <is>
          <t>EKSJÖ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41035-2025</t>
        </is>
      </c>
      <c r="B172" s="1" t="n">
        <v>45898</v>
      </c>
      <c r="C172" s="1" t="n">
        <v>46199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45911-2023</t>
        </is>
      </c>
      <c r="B173" s="1" t="n">
        <v>45195</v>
      </c>
      <c r="C173" s="1" t="n">
        <v>46199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58307-2025</t>
        </is>
      </c>
      <c r="B174" s="1" t="n">
        <v>45985</v>
      </c>
      <c r="C174" s="1" t="n">
        <v>46199</v>
      </c>
      <c r="D174" t="inlineStr">
        <is>
          <t>JÖNKÖPINGS LÄN</t>
        </is>
      </c>
      <c r="E174" t="inlineStr">
        <is>
          <t>EKSJÖ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5528-2024</t>
        </is>
      </c>
      <c r="B175" s="1" t="n">
        <v>45334</v>
      </c>
      <c r="C175" s="1" t="n">
        <v>46199</v>
      </c>
      <c r="D175" t="inlineStr">
        <is>
          <t>JÖNKÖPINGS LÄN</t>
        </is>
      </c>
      <c r="E175" t="inlineStr">
        <is>
          <t>EKSJÖ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5587-2024</t>
        </is>
      </c>
      <c r="B176" s="1" t="n">
        <v>45334</v>
      </c>
      <c r="C176" s="1" t="n">
        <v>46199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13735-2025</t>
        </is>
      </c>
      <c r="B177" s="1" t="n">
        <v>45737</v>
      </c>
      <c r="C177" s="1" t="n">
        <v>46199</v>
      </c>
      <c r="D177" t="inlineStr">
        <is>
          <t>JÖNKÖPINGS LÄN</t>
        </is>
      </c>
      <c r="E177" t="inlineStr">
        <is>
          <t>EKSJÖ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32361-2025</t>
        </is>
      </c>
      <c r="B178" s="1" t="n">
        <v>45837</v>
      </c>
      <c r="C178" s="1" t="n">
        <v>46199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58308-2025</t>
        </is>
      </c>
      <c r="B179" s="1" t="n">
        <v>45985</v>
      </c>
      <c r="C179" s="1" t="n">
        <v>46199</v>
      </c>
      <c r="D179" t="inlineStr">
        <is>
          <t>JÖNKÖPINGS LÄN</t>
        </is>
      </c>
      <c r="E179" t="inlineStr">
        <is>
          <t>EKSJÖ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42897-2025</t>
        </is>
      </c>
      <c r="B180" s="1" t="n">
        <v>45908</v>
      </c>
      <c r="C180" s="1" t="n">
        <v>46199</v>
      </c>
      <c r="D180" t="inlineStr">
        <is>
          <t>JÖNKÖPINGS LÄN</t>
        </is>
      </c>
      <c r="E180" t="inlineStr">
        <is>
          <t>EKSJÖ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34173-2024</t>
        </is>
      </c>
      <c r="B181" s="1" t="n">
        <v>45524</v>
      </c>
      <c r="C181" s="1" t="n">
        <v>46199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35256-2024</t>
        </is>
      </c>
      <c r="B182" s="1" t="n">
        <v>45530</v>
      </c>
      <c r="C182" s="1" t="n">
        <v>46199</v>
      </c>
      <c r="D182" t="inlineStr">
        <is>
          <t>JÖNKÖPINGS LÄN</t>
        </is>
      </c>
      <c r="E182" t="inlineStr">
        <is>
          <t>EKSJÖ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50498-2022</t>
        </is>
      </c>
      <c r="B183" s="1" t="n">
        <v>44861</v>
      </c>
      <c r="C183" s="1" t="n">
        <v>46199</v>
      </c>
      <c r="D183" t="inlineStr">
        <is>
          <t>JÖNKÖPINGS LÄN</t>
        </is>
      </c>
      <c r="E183" t="inlineStr">
        <is>
          <t>EKSJÖ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26306-2023</t>
        </is>
      </c>
      <c r="B184" s="1" t="n">
        <v>45091</v>
      </c>
      <c r="C184" s="1" t="n">
        <v>46199</v>
      </c>
      <c r="D184" t="inlineStr">
        <is>
          <t>JÖNKÖPINGS LÄN</t>
        </is>
      </c>
      <c r="E184" t="inlineStr">
        <is>
          <t>EKSJÖ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29773-2024</t>
        </is>
      </c>
      <c r="B185" s="1" t="n">
        <v>45485</v>
      </c>
      <c r="C185" s="1" t="n">
        <v>46199</v>
      </c>
      <c r="D185" t="inlineStr">
        <is>
          <t>JÖNKÖPINGS LÄN</t>
        </is>
      </c>
      <c r="E185" t="inlineStr">
        <is>
          <t>EKSJÖ</t>
        </is>
      </c>
      <c r="F185" t="inlineStr">
        <is>
          <t>Övriga Aktiebolag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19856-2025</t>
        </is>
      </c>
      <c r="B186" s="1" t="n">
        <v>45771</v>
      </c>
      <c r="C186" s="1" t="n">
        <v>46199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43587-2025</t>
        </is>
      </c>
      <c r="B187" s="1" t="n">
        <v>45911</v>
      </c>
      <c r="C187" s="1" t="n">
        <v>46199</v>
      </c>
      <c r="D187" t="inlineStr">
        <is>
          <t>JÖNKÖPINGS LÄN</t>
        </is>
      </c>
      <c r="E187" t="inlineStr">
        <is>
          <t>EKSJÖ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43568-2025</t>
        </is>
      </c>
      <c r="B188" s="1" t="n">
        <v>45911</v>
      </c>
      <c r="C188" s="1" t="n">
        <v>46199</v>
      </c>
      <c r="D188" t="inlineStr">
        <is>
          <t>JÖNKÖPINGS LÄN</t>
        </is>
      </c>
      <c r="E188" t="inlineStr">
        <is>
          <t>EKSJÖ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43586-2025</t>
        </is>
      </c>
      <c r="B189" s="1" t="n">
        <v>45911</v>
      </c>
      <c r="C189" s="1" t="n">
        <v>46199</v>
      </c>
      <c r="D189" t="inlineStr">
        <is>
          <t>JÖNKÖPINGS LÄN</t>
        </is>
      </c>
      <c r="E189" t="inlineStr">
        <is>
          <t>EKSJÖ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27089-2025</t>
        </is>
      </c>
      <c r="B190" s="1" t="n">
        <v>45811</v>
      </c>
      <c r="C190" s="1" t="n">
        <v>46199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43407-2025</t>
        </is>
      </c>
      <c r="B191" s="1" t="n">
        <v>45911</v>
      </c>
      <c r="C191" s="1" t="n">
        <v>46199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43584-2025</t>
        </is>
      </c>
      <c r="B192" s="1" t="n">
        <v>45911</v>
      </c>
      <c r="C192" s="1" t="n">
        <v>46199</v>
      </c>
      <c r="D192" t="inlineStr">
        <is>
          <t>JÖNKÖPINGS LÄN</t>
        </is>
      </c>
      <c r="E192" t="inlineStr">
        <is>
          <t>EKSJÖ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43561-2025</t>
        </is>
      </c>
      <c r="B193" s="1" t="n">
        <v>45911</v>
      </c>
      <c r="C193" s="1" t="n">
        <v>46199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44521-2025</t>
        </is>
      </c>
      <c r="B194" s="1" t="n">
        <v>45916</v>
      </c>
      <c r="C194" s="1" t="n">
        <v>46199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44526-2025</t>
        </is>
      </c>
      <c r="B195" s="1" t="n">
        <v>45916</v>
      </c>
      <c r="C195" s="1" t="n">
        <v>46199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44293-2025</t>
        </is>
      </c>
      <c r="B196" s="1" t="n">
        <v>45916</v>
      </c>
      <c r="C196" s="1" t="n">
        <v>46199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44090-2025</t>
        </is>
      </c>
      <c r="B197" s="1" t="n">
        <v>45915</v>
      </c>
      <c r="C197" s="1" t="n">
        <v>46199</v>
      </c>
      <c r="D197" t="inlineStr">
        <is>
          <t>JÖNKÖPINGS LÄN</t>
        </is>
      </c>
      <c r="E197" t="inlineStr">
        <is>
          <t>EKSJÖ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36070-2024</t>
        </is>
      </c>
      <c r="B198" s="1" t="n">
        <v>45533</v>
      </c>
      <c r="C198" s="1" t="n">
        <v>46199</v>
      </c>
      <c r="D198" t="inlineStr">
        <is>
          <t>JÖNKÖPINGS LÄN</t>
        </is>
      </c>
      <c r="E198" t="inlineStr">
        <is>
          <t>EKSJÖ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6236-2022</t>
        </is>
      </c>
      <c r="B199" s="1" t="n">
        <v>44600</v>
      </c>
      <c r="C199" s="1" t="n">
        <v>46199</v>
      </c>
      <c r="D199" t="inlineStr">
        <is>
          <t>JÖNKÖPINGS LÄN</t>
        </is>
      </c>
      <c r="E199" t="inlineStr">
        <is>
          <t>EKSJÖ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28465-2025</t>
        </is>
      </c>
      <c r="B200" s="1" t="n">
        <v>45819</v>
      </c>
      <c r="C200" s="1" t="n">
        <v>46199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28441-2025</t>
        </is>
      </c>
      <c r="B201" s="1" t="n">
        <v>45819</v>
      </c>
      <c r="C201" s="1" t="n">
        <v>46199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46127-2025</t>
        </is>
      </c>
      <c r="B202" s="1" t="n">
        <v>45924</v>
      </c>
      <c r="C202" s="1" t="n">
        <v>46199</v>
      </c>
      <c r="D202" t="inlineStr">
        <is>
          <t>JÖNKÖPINGS LÄN</t>
        </is>
      </c>
      <c r="E202" t="inlineStr">
        <is>
          <t>EKSJÖ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59961-2022</t>
        </is>
      </c>
      <c r="B203" s="1" t="n">
        <v>44909</v>
      </c>
      <c r="C203" s="1" t="n">
        <v>46199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38040-2024</t>
        </is>
      </c>
      <c r="B204" s="1" t="n">
        <v>45544</v>
      </c>
      <c r="C204" s="1" t="n">
        <v>46199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59673-2025</t>
        </is>
      </c>
      <c r="B205" s="1" t="n">
        <v>45992</v>
      </c>
      <c r="C205" s="1" t="n">
        <v>46199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59655-2025</t>
        </is>
      </c>
      <c r="B206" s="1" t="n">
        <v>45992</v>
      </c>
      <c r="C206" s="1" t="n">
        <v>46199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59050-2021</t>
        </is>
      </c>
      <c r="B207" s="1" t="n">
        <v>44490</v>
      </c>
      <c r="C207" s="1" t="n">
        <v>46199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46134-2025</t>
        </is>
      </c>
      <c r="B208" s="1" t="n">
        <v>45924</v>
      </c>
      <c r="C208" s="1" t="n">
        <v>46199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59665-2025</t>
        </is>
      </c>
      <c r="B209" s="1" t="n">
        <v>45992</v>
      </c>
      <c r="C209" s="1" t="n">
        <v>46199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59564-2025</t>
        </is>
      </c>
      <c r="B210" s="1" t="n">
        <v>45991</v>
      </c>
      <c r="C210" s="1" t="n">
        <v>46199</v>
      </c>
      <c r="D210" t="inlineStr">
        <is>
          <t>JÖNKÖPINGS LÄN</t>
        </is>
      </c>
      <c r="E210" t="inlineStr">
        <is>
          <t>EKSJÖ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30137-2025</t>
        </is>
      </c>
      <c r="B211" s="1" t="n">
        <v>45826</v>
      </c>
      <c r="C211" s="1" t="n">
        <v>46199</v>
      </c>
      <c r="D211" t="inlineStr">
        <is>
          <t>JÖNKÖPINGS LÄN</t>
        </is>
      </c>
      <c r="E211" t="inlineStr">
        <is>
          <t>EKSJÖ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36505-2024</t>
        </is>
      </c>
      <c r="B212" s="1" t="n">
        <v>45537</v>
      </c>
      <c r="C212" s="1" t="n">
        <v>46199</v>
      </c>
      <c r="D212" t="inlineStr">
        <is>
          <t>JÖNKÖPINGS LÄN</t>
        </is>
      </c>
      <c r="E212" t="inlineStr">
        <is>
          <t>EKSJÖ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40689-2024</t>
        </is>
      </c>
      <c r="B213" s="1" t="n">
        <v>45558</v>
      </c>
      <c r="C213" s="1" t="n">
        <v>46199</v>
      </c>
      <c r="D213" t="inlineStr">
        <is>
          <t>JÖNKÖPINGS LÄN</t>
        </is>
      </c>
      <c r="E213" t="inlineStr">
        <is>
          <t>EKSJÖ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60920-2025</t>
        </is>
      </c>
      <c r="B214" s="1" t="n">
        <v>45996</v>
      </c>
      <c r="C214" s="1" t="n">
        <v>46199</v>
      </c>
      <c r="D214" t="inlineStr">
        <is>
          <t>JÖNKÖPINGS LÄN</t>
        </is>
      </c>
      <c r="E214" t="inlineStr">
        <is>
          <t>EKSJÖ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50299-2023</t>
        </is>
      </c>
      <c r="B215" s="1" t="n">
        <v>45216</v>
      </c>
      <c r="C215" s="1" t="n">
        <v>46199</v>
      </c>
      <c r="D215" t="inlineStr">
        <is>
          <t>JÖNKÖPINGS LÄN</t>
        </is>
      </c>
      <c r="E215" t="inlineStr">
        <is>
          <t>EKSJÖ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51020-2023</t>
        </is>
      </c>
      <c r="B216" s="1" t="n">
        <v>45218</v>
      </c>
      <c r="C216" s="1" t="n">
        <v>46199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1793-2022</t>
        </is>
      </c>
      <c r="B217" s="1" t="n">
        <v>44574</v>
      </c>
      <c r="C217" s="1" t="n">
        <v>46199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41440-2024</t>
        </is>
      </c>
      <c r="B218" s="1" t="n">
        <v>45560</v>
      </c>
      <c r="C218" s="1" t="n">
        <v>46199</v>
      </c>
      <c r="D218" t="inlineStr">
        <is>
          <t>JÖNKÖPINGS LÄN</t>
        </is>
      </c>
      <c r="E218" t="inlineStr">
        <is>
          <t>EKSJÖ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32601-2024</t>
        </is>
      </c>
      <c r="B219" s="1" t="n">
        <v>45513</v>
      </c>
      <c r="C219" s="1" t="n">
        <v>46199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43588-2025</t>
        </is>
      </c>
      <c r="B220" s="1" t="n">
        <v>45911</v>
      </c>
      <c r="C220" s="1" t="n">
        <v>46199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49862-2025</t>
        </is>
      </c>
      <c r="B221" s="1" t="n">
        <v>45940</v>
      </c>
      <c r="C221" s="1" t="n">
        <v>46199</v>
      </c>
      <c r="D221" t="inlineStr">
        <is>
          <t>JÖNKÖPINGS LÄN</t>
        </is>
      </c>
      <c r="E221" t="inlineStr">
        <is>
          <t>EKSJÖ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32873-2025</t>
        </is>
      </c>
      <c r="B222" s="1" t="n">
        <v>45839</v>
      </c>
      <c r="C222" s="1" t="n">
        <v>46199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33614-2025</t>
        </is>
      </c>
      <c r="B223" s="1" t="n">
        <v>45841</v>
      </c>
      <c r="C223" s="1" t="n">
        <v>46199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33609-2025</t>
        </is>
      </c>
      <c r="B224" s="1" t="n">
        <v>45841</v>
      </c>
      <c r="C224" s="1" t="n">
        <v>46199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33775-2025</t>
        </is>
      </c>
      <c r="B225" s="1" t="n">
        <v>45842</v>
      </c>
      <c r="C225" s="1" t="n">
        <v>46199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62892-2025</t>
        </is>
      </c>
      <c r="B226" s="1" t="n">
        <v>46009</v>
      </c>
      <c r="C226" s="1" t="n">
        <v>46199</v>
      </c>
      <c r="D226" t="inlineStr">
        <is>
          <t>JÖNKÖPINGS LÄN</t>
        </is>
      </c>
      <c r="E226" t="inlineStr">
        <is>
          <t>EKSJÖ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62958-2025</t>
        </is>
      </c>
      <c r="B227" s="1" t="n">
        <v>46009</v>
      </c>
      <c r="C227" s="1" t="n">
        <v>46199</v>
      </c>
      <c r="D227" t="inlineStr">
        <is>
          <t>JÖNKÖPINGS LÄN</t>
        </is>
      </c>
      <c r="E227" t="inlineStr">
        <is>
          <t>EKSJÖ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63438-2025</t>
        </is>
      </c>
      <c r="B228" s="1" t="n">
        <v>46013</v>
      </c>
      <c r="C228" s="1" t="n">
        <v>46199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63643-2025</t>
        </is>
      </c>
      <c r="B229" s="1" t="n">
        <v>46014</v>
      </c>
      <c r="C229" s="1" t="n">
        <v>46199</v>
      </c>
      <c r="D229" t="inlineStr">
        <is>
          <t>JÖNKÖPINGS LÄN</t>
        </is>
      </c>
      <c r="E229" t="inlineStr">
        <is>
          <t>EKSJÖ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64106-2025</t>
        </is>
      </c>
      <c r="B230" s="1" t="n">
        <v>46013</v>
      </c>
      <c r="C230" s="1" t="n">
        <v>46199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49861-2025</t>
        </is>
      </c>
      <c r="B231" s="1" t="n">
        <v>45940</v>
      </c>
      <c r="C231" s="1" t="n">
        <v>46199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55633-2022</t>
        </is>
      </c>
      <c r="B232" s="1" t="n">
        <v>44888</v>
      </c>
      <c r="C232" s="1" t="n">
        <v>46199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16477-2024</t>
        </is>
      </c>
      <c r="B233" s="1" t="n">
        <v>45408</v>
      </c>
      <c r="C233" s="1" t="n">
        <v>46199</v>
      </c>
      <c r="D233" t="inlineStr">
        <is>
          <t>JÖNKÖPINGS LÄN</t>
        </is>
      </c>
      <c r="E233" t="inlineStr">
        <is>
          <t>EKSJÖ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34124-2025</t>
        </is>
      </c>
      <c r="B234" s="1" t="n">
        <v>45845</v>
      </c>
      <c r="C234" s="1" t="n">
        <v>46199</v>
      </c>
      <c r="D234" t="inlineStr">
        <is>
          <t>JÖNKÖPINGS LÄN</t>
        </is>
      </c>
      <c r="E234" t="inlineStr">
        <is>
          <t>EKSJÖ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33970-2025</t>
        </is>
      </c>
      <c r="B235" s="1" t="n">
        <v>45842</v>
      </c>
      <c r="C235" s="1" t="n">
        <v>46199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50289-2025</t>
        </is>
      </c>
      <c r="B236" s="1" t="n">
        <v>45944</v>
      </c>
      <c r="C236" s="1" t="n">
        <v>46199</v>
      </c>
      <c r="D236" t="inlineStr">
        <is>
          <t>JÖNKÖPINGS LÄN</t>
        </is>
      </c>
      <c r="E236" t="inlineStr">
        <is>
          <t>EKSJÖ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50804-2025</t>
        </is>
      </c>
      <c r="B237" s="1" t="n">
        <v>45946</v>
      </c>
      <c r="C237" s="1" t="n">
        <v>46199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50378-2025</t>
        </is>
      </c>
      <c r="B238" s="1" t="n">
        <v>45944</v>
      </c>
      <c r="C238" s="1" t="n">
        <v>46199</v>
      </c>
      <c r="D238" t="inlineStr">
        <is>
          <t>JÖNKÖPINGS LÄN</t>
        </is>
      </c>
      <c r="E238" t="inlineStr">
        <is>
          <t>EKSJÖ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8057-2023</t>
        </is>
      </c>
      <c r="B239" s="1" t="n">
        <v>44974</v>
      </c>
      <c r="C239" s="1" t="n">
        <v>46199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6033-2025</t>
        </is>
      </c>
      <c r="B240" s="1" t="n">
        <v>45695</v>
      </c>
      <c r="C240" s="1" t="n">
        <v>46199</v>
      </c>
      <c r="D240" t="inlineStr">
        <is>
          <t>JÖNKÖPINGS LÄN</t>
        </is>
      </c>
      <c r="E240" t="inlineStr">
        <is>
          <t>EKSJÖ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22176-2025</t>
        </is>
      </c>
      <c r="B241" s="1" t="n">
        <v>45785</v>
      </c>
      <c r="C241" s="1" t="n">
        <v>46199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50519-2025</t>
        </is>
      </c>
      <c r="B242" s="1" t="n">
        <v>45945</v>
      </c>
      <c r="C242" s="1" t="n">
        <v>46199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11474-2024</t>
        </is>
      </c>
      <c r="B243" s="1" t="n">
        <v>45372</v>
      </c>
      <c r="C243" s="1" t="n">
        <v>46199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52570-2025</t>
        </is>
      </c>
      <c r="B244" s="1" t="n">
        <v>45954</v>
      </c>
      <c r="C244" s="1" t="n">
        <v>46199</v>
      </c>
      <c r="D244" t="inlineStr">
        <is>
          <t>JÖNKÖPINGS LÄN</t>
        </is>
      </c>
      <c r="E244" t="inlineStr">
        <is>
          <t>EKSJÖ</t>
        </is>
      </c>
      <c r="F244" t="inlineStr">
        <is>
          <t>Kyrkan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52571-2025</t>
        </is>
      </c>
      <c r="B245" s="1" t="n">
        <v>45954</v>
      </c>
      <c r="C245" s="1" t="n">
        <v>46199</v>
      </c>
      <c r="D245" t="inlineStr">
        <is>
          <t>JÖNKÖPINGS LÄN</t>
        </is>
      </c>
      <c r="E245" t="inlineStr">
        <is>
          <t>EKSJÖ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52566-2025</t>
        </is>
      </c>
      <c r="B246" s="1" t="n">
        <v>45954</v>
      </c>
      <c r="C246" s="1" t="n">
        <v>46199</v>
      </c>
      <c r="D246" t="inlineStr">
        <is>
          <t>JÖNKÖPINGS LÄN</t>
        </is>
      </c>
      <c r="E246" t="inlineStr">
        <is>
          <t>EKSJÖ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24928-2024</t>
        </is>
      </c>
      <c r="B247" s="1" t="n">
        <v>45461</v>
      </c>
      <c r="C247" s="1" t="n">
        <v>46199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35784-2025</t>
        </is>
      </c>
      <c r="B248" s="1" t="n">
        <v>45860</v>
      </c>
      <c r="C248" s="1" t="n">
        <v>46199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8172-2023</t>
        </is>
      </c>
      <c r="B249" s="1" t="n">
        <v>44974</v>
      </c>
      <c r="C249" s="1" t="n">
        <v>46199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10345-2022</t>
        </is>
      </c>
      <c r="B250" s="1" t="n">
        <v>44623</v>
      </c>
      <c r="C250" s="1" t="n">
        <v>46199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35785-2025</t>
        </is>
      </c>
      <c r="B251" s="1" t="n">
        <v>45860</v>
      </c>
      <c r="C251" s="1" t="n">
        <v>46199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1632-2026</t>
        </is>
      </c>
      <c r="B252" s="1" t="n">
        <v>46034</v>
      </c>
      <c r="C252" s="1" t="n">
        <v>46199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1638-2026</t>
        </is>
      </c>
      <c r="B253" s="1" t="n">
        <v>46034</v>
      </c>
      <c r="C253" s="1" t="n">
        <v>46199</v>
      </c>
      <c r="D253" t="inlineStr">
        <is>
          <t>JÖNKÖPINGS LÄN</t>
        </is>
      </c>
      <c r="E253" t="inlineStr">
        <is>
          <t>EKSJÖ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1697-2026</t>
        </is>
      </c>
      <c r="B254" s="1" t="n">
        <v>46034</v>
      </c>
      <c r="C254" s="1" t="n">
        <v>46199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1709-2026</t>
        </is>
      </c>
      <c r="B255" s="1" t="n">
        <v>46034</v>
      </c>
      <c r="C255" s="1" t="n">
        <v>46199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1564-2026</t>
        </is>
      </c>
      <c r="B256" s="1" t="n">
        <v>46034</v>
      </c>
      <c r="C256" s="1" t="n">
        <v>46199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1625-2026</t>
        </is>
      </c>
      <c r="B257" s="1" t="n">
        <v>46034</v>
      </c>
      <c r="C257" s="1" t="n">
        <v>46199</v>
      </c>
      <c r="D257" t="inlineStr">
        <is>
          <t>JÖNKÖPINGS LÄN</t>
        </is>
      </c>
      <c r="E257" t="inlineStr">
        <is>
          <t>EKSJÖ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1531-2026</t>
        </is>
      </c>
      <c r="B258" s="1" t="n">
        <v>46034</v>
      </c>
      <c r="C258" s="1" t="n">
        <v>46199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1539-2026</t>
        </is>
      </c>
      <c r="B259" s="1" t="n">
        <v>46034</v>
      </c>
      <c r="C259" s="1" t="n">
        <v>46199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1566-2026</t>
        </is>
      </c>
      <c r="B260" s="1" t="n">
        <v>46034</v>
      </c>
      <c r="C260" s="1" t="n">
        <v>46199</v>
      </c>
      <c r="D260" t="inlineStr">
        <is>
          <t>JÖNKÖPINGS LÄN</t>
        </is>
      </c>
      <c r="E260" t="inlineStr">
        <is>
          <t>EKSJÖ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12821-2024</t>
        </is>
      </c>
      <c r="B261" s="1" t="n">
        <v>45384</v>
      </c>
      <c r="C261" s="1" t="n">
        <v>46199</v>
      </c>
      <c r="D261" t="inlineStr">
        <is>
          <t>JÖNKÖPINGS LÄN</t>
        </is>
      </c>
      <c r="E261" t="inlineStr">
        <is>
          <t>EKSJÖ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1263-2026</t>
        </is>
      </c>
      <c r="B262" s="1" t="n">
        <v>46031</v>
      </c>
      <c r="C262" s="1" t="n">
        <v>46199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36148-2025</t>
        </is>
      </c>
      <c r="B263" s="1" t="n">
        <v>45866</v>
      </c>
      <c r="C263" s="1" t="n">
        <v>46199</v>
      </c>
      <c r="D263" t="inlineStr">
        <is>
          <t>JÖNKÖPINGS LÄN</t>
        </is>
      </c>
      <c r="E263" t="inlineStr">
        <is>
          <t>EKSJÖ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19491-2025</t>
        </is>
      </c>
      <c r="B264" s="1" t="n">
        <v>45770</v>
      </c>
      <c r="C264" s="1" t="n">
        <v>46199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45370-2024</t>
        </is>
      </c>
      <c r="B265" s="1" t="n">
        <v>45576</v>
      </c>
      <c r="C265" s="1" t="n">
        <v>46199</v>
      </c>
      <c r="D265" t="inlineStr">
        <is>
          <t>JÖNKÖPINGS LÄN</t>
        </is>
      </c>
      <c r="E265" t="inlineStr">
        <is>
          <t>EKSJÖ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2471-2026</t>
        </is>
      </c>
      <c r="B266" s="1" t="n">
        <v>46037</v>
      </c>
      <c r="C266" s="1" t="n">
        <v>46199</v>
      </c>
      <c r="D266" t="inlineStr">
        <is>
          <t>JÖNKÖPINGS LÄN</t>
        </is>
      </c>
      <c r="E266" t="inlineStr">
        <is>
          <t>EKSJÖ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36047-2024</t>
        </is>
      </c>
      <c r="B267" s="1" t="n">
        <v>45533</v>
      </c>
      <c r="C267" s="1" t="n">
        <v>46199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3004-2026</t>
        </is>
      </c>
      <c r="B268" s="1" t="n">
        <v>46038</v>
      </c>
      <c r="C268" s="1" t="n">
        <v>46199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30-2023</t>
        </is>
      </c>
      <c r="B269" s="1" t="n">
        <v>44928</v>
      </c>
      <c r="C269" s="1" t="n">
        <v>46199</v>
      </c>
      <c r="D269" t="inlineStr">
        <is>
          <t>JÖNKÖPINGS LÄN</t>
        </is>
      </c>
      <c r="E269" t="inlineStr">
        <is>
          <t>EKSJÖ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2462-2026</t>
        </is>
      </c>
      <c r="B270" s="1" t="n">
        <v>46037</v>
      </c>
      <c r="C270" s="1" t="n">
        <v>46199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2460-2026</t>
        </is>
      </c>
      <c r="B271" s="1" t="n">
        <v>46037</v>
      </c>
      <c r="C271" s="1" t="n">
        <v>46199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36853-2025</t>
        </is>
      </c>
      <c r="B272" s="1" t="n">
        <v>45874</v>
      </c>
      <c r="C272" s="1" t="n">
        <v>46199</v>
      </c>
      <c r="D272" t="inlineStr">
        <is>
          <t>JÖNKÖPINGS LÄN</t>
        </is>
      </c>
      <c r="E272" t="inlineStr">
        <is>
          <t>EKSJÖ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10153-2024</t>
        </is>
      </c>
      <c r="B273" s="1" t="n">
        <v>45364</v>
      </c>
      <c r="C273" s="1" t="n">
        <v>46199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37169-2025</t>
        </is>
      </c>
      <c r="B274" s="1" t="n">
        <v>45875</v>
      </c>
      <c r="C274" s="1" t="n">
        <v>46199</v>
      </c>
      <c r="D274" t="inlineStr">
        <is>
          <t>JÖNKÖPINGS LÄN</t>
        </is>
      </c>
      <c r="E274" t="inlineStr">
        <is>
          <t>EKSJÖ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37173-2025</t>
        </is>
      </c>
      <c r="B275" s="1" t="n">
        <v>45875</v>
      </c>
      <c r="C275" s="1" t="n">
        <v>46199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37203-2025</t>
        </is>
      </c>
      <c r="B276" s="1" t="n">
        <v>45875</v>
      </c>
      <c r="C276" s="1" t="n">
        <v>46199</v>
      </c>
      <c r="D276" t="inlineStr">
        <is>
          <t>JÖNKÖPINGS LÄN</t>
        </is>
      </c>
      <c r="E276" t="inlineStr">
        <is>
          <t>EKSJÖ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37519-2025</t>
        </is>
      </c>
      <c r="B277" s="1" t="n">
        <v>45877</v>
      </c>
      <c r="C277" s="1" t="n">
        <v>46199</v>
      </c>
      <c r="D277" t="inlineStr">
        <is>
          <t>JÖNKÖPINGS LÄN</t>
        </is>
      </c>
      <c r="E277" t="inlineStr">
        <is>
          <t>EKSJÖ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28438-2025</t>
        </is>
      </c>
      <c r="B278" s="1" t="n">
        <v>45819</v>
      </c>
      <c r="C278" s="1" t="n">
        <v>46199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20897-2022</t>
        </is>
      </c>
      <c r="B279" s="1" t="n">
        <v>44701</v>
      </c>
      <c r="C279" s="1" t="n">
        <v>46199</v>
      </c>
      <c r="D279" t="inlineStr">
        <is>
          <t>JÖNKÖPINGS LÄN</t>
        </is>
      </c>
      <c r="E279" t="inlineStr">
        <is>
          <t>EKSJÖ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58632-2023</t>
        </is>
      </c>
      <c r="B280" s="1" t="n">
        <v>45251</v>
      </c>
      <c r="C280" s="1" t="n">
        <v>46199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33971-2025</t>
        </is>
      </c>
      <c r="B281" s="1" t="n">
        <v>45842</v>
      </c>
      <c r="C281" s="1" t="n">
        <v>46199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37698-2025</t>
        </is>
      </c>
      <c r="B282" s="1" t="n">
        <v>45880</v>
      </c>
      <c r="C282" s="1" t="n">
        <v>46199</v>
      </c>
      <c r="D282" t="inlineStr">
        <is>
          <t>JÖNKÖPINGS LÄN</t>
        </is>
      </c>
      <c r="E282" t="inlineStr">
        <is>
          <t>EKSJÖ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22456-2022</t>
        </is>
      </c>
      <c r="B283" s="1" t="n">
        <v>44713</v>
      </c>
      <c r="C283" s="1" t="n">
        <v>46199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25635-2024</t>
        </is>
      </c>
      <c r="B284" s="1" t="n">
        <v>45463</v>
      </c>
      <c r="C284" s="1" t="n">
        <v>46199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55628-2025</t>
        </is>
      </c>
      <c r="B285" s="1" t="n">
        <v>45972</v>
      </c>
      <c r="C285" s="1" t="n">
        <v>46199</v>
      </c>
      <c r="D285" t="inlineStr">
        <is>
          <t>JÖNKÖPINGS LÄN</t>
        </is>
      </c>
      <c r="E285" t="inlineStr">
        <is>
          <t>EKSJÖ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4348-2026</t>
        </is>
      </c>
      <c r="B286" s="1" t="n">
        <v>46045</v>
      </c>
      <c r="C286" s="1" t="n">
        <v>46199</v>
      </c>
      <c r="D286" t="inlineStr">
        <is>
          <t>JÖNKÖPINGS LÄN</t>
        </is>
      </c>
      <c r="E286" t="inlineStr">
        <is>
          <t>EKSJÖ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4349-2026</t>
        </is>
      </c>
      <c r="B287" s="1" t="n">
        <v>46045</v>
      </c>
      <c r="C287" s="1" t="n">
        <v>46199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55641-2025</t>
        </is>
      </c>
      <c r="B288" s="1" t="n">
        <v>45972</v>
      </c>
      <c r="C288" s="1" t="n">
        <v>46199</v>
      </c>
      <c r="D288" t="inlineStr">
        <is>
          <t>JÖNKÖPINGS LÄN</t>
        </is>
      </c>
      <c r="E288" t="inlineStr">
        <is>
          <t>EKSJÖ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55530-2025</t>
        </is>
      </c>
      <c r="B289" s="1" t="n">
        <v>45971</v>
      </c>
      <c r="C289" s="1" t="n">
        <v>46199</v>
      </c>
      <c r="D289" t="inlineStr">
        <is>
          <t>JÖNKÖPINGS LÄN</t>
        </is>
      </c>
      <c r="E289" t="inlineStr">
        <is>
          <t>EKSJÖ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18413-2025</t>
        </is>
      </c>
      <c r="B290" s="1" t="n">
        <v>45762</v>
      </c>
      <c r="C290" s="1" t="n">
        <v>46199</v>
      </c>
      <c r="D290" t="inlineStr">
        <is>
          <t>JÖNKÖPINGS LÄN</t>
        </is>
      </c>
      <c r="E290" t="inlineStr">
        <is>
          <t>EKSJÖ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4804-2026</t>
        </is>
      </c>
      <c r="B291" s="1" t="n">
        <v>46048</v>
      </c>
      <c r="C291" s="1" t="n">
        <v>46199</v>
      </c>
      <c r="D291" t="inlineStr">
        <is>
          <t>JÖNKÖPINGS LÄN</t>
        </is>
      </c>
      <c r="E291" t="inlineStr">
        <is>
          <t>EKSJÖ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4801-2026</t>
        </is>
      </c>
      <c r="B292" s="1" t="n">
        <v>46048</v>
      </c>
      <c r="C292" s="1" t="n">
        <v>46199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5055-2026</t>
        </is>
      </c>
      <c r="B293" s="1" t="n">
        <v>46049</v>
      </c>
      <c r="C293" s="1" t="n">
        <v>46199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23534-2023</t>
        </is>
      </c>
      <c r="B294" s="1" t="n">
        <v>45076</v>
      </c>
      <c r="C294" s="1" t="n">
        <v>46199</v>
      </c>
      <c r="D294" t="inlineStr">
        <is>
          <t>JÖNKÖPINGS LÄN</t>
        </is>
      </c>
      <c r="E294" t="inlineStr">
        <is>
          <t>EKSJÖ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6596-2026</t>
        </is>
      </c>
      <c r="B295" s="1" t="n">
        <v>46056</v>
      </c>
      <c r="C295" s="1" t="n">
        <v>46199</v>
      </c>
      <c r="D295" t="inlineStr">
        <is>
          <t>JÖNKÖPINGS LÄN</t>
        </is>
      </c>
      <c r="E295" t="inlineStr">
        <is>
          <t>EKSJÖ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36355-2022</t>
        </is>
      </c>
      <c r="B296" s="1" t="n">
        <v>44803</v>
      </c>
      <c r="C296" s="1" t="n">
        <v>46199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9385-2025</t>
        </is>
      </c>
      <c r="B297" s="1" t="n">
        <v>45715</v>
      </c>
      <c r="C297" s="1" t="n">
        <v>46199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56490-2025</t>
        </is>
      </c>
      <c r="B298" s="1" t="n">
        <v>45975</v>
      </c>
      <c r="C298" s="1" t="n">
        <v>46199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59955-2022</t>
        </is>
      </c>
      <c r="B299" s="1" t="n">
        <v>44909</v>
      </c>
      <c r="C299" s="1" t="n">
        <v>46199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56805-2024</t>
        </is>
      </c>
      <c r="B300" s="1" t="n">
        <v>45628</v>
      </c>
      <c r="C300" s="1" t="n">
        <v>46199</v>
      </c>
      <c r="D300" t="inlineStr">
        <is>
          <t>JÖNKÖPINGS LÄN</t>
        </is>
      </c>
      <c r="E300" t="inlineStr">
        <is>
          <t>EKSJÖ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25141-2023</t>
        </is>
      </c>
      <c r="B301" s="1" t="n">
        <v>45086</v>
      </c>
      <c r="C301" s="1" t="n">
        <v>46199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54292-2023</t>
        </is>
      </c>
      <c r="B302" s="1" t="n">
        <v>45232</v>
      </c>
      <c r="C302" s="1" t="n">
        <v>46199</v>
      </c>
      <c r="D302" t="inlineStr">
        <is>
          <t>JÖNKÖPINGS LÄN</t>
        </is>
      </c>
      <c r="E302" t="inlineStr">
        <is>
          <t>EKSJÖ</t>
        </is>
      </c>
      <c r="G302" t="n">
        <v>18.3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8984-2026</t>
        </is>
      </c>
      <c r="B303" s="1" t="n">
        <v>46069</v>
      </c>
      <c r="C303" s="1" t="n">
        <v>46199</v>
      </c>
      <c r="D303" t="inlineStr">
        <is>
          <t>JÖNKÖPINGS LÄN</t>
        </is>
      </c>
      <c r="E303" t="inlineStr">
        <is>
          <t>EKSJÖ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13273-2023</t>
        </is>
      </c>
      <c r="B304" s="1" t="n">
        <v>45003</v>
      </c>
      <c r="C304" s="1" t="n">
        <v>46199</v>
      </c>
      <c r="D304" t="inlineStr">
        <is>
          <t>JÖNKÖPINGS LÄN</t>
        </is>
      </c>
      <c r="E304" t="inlineStr">
        <is>
          <t>EKSJÖ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58095-2024</t>
        </is>
      </c>
      <c r="B305" s="1" t="n">
        <v>45632</v>
      </c>
      <c r="C305" s="1" t="n">
        <v>46199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9388-2026</t>
        </is>
      </c>
      <c r="B306" s="1" t="n">
        <v>46071</v>
      </c>
      <c r="C306" s="1" t="n">
        <v>46199</v>
      </c>
      <c r="D306" t="inlineStr">
        <is>
          <t>JÖNKÖPINGS LÄN</t>
        </is>
      </c>
      <c r="E306" t="inlineStr">
        <is>
          <t>EKSJÖ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23183-2022</t>
        </is>
      </c>
      <c r="B307" s="1" t="n">
        <v>44719</v>
      </c>
      <c r="C307" s="1" t="n">
        <v>46199</v>
      </c>
      <c r="D307" t="inlineStr">
        <is>
          <t>JÖNKÖPINGS LÄN</t>
        </is>
      </c>
      <c r="E307" t="inlineStr">
        <is>
          <t>EKSJÖ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17556-2023</t>
        </is>
      </c>
      <c r="B308" s="1" t="n">
        <v>45036</v>
      </c>
      <c r="C308" s="1" t="n">
        <v>46199</v>
      </c>
      <c r="D308" t="inlineStr">
        <is>
          <t>JÖNKÖPINGS LÄN</t>
        </is>
      </c>
      <c r="E308" t="inlineStr">
        <is>
          <t>EKSJÖ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2494-2026</t>
        </is>
      </c>
      <c r="B309" s="1" t="n">
        <v>46037</v>
      </c>
      <c r="C309" s="1" t="n">
        <v>46199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10309-2024</t>
        </is>
      </c>
      <c r="B310" s="1" t="n">
        <v>45365</v>
      </c>
      <c r="C310" s="1" t="n">
        <v>46199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27082-2023</t>
        </is>
      </c>
      <c r="B311" s="1" t="n">
        <v>45096</v>
      </c>
      <c r="C311" s="1" t="n">
        <v>46199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27086-2023</t>
        </is>
      </c>
      <c r="B312" s="1" t="n">
        <v>45096</v>
      </c>
      <c r="C312" s="1" t="n">
        <v>46199</v>
      </c>
      <c r="D312" t="inlineStr">
        <is>
          <t>JÖNKÖPINGS LÄN</t>
        </is>
      </c>
      <c r="E312" t="inlineStr">
        <is>
          <t>EKSJÖ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31307-2023</t>
        </is>
      </c>
      <c r="B313" s="1" t="n">
        <v>45114</v>
      </c>
      <c r="C313" s="1" t="n">
        <v>46199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57868-2024</t>
        </is>
      </c>
      <c r="B314" s="1" t="n">
        <v>45631</v>
      </c>
      <c r="C314" s="1" t="n">
        <v>46199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32623-2022</t>
        </is>
      </c>
      <c r="B315" s="1" t="n">
        <v>44783</v>
      </c>
      <c r="C315" s="1" t="n">
        <v>46199</v>
      </c>
      <c r="D315" t="inlineStr">
        <is>
          <t>JÖNKÖPINGS LÄN</t>
        </is>
      </c>
      <c r="E315" t="inlineStr">
        <is>
          <t>EKSJÖ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47390-2022</t>
        </is>
      </c>
      <c r="B316" s="1" t="n">
        <v>44853</v>
      </c>
      <c r="C316" s="1" t="n">
        <v>46199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37753-2023</t>
        </is>
      </c>
      <c r="B317" s="1" t="n">
        <v>45156</v>
      </c>
      <c r="C317" s="1" t="n">
        <v>46199</v>
      </c>
      <c r="D317" t="inlineStr">
        <is>
          <t>JÖNKÖPINGS LÄN</t>
        </is>
      </c>
      <c r="E317" t="inlineStr">
        <is>
          <t>EKSJÖ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13881-2026</t>
        </is>
      </c>
      <c r="B318" s="1" t="n">
        <v>46098</v>
      </c>
      <c r="C318" s="1" t="n">
        <v>46199</v>
      </c>
      <c r="D318" t="inlineStr">
        <is>
          <t>JÖNKÖPINGS LÄN</t>
        </is>
      </c>
      <c r="E318" t="inlineStr">
        <is>
          <t>EKSJÖ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9364-2025</t>
        </is>
      </c>
      <c r="B319" s="1" t="n">
        <v>45715</v>
      </c>
      <c r="C319" s="1" t="n">
        <v>46199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14344-2026</t>
        </is>
      </c>
      <c r="B320" s="1" t="n">
        <v>46100</v>
      </c>
      <c r="C320" s="1" t="n">
        <v>46199</v>
      </c>
      <c r="D320" t="inlineStr">
        <is>
          <t>JÖNKÖPINGS LÄN</t>
        </is>
      </c>
      <c r="E320" t="inlineStr">
        <is>
          <t>EKSJÖ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29754-2024</t>
        </is>
      </c>
      <c r="B321" s="1" t="n">
        <v>45485</v>
      </c>
      <c r="C321" s="1" t="n">
        <v>46199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38198-2023</t>
        </is>
      </c>
      <c r="B322" s="1" t="n">
        <v>45161</v>
      </c>
      <c r="C322" s="1" t="n">
        <v>46199</v>
      </c>
      <c r="D322" t="inlineStr">
        <is>
          <t>JÖNKÖPINGS LÄN</t>
        </is>
      </c>
      <c r="E322" t="inlineStr">
        <is>
          <t>EKSJÖ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38199-2023</t>
        </is>
      </c>
      <c r="B323" s="1" t="n">
        <v>45161</v>
      </c>
      <c r="C323" s="1" t="n">
        <v>46199</v>
      </c>
      <c r="D323" t="inlineStr">
        <is>
          <t>JÖNKÖPINGS LÄN</t>
        </is>
      </c>
      <c r="E323" t="inlineStr">
        <is>
          <t>EKSJÖ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55207-2023</t>
        </is>
      </c>
      <c r="B324" s="1" t="n">
        <v>45237</v>
      </c>
      <c r="C324" s="1" t="n">
        <v>46199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7728-2025</t>
        </is>
      </c>
      <c r="B325" s="1" t="n">
        <v>45706</v>
      </c>
      <c r="C325" s="1" t="n">
        <v>46199</v>
      </c>
      <c r="D325" t="inlineStr">
        <is>
          <t>JÖNKÖPINGS LÄN</t>
        </is>
      </c>
      <c r="E325" t="inlineStr">
        <is>
          <t>EKSJÖ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38592-2022</t>
        </is>
      </c>
      <c r="B326" s="1" t="n">
        <v>44813</v>
      </c>
      <c r="C326" s="1" t="n">
        <v>46199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52200-2023</t>
        </is>
      </c>
      <c r="B327" s="1" t="n">
        <v>45224</v>
      </c>
      <c r="C327" s="1" t="n">
        <v>46199</v>
      </c>
      <c r="D327" t="inlineStr">
        <is>
          <t>JÖNKÖPINGS LÄN</t>
        </is>
      </c>
      <c r="E327" t="inlineStr">
        <is>
          <t>EKSJÖ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15750-2026</t>
        </is>
      </c>
      <c r="B328" s="1" t="n">
        <v>46107</v>
      </c>
      <c r="C328" s="1" t="n">
        <v>46199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15755-2026</t>
        </is>
      </c>
      <c r="B329" s="1" t="n">
        <v>46107</v>
      </c>
      <c r="C329" s="1" t="n">
        <v>46199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15763-2026</t>
        </is>
      </c>
      <c r="B330" s="1" t="n">
        <v>46107</v>
      </c>
      <c r="C330" s="1" t="n">
        <v>46199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15767-2026</t>
        </is>
      </c>
      <c r="B331" s="1" t="n">
        <v>46107</v>
      </c>
      <c r="C331" s="1" t="n">
        <v>46199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15754-2026</t>
        </is>
      </c>
      <c r="B332" s="1" t="n">
        <v>46107</v>
      </c>
      <c r="C332" s="1" t="n">
        <v>46199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9400-2025</t>
        </is>
      </c>
      <c r="B333" s="1" t="n">
        <v>45715</v>
      </c>
      <c r="C333" s="1" t="n">
        <v>46199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9404-2025</t>
        </is>
      </c>
      <c r="B334" s="1" t="n">
        <v>45715</v>
      </c>
      <c r="C334" s="1" t="n">
        <v>46199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10045-2025</t>
        </is>
      </c>
      <c r="B335" s="1" t="n">
        <v>45719</v>
      </c>
      <c r="C335" s="1" t="n">
        <v>46199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15403-2026</t>
        </is>
      </c>
      <c r="B336" s="1" t="n">
        <v>46106</v>
      </c>
      <c r="C336" s="1" t="n">
        <v>46199</v>
      </c>
      <c r="D336" t="inlineStr">
        <is>
          <t>JÖNKÖPINGS LÄN</t>
        </is>
      </c>
      <c r="E336" t="inlineStr">
        <is>
          <t>EKSJÖ</t>
        </is>
      </c>
      <c r="F336" t="inlineStr">
        <is>
          <t>Kommuner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15411-2026</t>
        </is>
      </c>
      <c r="B337" s="1" t="n">
        <v>46106</v>
      </c>
      <c r="C337" s="1" t="n">
        <v>46199</v>
      </c>
      <c r="D337" t="inlineStr">
        <is>
          <t>JÖNKÖPINGS LÄN</t>
        </is>
      </c>
      <c r="E337" t="inlineStr">
        <is>
          <t>EKSJÖ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9294-2025</t>
        </is>
      </c>
      <c r="B338" s="1" t="n">
        <v>45714</v>
      </c>
      <c r="C338" s="1" t="n">
        <v>46199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9297-2025</t>
        </is>
      </c>
      <c r="B339" s="1" t="n">
        <v>45714</v>
      </c>
      <c r="C339" s="1" t="n">
        <v>46199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2916-2023</t>
        </is>
      </c>
      <c r="B340" s="1" t="n">
        <v>44945</v>
      </c>
      <c r="C340" s="1" t="n">
        <v>46199</v>
      </c>
      <c r="D340" t="inlineStr">
        <is>
          <t>JÖNKÖPINGS LÄN</t>
        </is>
      </c>
      <c r="E340" t="inlineStr">
        <is>
          <t>EKSJÖ</t>
        </is>
      </c>
      <c r="F340" t="inlineStr">
        <is>
          <t>Övriga Aktiebolag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13906-2023</t>
        </is>
      </c>
      <c r="B341" s="1" t="n">
        <v>45008</v>
      </c>
      <c r="C341" s="1" t="n">
        <v>46199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15965-2026</t>
        </is>
      </c>
      <c r="B342" s="1" t="n">
        <v>46108</v>
      </c>
      <c r="C342" s="1" t="n">
        <v>46199</v>
      </c>
      <c r="D342" t="inlineStr">
        <is>
          <t>JÖNKÖPINGS LÄN</t>
        </is>
      </c>
      <c r="E342" t="inlineStr">
        <is>
          <t>EKSJÖ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16573-2026</t>
        </is>
      </c>
      <c r="B343" s="1" t="n">
        <v>46112</v>
      </c>
      <c r="C343" s="1" t="n">
        <v>46199</v>
      </c>
      <c r="D343" t="inlineStr">
        <is>
          <t>JÖNKÖPINGS LÄN</t>
        </is>
      </c>
      <c r="E343" t="inlineStr">
        <is>
          <t>EKSJÖ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16885-2026</t>
        </is>
      </c>
      <c r="B344" s="1" t="n">
        <v>46113</v>
      </c>
      <c r="C344" s="1" t="n">
        <v>46199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16894-2026</t>
        </is>
      </c>
      <c r="B345" s="1" t="n">
        <v>46113</v>
      </c>
      <c r="C345" s="1" t="n">
        <v>46199</v>
      </c>
      <c r="D345" t="inlineStr">
        <is>
          <t>JÖNKÖPINGS LÄN</t>
        </is>
      </c>
      <c r="E345" t="inlineStr">
        <is>
          <t>EKSJÖ</t>
        </is>
      </c>
      <c r="F345" t="inlineStr">
        <is>
          <t>Övriga Aktiebolag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16847-2026</t>
        </is>
      </c>
      <c r="B346" s="1" t="n">
        <v>46113</v>
      </c>
      <c r="C346" s="1" t="n">
        <v>46199</v>
      </c>
      <c r="D346" t="inlineStr">
        <is>
          <t>JÖNKÖPINGS LÄN</t>
        </is>
      </c>
      <c r="E346" t="inlineStr">
        <is>
          <t>EKSJÖ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1903-2025</t>
        </is>
      </c>
      <c r="B347" s="1" t="n">
        <v>45671</v>
      </c>
      <c r="C347" s="1" t="n">
        <v>46199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5634-2024</t>
        </is>
      </c>
      <c r="B348" s="1" t="n">
        <v>45334</v>
      </c>
      <c r="C348" s="1" t="n">
        <v>46199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46528-2023</t>
        </is>
      </c>
      <c r="B349" s="1" t="n">
        <v>45197</v>
      </c>
      <c r="C349" s="1" t="n">
        <v>46199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41016-2023</t>
        </is>
      </c>
      <c r="B350" s="1" t="n">
        <v>45173</v>
      </c>
      <c r="C350" s="1" t="n">
        <v>46199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55553-2023</t>
        </is>
      </c>
      <c r="B351" s="1" t="n">
        <v>45238</v>
      </c>
      <c r="C351" s="1" t="n">
        <v>46199</v>
      </c>
      <c r="D351" t="inlineStr">
        <is>
          <t>JÖNKÖPINGS LÄN</t>
        </is>
      </c>
      <c r="E351" t="inlineStr">
        <is>
          <t>EKSJÖ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22860-2023</t>
        </is>
      </c>
      <c r="B352" s="1" t="n">
        <v>45072</v>
      </c>
      <c r="C352" s="1" t="n">
        <v>46199</v>
      </c>
      <c r="D352" t="inlineStr">
        <is>
          <t>JÖNKÖPINGS LÄN</t>
        </is>
      </c>
      <c r="E352" t="inlineStr">
        <is>
          <t>EKSJÖ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17631-2024</t>
        </is>
      </c>
      <c r="B353" s="1" t="n">
        <v>45418</v>
      </c>
      <c r="C353" s="1" t="n">
        <v>46199</v>
      </c>
      <c r="D353" t="inlineStr">
        <is>
          <t>JÖNKÖPINGS LÄN</t>
        </is>
      </c>
      <c r="E353" t="inlineStr">
        <is>
          <t>EKSJÖ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21883-2023</t>
        </is>
      </c>
      <c r="B354" s="1" t="n">
        <v>45068</v>
      </c>
      <c r="C354" s="1" t="n">
        <v>46199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23572-2026</t>
        </is>
      </c>
      <c r="B355" s="1" t="n">
        <v>46163</v>
      </c>
      <c r="C355" s="1" t="n">
        <v>46199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14350-2025</t>
        </is>
      </c>
      <c r="B356" s="1" t="n">
        <v>45741</v>
      </c>
      <c r="C356" s="1" t="n">
        <v>46199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22670-2023</t>
        </is>
      </c>
      <c r="B357" s="1" t="n">
        <v>45071</v>
      </c>
      <c r="C357" s="1" t="n">
        <v>46199</v>
      </c>
      <c r="D357" t="inlineStr">
        <is>
          <t>JÖNKÖPINGS LÄN</t>
        </is>
      </c>
      <c r="E357" t="inlineStr">
        <is>
          <t>EKSJÖ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30527-2023</t>
        </is>
      </c>
      <c r="B358" s="1" t="n">
        <v>45111</v>
      </c>
      <c r="C358" s="1" t="n">
        <v>46199</v>
      </c>
      <c r="D358" t="inlineStr">
        <is>
          <t>JÖNKÖPINGS LÄN</t>
        </is>
      </c>
      <c r="E358" t="inlineStr">
        <is>
          <t>EKSJÖ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23573-2026</t>
        </is>
      </c>
      <c r="B359" s="1" t="n">
        <v>46163</v>
      </c>
      <c r="C359" s="1" t="n">
        <v>46199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36302-2021</t>
        </is>
      </c>
      <c r="B360" s="1" t="n">
        <v>44390</v>
      </c>
      <c r="C360" s="1" t="n">
        <v>46199</v>
      </c>
      <c r="D360" t="inlineStr">
        <is>
          <t>JÖNKÖPINGS LÄN</t>
        </is>
      </c>
      <c r="E360" t="inlineStr">
        <is>
          <t>EKSJÖ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23309-2026</t>
        </is>
      </c>
      <c r="B361" s="1" t="n">
        <v>46162</v>
      </c>
      <c r="C361" s="1" t="n">
        <v>46199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23533-2026</t>
        </is>
      </c>
      <c r="B362" s="1" t="n">
        <v>46163</v>
      </c>
      <c r="C362" s="1" t="n">
        <v>46199</v>
      </c>
      <c r="D362" t="inlineStr">
        <is>
          <t>JÖNKÖPINGS LÄN</t>
        </is>
      </c>
      <c r="E362" t="inlineStr">
        <is>
          <t>EKSJÖ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23535-2026</t>
        </is>
      </c>
      <c r="B363" s="1" t="n">
        <v>46163</v>
      </c>
      <c r="C363" s="1" t="n">
        <v>46199</v>
      </c>
      <c r="D363" t="inlineStr">
        <is>
          <t>JÖNKÖPINGS LÄN</t>
        </is>
      </c>
      <c r="E363" t="inlineStr">
        <is>
          <t>EKSJÖ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23451-2026</t>
        </is>
      </c>
      <c r="B364" s="1" t="n">
        <v>46163</v>
      </c>
      <c r="C364" s="1" t="n">
        <v>46199</v>
      </c>
      <c r="D364" t="inlineStr">
        <is>
          <t>JÖNKÖPINGS LÄN</t>
        </is>
      </c>
      <c r="E364" t="inlineStr">
        <is>
          <t>EKSJÖ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59852-2022</t>
        </is>
      </c>
      <c r="B365" s="1" t="n">
        <v>44908</v>
      </c>
      <c r="C365" s="1" t="n">
        <v>46199</v>
      </c>
      <c r="D365" t="inlineStr">
        <is>
          <t>JÖNKÖPINGS LÄN</t>
        </is>
      </c>
      <c r="E365" t="inlineStr">
        <is>
          <t>EKSJÖ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14420-2025</t>
        </is>
      </c>
      <c r="B366" s="1" t="n">
        <v>45741</v>
      </c>
      <c r="C366" s="1" t="n">
        <v>46199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14428-2025</t>
        </is>
      </c>
      <c r="B367" s="1" t="n">
        <v>45741</v>
      </c>
      <c r="C367" s="1" t="n">
        <v>46199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23575-2026</t>
        </is>
      </c>
      <c r="B368" s="1" t="n">
        <v>46163</v>
      </c>
      <c r="C368" s="1" t="n">
        <v>46199</v>
      </c>
      <c r="D368" t="inlineStr">
        <is>
          <t>JÖNKÖPINGS LÄN</t>
        </is>
      </c>
      <c r="E368" t="inlineStr">
        <is>
          <t>EKSJÖ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56469-2021</t>
        </is>
      </c>
      <c r="B369" s="1" t="n">
        <v>44480</v>
      </c>
      <c r="C369" s="1" t="n">
        <v>46199</v>
      </c>
      <c r="D369" t="inlineStr">
        <is>
          <t>JÖNKÖPINGS LÄN</t>
        </is>
      </c>
      <c r="E369" t="inlineStr">
        <is>
          <t>EKSJÖ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17387-2025</t>
        </is>
      </c>
      <c r="B370" s="1" t="n">
        <v>45757</v>
      </c>
      <c r="C370" s="1" t="n">
        <v>46199</v>
      </c>
      <c r="D370" t="inlineStr">
        <is>
          <t>JÖNKÖPINGS LÄN</t>
        </is>
      </c>
      <c r="E370" t="inlineStr">
        <is>
          <t>EKSJÖ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51527-2023</t>
        </is>
      </c>
      <c r="B371" s="1" t="n">
        <v>45222</v>
      </c>
      <c r="C371" s="1" t="n">
        <v>46199</v>
      </c>
      <c r="D371" t="inlineStr">
        <is>
          <t>JÖNKÖPINGS LÄN</t>
        </is>
      </c>
      <c r="E371" t="inlineStr">
        <is>
          <t>EKSJÖ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18520-2026</t>
        </is>
      </c>
      <c r="B372" s="1" t="n">
        <v>46127</v>
      </c>
      <c r="C372" s="1" t="n">
        <v>46199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39049-2021</t>
        </is>
      </c>
      <c r="B373" s="1" t="n">
        <v>44412</v>
      </c>
      <c r="C373" s="1" t="n">
        <v>46199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27422-2023</t>
        </is>
      </c>
      <c r="B374" s="1" t="n">
        <v>45097</v>
      </c>
      <c r="C374" s="1" t="n">
        <v>46199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18087-2025</t>
        </is>
      </c>
      <c r="B375" s="1" t="n">
        <v>45761</v>
      </c>
      <c r="C375" s="1" t="n">
        <v>46199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26419-2023</t>
        </is>
      </c>
      <c r="B376" s="1" t="n">
        <v>45092</v>
      </c>
      <c r="C376" s="1" t="n">
        <v>46199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19095-2026</t>
        </is>
      </c>
      <c r="B377" s="1" t="n">
        <v>46132</v>
      </c>
      <c r="C377" s="1" t="n">
        <v>46199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6526-2023</t>
        </is>
      </c>
      <c r="B378" s="1" t="n">
        <v>44966</v>
      </c>
      <c r="C378" s="1" t="n">
        <v>46199</v>
      </c>
      <c r="D378" t="inlineStr">
        <is>
          <t>JÖNKÖPINGS LÄN</t>
        </is>
      </c>
      <c r="E378" t="inlineStr">
        <is>
          <t>EKSJÖ</t>
        </is>
      </c>
      <c r="F378" t="inlineStr">
        <is>
          <t>Kyrkan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4265-2023</t>
        </is>
      </c>
      <c r="B379" s="1" t="n">
        <v>44953</v>
      </c>
      <c r="C379" s="1" t="n">
        <v>46199</v>
      </c>
      <c r="D379" t="inlineStr">
        <is>
          <t>JÖNKÖPINGS LÄN</t>
        </is>
      </c>
      <c r="E379" t="inlineStr">
        <is>
          <t>EKSJÖ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13833-2024</t>
        </is>
      </c>
      <c r="B380" s="1" t="n">
        <v>45391</v>
      </c>
      <c r="C380" s="1" t="n">
        <v>46199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25066-2026</t>
        </is>
      </c>
      <c r="B381" s="1" t="n">
        <v>46174</v>
      </c>
      <c r="C381" s="1" t="n">
        <v>46199</v>
      </c>
      <c r="D381" t="inlineStr">
        <is>
          <t>JÖNKÖPINGS LÄN</t>
        </is>
      </c>
      <c r="E381" t="inlineStr">
        <is>
          <t>EKSJÖ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43100-2021</t>
        </is>
      </c>
      <c r="B382" s="1" t="n">
        <v>44431</v>
      </c>
      <c r="C382" s="1" t="n">
        <v>46199</v>
      </c>
      <c r="D382" t="inlineStr">
        <is>
          <t>JÖNKÖPINGS LÄN</t>
        </is>
      </c>
      <c r="E382" t="inlineStr">
        <is>
          <t>EKSJÖ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35617-2023</t>
        </is>
      </c>
      <c r="B383" s="1" t="n">
        <v>45147</v>
      </c>
      <c r="C383" s="1" t="n">
        <v>46199</v>
      </c>
      <c r="D383" t="inlineStr">
        <is>
          <t>JÖNKÖPINGS LÄN</t>
        </is>
      </c>
      <c r="E383" t="inlineStr">
        <is>
          <t>EKSJÖ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41816-2024</t>
        </is>
      </c>
      <c r="B384" s="1" t="n">
        <v>45561</v>
      </c>
      <c r="C384" s="1" t="n">
        <v>46199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25132-2026</t>
        </is>
      </c>
      <c r="B385" s="1" t="n">
        <v>46175</v>
      </c>
      <c r="C385" s="1" t="n">
        <v>46199</v>
      </c>
      <c r="D385" t="inlineStr">
        <is>
          <t>JÖNKÖPINGS LÄN</t>
        </is>
      </c>
      <c r="E385" t="inlineStr">
        <is>
          <t>EKSJÖ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61913-2022</t>
        </is>
      </c>
      <c r="B386" s="1" t="n">
        <v>44917</v>
      </c>
      <c r="C386" s="1" t="n">
        <v>46199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25140-2026</t>
        </is>
      </c>
      <c r="B387" s="1" t="n">
        <v>46175</v>
      </c>
      <c r="C387" s="1" t="n">
        <v>46199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36503-2024</t>
        </is>
      </c>
      <c r="B388" s="1" t="n">
        <v>45537</v>
      </c>
      <c r="C388" s="1" t="n">
        <v>46199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5712-2024</t>
        </is>
      </c>
      <c r="B389" s="1" t="n">
        <v>45334</v>
      </c>
      <c r="C389" s="1" t="n">
        <v>46199</v>
      </c>
      <c r="D389" t="inlineStr">
        <is>
          <t>JÖNKÖPINGS LÄN</t>
        </is>
      </c>
      <c r="E389" t="inlineStr">
        <is>
          <t>EKSJÖ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9281-2023</t>
        </is>
      </c>
      <c r="B390" s="1" t="n">
        <v>44980</v>
      </c>
      <c r="C390" s="1" t="n">
        <v>46199</v>
      </c>
      <c r="D390" t="inlineStr">
        <is>
          <t>JÖNKÖPINGS LÄN</t>
        </is>
      </c>
      <c r="E390" t="inlineStr">
        <is>
          <t>EKSJÖ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56804-2024</t>
        </is>
      </c>
      <c r="B391" s="1" t="n">
        <v>45628</v>
      </c>
      <c r="C391" s="1" t="n">
        <v>46199</v>
      </c>
      <c r="D391" t="inlineStr">
        <is>
          <t>JÖNKÖPINGS LÄN</t>
        </is>
      </c>
      <c r="E391" t="inlineStr">
        <is>
          <t>EKSJÖ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759-2026</t>
        </is>
      </c>
      <c r="B392" s="1" t="n">
        <v>46029</v>
      </c>
      <c r="C392" s="1" t="n">
        <v>46199</v>
      </c>
      <c r="D392" t="inlineStr">
        <is>
          <t>JÖNKÖPINGS LÄN</t>
        </is>
      </c>
      <c r="E392" t="inlineStr">
        <is>
          <t>EKSJÖ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41397-2024</t>
        </is>
      </c>
      <c r="B393" s="1" t="n">
        <v>45560</v>
      </c>
      <c r="C393" s="1" t="n">
        <v>46199</v>
      </c>
      <c r="D393" t="inlineStr">
        <is>
          <t>JÖNKÖPINGS LÄN</t>
        </is>
      </c>
      <c r="E393" t="inlineStr">
        <is>
          <t>EKSJÖ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64419-2021</t>
        </is>
      </c>
      <c r="B394" s="1" t="n">
        <v>44511</v>
      </c>
      <c r="C394" s="1" t="n">
        <v>46199</v>
      </c>
      <c r="D394" t="inlineStr">
        <is>
          <t>JÖNKÖPINGS LÄN</t>
        </is>
      </c>
      <c r="E394" t="inlineStr">
        <is>
          <t>EKSJÖ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33969-2025</t>
        </is>
      </c>
      <c r="B395" s="1" t="n">
        <v>45842</v>
      </c>
      <c r="C395" s="1" t="n">
        <v>46199</v>
      </c>
      <c r="D395" t="inlineStr">
        <is>
          <t>JÖNKÖPINGS LÄN</t>
        </is>
      </c>
      <c r="E395" t="inlineStr">
        <is>
          <t>EKSJÖ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38102-2025</t>
        </is>
      </c>
      <c r="B396" s="1" t="n">
        <v>45882</v>
      </c>
      <c r="C396" s="1" t="n">
        <v>46199</v>
      </c>
      <c r="D396" t="inlineStr">
        <is>
          <t>JÖNKÖPINGS LÄN</t>
        </is>
      </c>
      <c r="E396" t="inlineStr">
        <is>
          <t>EKSJÖ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17635-2025</t>
        </is>
      </c>
      <c r="B397" s="1" t="n">
        <v>45758</v>
      </c>
      <c r="C397" s="1" t="n">
        <v>46199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26222-2024</t>
        </is>
      </c>
      <c r="B398" s="1" t="n">
        <v>45468</v>
      </c>
      <c r="C398" s="1" t="n">
        <v>46199</v>
      </c>
      <c r="D398" t="inlineStr">
        <is>
          <t>JÖNKÖPINGS LÄN</t>
        </is>
      </c>
      <c r="E398" t="inlineStr">
        <is>
          <t>EKSJÖ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25654-2026</t>
        </is>
      </c>
      <c r="B399" s="1" t="n">
        <v>46178</v>
      </c>
      <c r="C399" s="1" t="n">
        <v>46199</v>
      </c>
      <c r="D399" t="inlineStr">
        <is>
          <t>JÖNKÖPINGS LÄN</t>
        </is>
      </c>
      <c r="E399" t="inlineStr">
        <is>
          <t>EKSJÖ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25783-2026</t>
        </is>
      </c>
      <c r="B400" s="1" t="n">
        <v>46178</v>
      </c>
      <c r="C400" s="1" t="n">
        <v>46199</v>
      </c>
      <c r="D400" t="inlineStr">
        <is>
          <t>JÖNKÖPINGS LÄN</t>
        </is>
      </c>
      <c r="E400" t="inlineStr">
        <is>
          <t>EKSJÖ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3007-2024</t>
        </is>
      </c>
      <c r="B401" s="1" t="n">
        <v>45315</v>
      </c>
      <c r="C401" s="1" t="n">
        <v>46199</v>
      </c>
      <c r="D401" t="inlineStr">
        <is>
          <t>JÖNKÖPINGS LÄN</t>
        </is>
      </c>
      <c r="E401" t="inlineStr">
        <is>
          <t>EKSJÖ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563-2025</t>
        </is>
      </c>
      <c r="B402" s="1" t="n">
        <v>45664</v>
      </c>
      <c r="C402" s="1" t="n">
        <v>46199</v>
      </c>
      <c r="D402" t="inlineStr">
        <is>
          <t>JÖNKÖPINGS LÄN</t>
        </is>
      </c>
      <c r="E402" t="inlineStr">
        <is>
          <t>EKSJÖ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60436-2024</t>
        </is>
      </c>
      <c r="B403" s="1" t="n">
        <v>45643</v>
      </c>
      <c r="C403" s="1" t="n">
        <v>46199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40094-2025</t>
        </is>
      </c>
      <c r="B404" s="1" t="n">
        <v>45894</v>
      </c>
      <c r="C404" s="1" t="n">
        <v>46199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8165-2022</t>
        </is>
      </c>
      <c r="B405" s="1" t="n">
        <v>44609</v>
      </c>
      <c r="C405" s="1" t="n">
        <v>46199</v>
      </c>
      <c r="D405" t="inlineStr">
        <is>
          <t>JÖNKÖPINGS LÄN</t>
        </is>
      </c>
      <c r="E405" t="inlineStr">
        <is>
          <t>EKSJÖ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58607-2023</t>
        </is>
      </c>
      <c r="B406" s="1" t="n">
        <v>45251</v>
      </c>
      <c r="C406" s="1" t="n">
        <v>46199</v>
      </c>
      <c r="D406" t="inlineStr">
        <is>
          <t>JÖNKÖPINGS LÄN</t>
        </is>
      </c>
      <c r="E406" t="inlineStr">
        <is>
          <t>EKSJÖ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38340-2023</t>
        </is>
      </c>
      <c r="B407" s="1" t="n">
        <v>45161</v>
      </c>
      <c r="C407" s="1" t="n">
        <v>46199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7262-2024</t>
        </is>
      </c>
      <c r="B408" s="1" t="n">
        <v>45344</v>
      </c>
      <c r="C408" s="1" t="n">
        <v>46199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50516-2025</t>
        </is>
      </c>
      <c r="B409" s="1" t="n">
        <v>45945</v>
      </c>
      <c r="C409" s="1" t="n">
        <v>46199</v>
      </c>
      <c r="D409" t="inlineStr">
        <is>
          <t>JÖNKÖPINGS LÄN</t>
        </is>
      </c>
      <c r="E409" t="inlineStr">
        <is>
          <t>EKSJÖ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15619-2024</t>
        </is>
      </c>
      <c r="B410" s="1" t="n">
        <v>45402</v>
      </c>
      <c r="C410" s="1" t="n">
        <v>46199</v>
      </c>
      <c r="D410" t="inlineStr">
        <is>
          <t>JÖNKÖPINGS LÄN</t>
        </is>
      </c>
      <c r="E410" t="inlineStr">
        <is>
          <t>EKSJÖ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58490-2024</t>
        </is>
      </c>
      <c r="B411" s="1" t="n">
        <v>45635</v>
      </c>
      <c r="C411" s="1" t="n">
        <v>46199</v>
      </c>
      <c r="D411" t="inlineStr">
        <is>
          <t>JÖNKÖPINGS LÄN</t>
        </is>
      </c>
      <c r="E411" t="inlineStr">
        <is>
          <t>EKSJÖ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22491-2023</t>
        </is>
      </c>
      <c r="B412" s="1" t="n">
        <v>45071</v>
      </c>
      <c r="C412" s="1" t="n">
        <v>46199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34098-2024</t>
        </is>
      </c>
      <c r="B413" s="1" t="n">
        <v>45523</v>
      </c>
      <c r="C413" s="1" t="n">
        <v>46199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5645-2024</t>
        </is>
      </c>
      <c r="B414" s="1" t="n">
        <v>45334</v>
      </c>
      <c r="C414" s="1" t="n">
        <v>46199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58631-2023</t>
        </is>
      </c>
      <c r="B415" s="1" t="n">
        <v>45251</v>
      </c>
      <c r="C415" s="1" t="n">
        <v>46199</v>
      </c>
      <c r="D415" t="inlineStr">
        <is>
          <t>JÖNKÖPINGS LÄN</t>
        </is>
      </c>
      <c r="E415" t="inlineStr">
        <is>
          <t>EKSJÖ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12399-2023</t>
        </is>
      </c>
      <c r="B416" s="1" t="n">
        <v>44999</v>
      </c>
      <c r="C416" s="1" t="n">
        <v>46199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12409-2023</t>
        </is>
      </c>
      <c r="B417" s="1" t="n">
        <v>44999</v>
      </c>
      <c r="C417" s="1" t="n">
        <v>46199</v>
      </c>
      <c r="D417" t="inlineStr">
        <is>
          <t>JÖNKÖPINGS LÄN</t>
        </is>
      </c>
      <c r="E417" t="inlineStr">
        <is>
          <t>EKSJÖ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4929-2024</t>
        </is>
      </c>
      <c r="B418" s="1" t="n">
        <v>45329</v>
      </c>
      <c r="C418" s="1" t="n">
        <v>46199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47989-2023</t>
        </is>
      </c>
      <c r="B419" s="1" t="n">
        <v>45204</v>
      </c>
      <c r="C419" s="1" t="n">
        <v>46199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20480-2026</t>
        </is>
      </c>
      <c r="B420" s="1" t="n">
        <v>46140</v>
      </c>
      <c r="C420" s="1" t="n">
        <v>46199</v>
      </c>
      <c r="D420" t="inlineStr">
        <is>
          <t>JÖNKÖPINGS LÄN</t>
        </is>
      </c>
      <c r="E420" t="inlineStr">
        <is>
          <t>EKSJÖ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28276-2025</t>
        </is>
      </c>
      <c r="B421" s="1" t="n">
        <v>45818</v>
      </c>
      <c r="C421" s="1" t="n">
        <v>46199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7729-2025</t>
        </is>
      </c>
      <c r="B422" s="1" t="n">
        <v>45706</v>
      </c>
      <c r="C422" s="1" t="n">
        <v>46199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9283-2025</t>
        </is>
      </c>
      <c r="B423" s="1" t="n">
        <v>45714</v>
      </c>
      <c r="C423" s="1" t="n">
        <v>46199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9287-2025</t>
        </is>
      </c>
      <c r="B424" s="1" t="n">
        <v>45714</v>
      </c>
      <c r="C424" s="1" t="n">
        <v>46199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9292-2025</t>
        </is>
      </c>
      <c r="B425" s="1" t="n">
        <v>45714</v>
      </c>
      <c r="C425" s="1" t="n">
        <v>46199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9300-2025</t>
        </is>
      </c>
      <c r="B426" s="1" t="n">
        <v>45714</v>
      </c>
      <c r="C426" s="1" t="n">
        <v>46199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7372-2024</t>
        </is>
      </c>
      <c r="B427" s="1" t="n">
        <v>45345</v>
      </c>
      <c r="C427" s="1" t="n">
        <v>46199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26179-2026</t>
        </is>
      </c>
      <c r="B428" s="1" t="n">
        <v>46182</v>
      </c>
      <c r="C428" s="1" t="n">
        <v>46199</v>
      </c>
      <c r="D428" t="inlineStr">
        <is>
          <t>JÖNKÖPINGS LÄN</t>
        </is>
      </c>
      <c r="E428" t="inlineStr">
        <is>
          <t>EKSJÖ</t>
        </is>
      </c>
      <c r="F428" t="inlineStr">
        <is>
          <t>Kyrkan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2819-2022</t>
        </is>
      </c>
      <c r="B429" s="1" t="n">
        <v>44581</v>
      </c>
      <c r="C429" s="1" t="n">
        <v>46199</v>
      </c>
      <c r="D429" t="inlineStr">
        <is>
          <t>JÖNKÖPINGS LÄN</t>
        </is>
      </c>
      <c r="E429" t="inlineStr">
        <is>
          <t>EKSJÖ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9058-2022</t>
        </is>
      </c>
      <c r="B430" s="1" t="n">
        <v>44615</v>
      </c>
      <c r="C430" s="1" t="n">
        <v>46199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1207-2025</t>
        </is>
      </c>
      <c r="B431" s="1" t="n">
        <v>45667</v>
      </c>
      <c r="C431" s="1" t="n">
        <v>46199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41030-2023</t>
        </is>
      </c>
      <c r="B432" s="1" t="n">
        <v>45173</v>
      </c>
      <c r="C432" s="1" t="n">
        <v>46199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23868-2023</t>
        </is>
      </c>
      <c r="B433" s="1" t="n">
        <v>45078</v>
      </c>
      <c r="C433" s="1" t="n">
        <v>46199</v>
      </c>
      <c r="D433" t="inlineStr">
        <is>
          <t>JÖNKÖPINGS LÄN</t>
        </is>
      </c>
      <c r="E433" t="inlineStr">
        <is>
          <t>EKSJÖ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47987-2023</t>
        </is>
      </c>
      <c r="B434" s="1" t="n">
        <v>45204</v>
      </c>
      <c r="C434" s="1" t="n">
        <v>46199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23488-2026</t>
        </is>
      </c>
      <c r="B435" s="1" t="n">
        <v>46163</v>
      </c>
      <c r="C435" s="1" t="n">
        <v>46199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4439-2025</t>
        </is>
      </c>
      <c r="B436" s="1" t="n">
        <v>45686</v>
      </c>
      <c r="C436" s="1" t="n">
        <v>46199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2828-2025</t>
        </is>
      </c>
      <c r="B437" s="1" t="n">
        <v>45677</v>
      </c>
      <c r="C437" s="1" t="n">
        <v>46199</v>
      </c>
      <c r="D437" t="inlineStr">
        <is>
          <t>JÖNKÖPINGS LÄN</t>
        </is>
      </c>
      <c r="E437" t="inlineStr">
        <is>
          <t>EKSJÖ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38106-2025</t>
        </is>
      </c>
      <c r="B438" s="1" t="n">
        <v>45882</v>
      </c>
      <c r="C438" s="1" t="n">
        <v>46199</v>
      </c>
      <c r="D438" t="inlineStr">
        <is>
          <t>JÖNKÖPINGS LÄN</t>
        </is>
      </c>
      <c r="E438" t="inlineStr">
        <is>
          <t>EKSJÖ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41739-2023</t>
        </is>
      </c>
      <c r="B439" s="1" t="n">
        <v>45176</v>
      </c>
      <c r="C439" s="1" t="n">
        <v>46199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55817-2023</t>
        </is>
      </c>
      <c r="B440" s="1" t="n">
        <v>45239</v>
      </c>
      <c r="C440" s="1" t="n">
        <v>46199</v>
      </c>
      <c r="D440" t="inlineStr">
        <is>
          <t>JÖNKÖPINGS LÄN</t>
        </is>
      </c>
      <c r="E440" t="inlineStr">
        <is>
          <t>EKSJÖ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53987-2023</t>
        </is>
      </c>
      <c r="B441" s="1" t="n">
        <v>45231</v>
      </c>
      <c r="C441" s="1" t="n">
        <v>46199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38659-2023</t>
        </is>
      </c>
      <c r="B442" s="1" t="n">
        <v>45162</v>
      </c>
      <c r="C442" s="1" t="n">
        <v>46199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26649-2026</t>
        </is>
      </c>
      <c r="B443" s="1" t="n">
        <v>46184</v>
      </c>
      <c r="C443" s="1" t="n">
        <v>46199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26405-2026</t>
        </is>
      </c>
      <c r="B444" s="1" t="n">
        <v>46183</v>
      </c>
      <c r="C444" s="1" t="n">
        <v>46199</v>
      </c>
      <c r="D444" t="inlineStr">
        <is>
          <t>JÖNKÖPINGS LÄN</t>
        </is>
      </c>
      <c r="E444" t="inlineStr">
        <is>
          <t>EKSJÖ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54292-2023</t>
        </is>
      </c>
      <c r="B445" s="1" t="n">
        <v>45232</v>
      </c>
      <c r="C445" s="1" t="n">
        <v>46199</v>
      </c>
      <c r="D445" t="inlineStr">
        <is>
          <t>JÖNKÖPINGS LÄN</t>
        </is>
      </c>
      <c r="E445" t="inlineStr">
        <is>
          <t>EKSJÖ</t>
        </is>
      </c>
      <c r="G445" t="n">
        <v>18.3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38337-2023</t>
        </is>
      </c>
      <c r="B446" s="1" t="n">
        <v>45161</v>
      </c>
      <c r="C446" s="1" t="n">
        <v>46199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18062-2024</t>
        </is>
      </c>
      <c r="B447" s="1" t="n">
        <v>45420</v>
      </c>
      <c r="C447" s="1" t="n">
        <v>46199</v>
      </c>
      <c r="D447" t="inlineStr">
        <is>
          <t>JÖNKÖPINGS LÄN</t>
        </is>
      </c>
      <c r="E447" t="inlineStr">
        <is>
          <t>EKSJÖ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53479-2023</t>
        </is>
      </c>
      <c r="B448" s="1" t="n">
        <v>45223</v>
      </c>
      <c r="C448" s="1" t="n">
        <v>46199</v>
      </c>
      <c r="D448" t="inlineStr">
        <is>
          <t>JÖNKÖPINGS LÄN</t>
        </is>
      </c>
      <c r="E448" t="inlineStr">
        <is>
          <t>EKSJÖ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1065-2025</t>
        </is>
      </c>
      <c r="B449" s="1" t="n">
        <v>45666</v>
      </c>
      <c r="C449" s="1" t="n">
        <v>46199</v>
      </c>
      <c r="D449" t="inlineStr">
        <is>
          <t>JÖNKÖPINGS LÄN</t>
        </is>
      </c>
      <c r="E449" t="inlineStr">
        <is>
          <t>EKSJÖ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34021-2024</t>
        </is>
      </c>
      <c r="B450" s="1" t="n">
        <v>45523</v>
      </c>
      <c r="C450" s="1" t="n">
        <v>46199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34045-2024</t>
        </is>
      </c>
      <c r="B451" s="1" t="n">
        <v>45523</v>
      </c>
      <c r="C451" s="1" t="n">
        <v>46199</v>
      </c>
      <c r="D451" t="inlineStr">
        <is>
          <t>JÖNKÖPINGS LÄN</t>
        </is>
      </c>
      <c r="E451" t="inlineStr">
        <is>
          <t>EKSJÖ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26644-2026</t>
        </is>
      </c>
      <c r="B452" s="1" t="n">
        <v>46184</v>
      </c>
      <c r="C452" s="1" t="n">
        <v>46199</v>
      </c>
      <c r="D452" t="inlineStr">
        <is>
          <t>JÖNKÖPINGS LÄN</t>
        </is>
      </c>
      <c r="E452" t="inlineStr">
        <is>
          <t>EKSJÖ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45912-2023</t>
        </is>
      </c>
      <c r="B453" s="1" t="n">
        <v>45195</v>
      </c>
      <c r="C453" s="1" t="n">
        <v>46199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45913-2023</t>
        </is>
      </c>
      <c r="B454" s="1" t="n">
        <v>45195</v>
      </c>
      <c r="C454" s="1" t="n">
        <v>46199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42467-2023</t>
        </is>
      </c>
      <c r="B455" s="1" t="n">
        <v>45175</v>
      </c>
      <c r="C455" s="1" t="n">
        <v>46199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11446-2023</t>
        </is>
      </c>
      <c r="B456" s="1" t="n">
        <v>44991</v>
      </c>
      <c r="C456" s="1" t="n">
        <v>46199</v>
      </c>
      <c r="D456" t="inlineStr">
        <is>
          <t>JÖNKÖPINGS LÄN</t>
        </is>
      </c>
      <c r="E456" t="inlineStr">
        <is>
          <t>EKSJÖ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3496-2025</t>
        </is>
      </c>
      <c r="B457" s="1" t="n">
        <v>45680</v>
      </c>
      <c r="C457" s="1" t="n">
        <v>46199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26648-2026</t>
        </is>
      </c>
      <c r="B458" s="1" t="n">
        <v>46184</v>
      </c>
      <c r="C458" s="1" t="n">
        <v>46199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26650-2026</t>
        </is>
      </c>
      <c r="B459" s="1" t="n">
        <v>46184</v>
      </c>
      <c r="C459" s="1" t="n">
        <v>46199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18324-2022</t>
        </is>
      </c>
      <c r="B460" s="1" t="n">
        <v>44685</v>
      </c>
      <c r="C460" s="1" t="n">
        <v>46199</v>
      </c>
      <c r="D460" t="inlineStr">
        <is>
          <t>JÖNKÖPINGS LÄN</t>
        </is>
      </c>
      <c r="E460" t="inlineStr">
        <is>
          <t>EKSJÖ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54916-2023</t>
        </is>
      </c>
      <c r="B461" s="1" t="n">
        <v>45236</v>
      </c>
      <c r="C461" s="1" t="n">
        <v>46199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8056-2025</t>
        </is>
      </c>
      <c r="B462" s="1" t="n">
        <v>45707</v>
      </c>
      <c r="C462" s="1" t="n">
        <v>46199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59905-2022</t>
        </is>
      </c>
      <c r="B463" s="1" t="n">
        <v>44908</v>
      </c>
      <c r="C463" s="1" t="n">
        <v>46199</v>
      </c>
      <c r="D463" t="inlineStr">
        <is>
          <t>JÖNKÖPINGS LÄN</t>
        </is>
      </c>
      <c r="E463" t="inlineStr">
        <is>
          <t>EKSJÖ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27220-2026</t>
        </is>
      </c>
      <c r="B464" s="1" t="n">
        <v>46188</v>
      </c>
      <c r="C464" s="1" t="n">
        <v>46199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21073-2026</t>
        </is>
      </c>
      <c r="B465" s="1" t="n">
        <v>46146</v>
      </c>
      <c r="C465" s="1" t="n">
        <v>46199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55808-2023</t>
        </is>
      </c>
      <c r="B466" s="1" t="n">
        <v>45239</v>
      </c>
      <c r="C466" s="1" t="n">
        <v>46199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2838-2024</t>
        </is>
      </c>
      <c r="B467" s="1" t="n">
        <v>45315</v>
      </c>
      <c r="C467" s="1" t="n">
        <v>46199</v>
      </c>
      <c r="D467" t="inlineStr">
        <is>
          <t>JÖNKÖPINGS LÄN</t>
        </is>
      </c>
      <c r="E467" t="inlineStr">
        <is>
          <t>EKSJÖ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19497-2025</t>
        </is>
      </c>
      <c r="B468" s="1" t="n">
        <v>45770</v>
      </c>
      <c r="C468" s="1" t="n">
        <v>46199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2670-2024</t>
        </is>
      </c>
      <c r="B469" s="1" t="n">
        <v>45314</v>
      </c>
      <c r="C469" s="1" t="n">
        <v>46199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2690-2024</t>
        </is>
      </c>
      <c r="B470" s="1" t="n">
        <v>45314</v>
      </c>
      <c r="C470" s="1" t="n">
        <v>46199</v>
      </c>
      <c r="D470" t="inlineStr">
        <is>
          <t>JÖNKÖPINGS LÄN</t>
        </is>
      </c>
      <c r="E470" t="inlineStr">
        <is>
          <t>EKSJÖ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25613-2024</t>
        </is>
      </c>
      <c r="B471" s="1" t="n">
        <v>45463</v>
      </c>
      <c r="C471" s="1" t="n">
        <v>46199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25861-2024</t>
        </is>
      </c>
      <c r="B472" s="1" t="n">
        <v>45467</v>
      </c>
      <c r="C472" s="1" t="n">
        <v>46199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4744-2024</t>
        </is>
      </c>
      <c r="B473" s="1" t="n">
        <v>45328</v>
      </c>
      <c r="C473" s="1" t="n">
        <v>46199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4784-2024</t>
        </is>
      </c>
      <c r="B474" s="1" t="n">
        <v>45328</v>
      </c>
      <c r="C474" s="1" t="n">
        <v>46199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17636-2025</t>
        </is>
      </c>
      <c r="B475" s="1" t="n">
        <v>45758</v>
      </c>
      <c r="C475" s="1" t="n">
        <v>46199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9429-2025</t>
        </is>
      </c>
      <c r="B476" s="1" t="n">
        <v>45715</v>
      </c>
      <c r="C476" s="1" t="n">
        <v>46199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28261-2022</t>
        </is>
      </c>
      <c r="B477" s="1" t="n">
        <v>44746</v>
      </c>
      <c r="C477" s="1" t="n">
        <v>46199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41744-2023</t>
        </is>
      </c>
      <c r="B478" s="1" t="n">
        <v>45176</v>
      </c>
      <c r="C478" s="1" t="n">
        <v>46199</v>
      </c>
      <c r="D478" t="inlineStr">
        <is>
          <t>JÖNKÖPINGS LÄN</t>
        </is>
      </c>
      <c r="E478" t="inlineStr">
        <is>
          <t>EKSJÖ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55656-2022</t>
        </is>
      </c>
      <c r="B479" s="1" t="n">
        <v>44888</v>
      </c>
      <c r="C479" s="1" t="n">
        <v>46199</v>
      </c>
      <c r="D479" t="inlineStr">
        <is>
          <t>JÖNKÖPINGS LÄN</t>
        </is>
      </c>
      <c r="E479" t="inlineStr">
        <is>
          <t>EKSJÖ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61384-2023</t>
        </is>
      </c>
      <c r="B480" s="1" t="n">
        <v>45264</v>
      </c>
      <c r="C480" s="1" t="n">
        <v>46199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46199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46013-2022</t>
        </is>
      </c>
      <c r="B482" s="1" t="n">
        <v>44846</v>
      </c>
      <c r="C482" s="1" t="n">
        <v>46199</v>
      </c>
      <c r="D482" t="inlineStr">
        <is>
          <t>JÖNKÖPINGS LÄN</t>
        </is>
      </c>
      <c r="E482" t="inlineStr">
        <is>
          <t>EKSJÖ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46014-2022</t>
        </is>
      </c>
      <c r="B483" s="1" t="n">
        <v>44846</v>
      </c>
      <c r="C483" s="1" t="n">
        <v>46199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9188-2024</t>
        </is>
      </c>
      <c r="B484" s="1" t="n">
        <v>45358</v>
      </c>
      <c r="C484" s="1" t="n">
        <v>46199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28371-2026</t>
        </is>
      </c>
      <c r="B485" s="1" t="n">
        <v>46196</v>
      </c>
      <c r="C485" s="1" t="n">
        <v>46199</v>
      </c>
      <c r="D485" t="inlineStr">
        <is>
          <t>JÖNKÖPINGS LÄN</t>
        </is>
      </c>
      <c r="E485" t="inlineStr">
        <is>
          <t>EKSJÖ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56563-2023</t>
        </is>
      </c>
      <c r="B486" s="1" t="n">
        <v>45243</v>
      </c>
      <c r="C486" s="1" t="n">
        <v>46199</v>
      </c>
      <c r="D486" t="inlineStr">
        <is>
          <t>JÖNKÖPINGS LÄN</t>
        </is>
      </c>
      <c r="E486" t="inlineStr">
        <is>
          <t>EKSJÖ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11381-2022</t>
        </is>
      </c>
      <c r="B487" s="1" t="n">
        <v>44630</v>
      </c>
      <c r="C487" s="1" t="n">
        <v>46199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50275-2023</t>
        </is>
      </c>
      <c r="B488" s="1" t="n">
        <v>45209</v>
      </c>
      <c r="C488" s="1" t="n">
        <v>46199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47204-2022</t>
        </is>
      </c>
      <c r="B489" s="1" t="n">
        <v>44851</v>
      </c>
      <c r="C489" s="1" t="n">
        <v>46199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37918-2023</t>
        </is>
      </c>
      <c r="B490" s="1" t="n">
        <v>45160</v>
      </c>
      <c r="C490" s="1" t="n">
        <v>46199</v>
      </c>
      <c r="D490" t="inlineStr">
        <is>
          <t>JÖNKÖPINGS LÄN</t>
        </is>
      </c>
      <c r="E490" t="inlineStr">
        <is>
          <t>EKSJÖ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63439-2025</t>
        </is>
      </c>
      <c r="B491" s="1" t="n">
        <v>46013</v>
      </c>
      <c r="C491" s="1" t="n">
        <v>46199</v>
      </c>
      <c r="D491" t="inlineStr">
        <is>
          <t>JÖNKÖPINGS LÄN</t>
        </is>
      </c>
      <c r="E491" t="inlineStr">
        <is>
          <t>EKSJÖ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28486-2026</t>
        </is>
      </c>
      <c r="B492" s="1" t="n">
        <v>46197</v>
      </c>
      <c r="C492" s="1" t="n">
        <v>46199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10946-2026</t>
        </is>
      </c>
      <c r="B493" s="1" t="n">
        <v>46079</v>
      </c>
      <c r="C493" s="1" t="n">
        <v>46199</v>
      </c>
      <c r="D493" t="inlineStr">
        <is>
          <t>JÖNKÖPINGS LÄN</t>
        </is>
      </c>
      <c r="E493" t="inlineStr">
        <is>
          <t>EKSJÖ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27448-2023</t>
        </is>
      </c>
      <c r="B494" s="1" t="n">
        <v>45097</v>
      </c>
      <c r="C494" s="1" t="n">
        <v>46199</v>
      </c>
      <c r="D494" t="inlineStr">
        <is>
          <t>JÖNKÖPINGS LÄN</t>
        </is>
      </c>
      <c r="E494" t="inlineStr">
        <is>
          <t>EKSJÖ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46577-2022</t>
        </is>
      </c>
      <c r="B495" s="1" t="n">
        <v>44848</v>
      </c>
      <c r="C495" s="1" t="n">
        <v>46199</v>
      </c>
      <c r="D495" t="inlineStr">
        <is>
          <t>JÖNKÖPINGS LÄN</t>
        </is>
      </c>
      <c r="E495" t="inlineStr">
        <is>
          <t>EKSJÖ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35738-2024</t>
        </is>
      </c>
      <c r="B496" s="1" t="n">
        <v>45532</v>
      </c>
      <c r="C496" s="1" t="n">
        <v>46199</v>
      </c>
      <c r="D496" t="inlineStr">
        <is>
          <t>JÖNKÖPINGS LÄN</t>
        </is>
      </c>
      <c r="E496" t="inlineStr">
        <is>
          <t>EKSJÖ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28624-2026</t>
        </is>
      </c>
      <c r="B497" s="1" t="n">
        <v>46198</v>
      </c>
      <c r="C497" s="1" t="n">
        <v>46199</v>
      </c>
      <c r="D497" t="inlineStr">
        <is>
          <t>JÖNKÖPINGS LÄN</t>
        </is>
      </c>
      <c r="E497" t="inlineStr">
        <is>
          <t>EKSJÖ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10464-2023</t>
        </is>
      </c>
      <c r="B498" s="1" t="n">
        <v>44987</v>
      </c>
      <c r="C498" s="1" t="n">
        <v>46199</v>
      </c>
      <c r="D498" t="inlineStr">
        <is>
          <t>JÖNKÖPINGS LÄN</t>
        </is>
      </c>
      <c r="E498" t="inlineStr">
        <is>
          <t>EKSJÖ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2489-2026</t>
        </is>
      </c>
      <c r="B499" s="1" t="n">
        <v>46037</v>
      </c>
      <c r="C499" s="1" t="n">
        <v>46199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13892-2024</t>
        </is>
      </c>
      <c r="B500" s="1" t="n">
        <v>45391</v>
      </c>
      <c r="C500" s="1" t="n">
        <v>46199</v>
      </c>
      <c r="D500" t="inlineStr">
        <is>
          <t>JÖNKÖPINGS LÄN</t>
        </is>
      </c>
      <c r="E500" t="inlineStr">
        <is>
          <t>EKSJÖ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42929-2021</t>
        </is>
      </c>
      <c r="B501" s="1" t="n">
        <v>44431</v>
      </c>
      <c r="C501" s="1" t="n">
        <v>46199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28401-2026</t>
        </is>
      </c>
      <c r="B502" s="1" t="n">
        <v>46197</v>
      </c>
      <c r="C502" s="1" t="n">
        <v>46199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28402-2026</t>
        </is>
      </c>
      <c r="B503" s="1" t="n">
        <v>46197</v>
      </c>
      <c r="C503" s="1" t="n">
        <v>46199</v>
      </c>
      <c r="D503" t="inlineStr">
        <is>
          <t>JÖNKÖPINGS LÄN</t>
        </is>
      </c>
      <c r="E503" t="inlineStr">
        <is>
          <t>EKSJÖ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50967-2021</t>
        </is>
      </c>
      <c r="B504" s="1" t="n">
        <v>44460</v>
      </c>
      <c r="C504" s="1" t="n">
        <v>46199</v>
      </c>
      <c r="D504" t="inlineStr">
        <is>
          <t>JÖNKÖPINGS LÄN</t>
        </is>
      </c>
      <c r="E504" t="inlineStr">
        <is>
          <t>EKSJÖ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49403-2021</t>
        </is>
      </c>
      <c r="B505" s="1" t="n">
        <v>44454</v>
      </c>
      <c r="C505" s="1" t="n">
        <v>46199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45367-2024</t>
        </is>
      </c>
      <c r="B506" s="1" t="n">
        <v>45576</v>
      </c>
      <c r="C506" s="1" t="n">
        <v>46199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26706-2022</t>
        </is>
      </c>
      <c r="B507" s="1" t="n">
        <v>44739</v>
      </c>
      <c r="C507" s="1" t="n">
        <v>46199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71313-2021</t>
        </is>
      </c>
      <c r="B508" s="1" t="n">
        <v>44539</v>
      </c>
      <c r="C508" s="1" t="n">
        <v>46199</v>
      </c>
      <c r="D508" t="inlineStr">
        <is>
          <t>JÖNKÖPINGS LÄN</t>
        </is>
      </c>
      <c r="E508" t="inlineStr">
        <is>
          <t>EKSJÖ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2224-2023</t>
        </is>
      </c>
      <c r="B509" s="1" t="n">
        <v>44939</v>
      </c>
      <c r="C509" s="1" t="n">
        <v>46199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25140-2023</t>
        </is>
      </c>
      <c r="B510" s="1" t="n">
        <v>45086</v>
      </c>
      <c r="C510" s="1" t="n">
        <v>46199</v>
      </c>
      <c r="D510" t="inlineStr">
        <is>
          <t>JÖNKÖPINGS LÄN</t>
        </is>
      </c>
      <c r="E510" t="inlineStr">
        <is>
          <t>EKSJÖ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26054-2023</t>
        </is>
      </c>
      <c r="B511" s="1" t="n">
        <v>45091</v>
      </c>
      <c r="C511" s="1" t="n">
        <v>46199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19682-2023</t>
        </is>
      </c>
      <c r="B512" s="1" t="n">
        <v>45051</v>
      </c>
      <c r="C512" s="1" t="n">
        <v>46199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33644-2022</t>
        </is>
      </c>
      <c r="B513" s="1" t="n">
        <v>44789</v>
      </c>
      <c r="C513" s="1" t="n">
        <v>46199</v>
      </c>
      <c r="D513" t="inlineStr">
        <is>
          <t>JÖNKÖPINGS LÄN</t>
        </is>
      </c>
      <c r="E513" t="inlineStr">
        <is>
          <t>EKSJÖ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17030-2024</t>
        </is>
      </c>
      <c r="B514" s="1" t="n">
        <v>45411</v>
      </c>
      <c r="C514" s="1" t="n">
        <v>46199</v>
      </c>
      <c r="D514" t="inlineStr">
        <is>
          <t>JÖNKÖPINGS LÄN</t>
        </is>
      </c>
      <c r="E514" t="inlineStr">
        <is>
          <t>EKSJÖ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24556-2023</t>
        </is>
      </c>
      <c r="B515" s="1" t="n">
        <v>45082</v>
      </c>
      <c r="C515" s="1" t="n">
        <v>46199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25262-2023</t>
        </is>
      </c>
      <c r="B516" s="1" t="n">
        <v>45086</v>
      </c>
      <c r="C516" s="1" t="n">
        <v>46199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596-2023</t>
        </is>
      </c>
      <c r="B517" s="1" t="n">
        <v>44925</v>
      </c>
      <c r="C517" s="1" t="n">
        <v>46199</v>
      </c>
      <c r="D517" t="inlineStr">
        <is>
          <t>JÖNKÖPINGS LÄN</t>
        </is>
      </c>
      <c r="E517" t="inlineStr">
        <is>
          <t>EKSJÖ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23869-2023</t>
        </is>
      </c>
      <c r="B518" s="1" t="n">
        <v>45078</v>
      </c>
      <c r="C518" s="1" t="n">
        <v>46199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37144-2023</t>
        </is>
      </c>
      <c r="B519" s="1" t="n">
        <v>45154</v>
      </c>
      <c r="C519" s="1" t="n">
        <v>46199</v>
      </c>
      <c r="D519" t="inlineStr">
        <is>
          <t>JÖNKÖPINGS LÄN</t>
        </is>
      </c>
      <c r="E519" t="inlineStr">
        <is>
          <t>EKSJÖ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65554-2021</t>
        </is>
      </c>
      <c r="B520" s="1" t="n">
        <v>44516</v>
      </c>
      <c r="C520" s="1" t="n">
        <v>46199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63959-2023</t>
        </is>
      </c>
      <c r="B521" s="1" t="n">
        <v>45278</v>
      </c>
      <c r="C521" s="1" t="n">
        <v>46199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28024-2022</t>
        </is>
      </c>
      <c r="B522" s="1" t="n">
        <v>44746</v>
      </c>
      <c r="C522" s="1" t="n">
        <v>46199</v>
      </c>
      <c r="D522" t="inlineStr">
        <is>
          <t>JÖNKÖPINGS LÄN</t>
        </is>
      </c>
      <c r="E522" t="inlineStr">
        <is>
          <t>EKSJÖ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32333-2022</t>
        </is>
      </c>
      <c r="B523" s="1" t="n">
        <v>44781</v>
      </c>
      <c r="C523" s="1" t="n">
        <v>46199</v>
      </c>
      <c r="D523" t="inlineStr">
        <is>
          <t>JÖNKÖPINGS LÄN</t>
        </is>
      </c>
      <c r="E523" t="inlineStr">
        <is>
          <t>EKSJÖ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32336-2022</t>
        </is>
      </c>
      <c r="B524" s="1" t="n">
        <v>44781</v>
      </c>
      <c r="C524" s="1" t="n">
        <v>46199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6163-2024</t>
        </is>
      </c>
      <c r="B525" s="1" t="n">
        <v>45337</v>
      </c>
      <c r="C525" s="1" t="n">
        <v>46199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3484-2025</t>
        </is>
      </c>
      <c r="B526" s="1" t="n">
        <v>45680</v>
      </c>
      <c r="C526" s="1" t="n">
        <v>46199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46918-2023</t>
        </is>
      </c>
      <c r="B527" s="1" t="n">
        <v>45201</v>
      </c>
      <c r="C527" s="1" t="n">
        <v>46199</v>
      </c>
      <c r="D527" t="inlineStr">
        <is>
          <t>JÖNKÖPINGS LÄN</t>
        </is>
      </c>
      <c r="E527" t="inlineStr">
        <is>
          <t>EKSJÖ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8183-2023</t>
        </is>
      </c>
      <c r="B528" s="1" t="n">
        <v>44974</v>
      </c>
      <c r="C528" s="1" t="n">
        <v>46199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64541-2023</t>
        </is>
      </c>
      <c r="B529" s="1" t="n">
        <v>45281</v>
      </c>
      <c r="C529" s="1" t="n">
        <v>46199</v>
      </c>
      <c r="D529" t="inlineStr">
        <is>
          <t>JÖNKÖPINGS LÄN</t>
        </is>
      </c>
      <c r="E529" t="inlineStr">
        <is>
          <t>EKSJÖ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3298-2023</t>
        </is>
      </c>
      <c r="B530" s="1" t="n">
        <v>44949</v>
      </c>
      <c r="C530" s="1" t="n">
        <v>46199</v>
      </c>
      <c r="D530" t="inlineStr">
        <is>
          <t>JÖNKÖPINGS LÄN</t>
        </is>
      </c>
      <c r="E530" t="inlineStr">
        <is>
          <t>EKSJÖ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8923-2025</t>
        </is>
      </c>
      <c r="B531" s="1" t="n">
        <v>45713</v>
      </c>
      <c r="C531" s="1" t="n">
        <v>46199</v>
      </c>
      <c r="D531" t="inlineStr">
        <is>
          <t>JÖNKÖPINGS LÄN</t>
        </is>
      </c>
      <c r="E531" t="inlineStr">
        <is>
          <t>EKSJÖ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20485-2023</t>
        </is>
      </c>
      <c r="B532" s="1" t="n">
        <v>45057</v>
      </c>
      <c r="C532" s="1" t="n">
        <v>46199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59254-2023</t>
        </is>
      </c>
      <c r="B533" s="1" t="n">
        <v>45253</v>
      </c>
      <c r="C533" s="1" t="n">
        <v>46199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64993-2023</t>
        </is>
      </c>
      <c r="B534" s="1" t="n">
        <v>45286</v>
      </c>
      <c r="C534" s="1" t="n">
        <v>46199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109-2025</t>
        </is>
      </c>
      <c r="B535" s="1" t="n">
        <v>45659</v>
      </c>
      <c r="C535" s="1" t="n">
        <v>46199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18337-2025</t>
        </is>
      </c>
      <c r="B536" s="1" t="n">
        <v>45762</v>
      </c>
      <c r="C536" s="1" t="n">
        <v>46199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11022-2024</t>
        </is>
      </c>
      <c r="B537" s="1" t="n">
        <v>45370</v>
      </c>
      <c r="C537" s="1" t="n">
        <v>46199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23156-2023</t>
        </is>
      </c>
      <c r="B538" s="1" t="n">
        <v>45075</v>
      </c>
      <c r="C538" s="1" t="n">
        <v>46199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27395-2023</t>
        </is>
      </c>
      <c r="B539" s="1" t="n">
        <v>45096</v>
      </c>
      <c r="C539" s="1" t="n">
        <v>46199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36306-2023</t>
        </is>
      </c>
      <c r="B540" s="1" t="n">
        <v>45152</v>
      </c>
      <c r="C540" s="1" t="n">
        <v>46199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53053-2021</t>
        </is>
      </c>
      <c r="B541" s="1" t="n">
        <v>44467</v>
      </c>
      <c r="C541" s="1" t="n">
        <v>46199</v>
      </c>
      <c r="D541" t="inlineStr">
        <is>
          <t>JÖNKÖPINGS LÄN</t>
        </is>
      </c>
      <c r="E541" t="inlineStr">
        <is>
          <t>EKSJÖ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591-2023</t>
        </is>
      </c>
      <c r="B542" s="1" t="n">
        <v>44925</v>
      </c>
      <c r="C542" s="1" t="n">
        <v>46199</v>
      </c>
      <c r="D542" t="inlineStr">
        <is>
          <t>JÖNKÖPINGS LÄN</t>
        </is>
      </c>
      <c r="E542" t="inlineStr">
        <is>
          <t>EKSJÖ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2147-2023</t>
        </is>
      </c>
      <c r="B543" s="1" t="n">
        <v>44940</v>
      </c>
      <c r="C543" s="1" t="n">
        <v>46199</v>
      </c>
      <c r="D543" t="inlineStr">
        <is>
          <t>JÖNKÖPINGS LÄN</t>
        </is>
      </c>
      <c r="E543" t="inlineStr">
        <is>
          <t>EKSJÖ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2148-2023</t>
        </is>
      </c>
      <c r="B544" s="1" t="n">
        <v>44941</v>
      </c>
      <c r="C544" s="1" t="n">
        <v>46199</v>
      </c>
      <c r="D544" t="inlineStr">
        <is>
          <t>JÖNKÖPINGS LÄN</t>
        </is>
      </c>
      <c r="E544" t="inlineStr">
        <is>
          <t>EKSJÖ</t>
        </is>
      </c>
      <c r="F544" t="inlineStr">
        <is>
          <t>Övriga Aktiebolag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49919-2023</t>
        </is>
      </c>
      <c r="B545" s="1" t="n">
        <v>45214</v>
      </c>
      <c r="C545" s="1" t="n">
        <v>46199</v>
      </c>
      <c r="D545" t="inlineStr">
        <is>
          <t>JÖNKÖPINGS LÄN</t>
        </is>
      </c>
      <c r="E545" t="inlineStr">
        <is>
          <t>EKSJÖ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47806-2023</t>
        </is>
      </c>
      <c r="B546" s="1" t="n">
        <v>45204</v>
      </c>
      <c r="C546" s="1" t="n">
        <v>46199</v>
      </c>
      <c r="D546" t="inlineStr">
        <is>
          <t>JÖNKÖPINGS LÄN</t>
        </is>
      </c>
      <c r="E546" t="inlineStr">
        <is>
          <t>EKSJÖ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49681-2023</t>
        </is>
      </c>
      <c r="B547" s="1" t="n">
        <v>45212</v>
      </c>
      <c r="C547" s="1" t="n">
        <v>46199</v>
      </c>
      <c r="D547" t="inlineStr">
        <is>
          <t>JÖNKÖPINGS LÄN</t>
        </is>
      </c>
      <c r="E547" t="inlineStr">
        <is>
          <t>EKSJÖ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61850-2024</t>
        </is>
      </c>
      <c r="B548" s="1" t="n">
        <v>45649</v>
      </c>
      <c r="C548" s="1" t="n">
        <v>46199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34772-2023</t>
        </is>
      </c>
      <c r="B549" s="1" t="n">
        <v>45141</v>
      </c>
      <c r="C549" s="1" t="n">
        <v>46199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20068-2023</t>
        </is>
      </c>
      <c r="B550" s="1" t="n">
        <v>45054</v>
      </c>
      <c r="C550" s="1" t="n">
        <v>46199</v>
      </c>
      <c r="D550" t="inlineStr">
        <is>
          <t>JÖNKÖPINGS LÄN</t>
        </is>
      </c>
      <c r="E550" t="inlineStr">
        <is>
          <t>EKSJÖ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46019-2022</t>
        </is>
      </c>
      <c r="B551" s="1" t="n">
        <v>44846</v>
      </c>
      <c r="C551" s="1" t="n">
        <v>46199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45493-2022</t>
        </is>
      </c>
      <c r="B552" s="1" t="n">
        <v>44845</v>
      </c>
      <c r="C552" s="1" t="n">
        <v>46199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795-2024</t>
        </is>
      </c>
      <c r="B553" s="1" t="n">
        <v>45300</v>
      </c>
      <c r="C553" s="1" t="n">
        <v>46199</v>
      </c>
      <c r="D553" t="inlineStr">
        <is>
          <t>JÖNKÖPINGS LÄN</t>
        </is>
      </c>
      <c r="E553" t="inlineStr">
        <is>
          <t>EKSJÖ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36354-2022</t>
        </is>
      </c>
      <c r="B554" s="1" t="n">
        <v>44803</v>
      </c>
      <c r="C554" s="1" t="n">
        <v>46199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48740-2023</t>
        </is>
      </c>
      <c r="B555" s="1" t="n">
        <v>45208</v>
      </c>
      <c r="C555" s="1" t="n">
        <v>46199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29878-2023</t>
        </is>
      </c>
      <c r="B556" s="1" t="n">
        <v>45107</v>
      </c>
      <c r="C556" s="1" t="n">
        <v>46199</v>
      </c>
      <c r="D556" t="inlineStr">
        <is>
          <t>JÖNKÖPINGS LÄN</t>
        </is>
      </c>
      <c r="E556" t="inlineStr">
        <is>
          <t>EKSJÖ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586-2023</t>
        </is>
      </c>
      <c r="B557" s="1" t="n">
        <v>44925</v>
      </c>
      <c r="C557" s="1" t="n">
        <v>46199</v>
      </c>
      <c r="D557" t="inlineStr">
        <is>
          <t>JÖNKÖPINGS LÄN</t>
        </is>
      </c>
      <c r="E557" t="inlineStr">
        <is>
          <t>EKSJÖ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11723-2024</t>
        </is>
      </c>
      <c r="B558" s="1" t="n">
        <v>45373</v>
      </c>
      <c r="C558" s="1" t="n">
        <v>46199</v>
      </c>
      <c r="D558" t="inlineStr">
        <is>
          <t>JÖNKÖPINGS LÄN</t>
        </is>
      </c>
      <c r="E558" t="inlineStr">
        <is>
          <t>EKSJÖ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50410-2024</t>
        </is>
      </c>
      <c r="B559" s="1" t="n">
        <v>45601</v>
      </c>
      <c r="C559" s="1" t="n">
        <v>46199</v>
      </c>
      <c r="D559" t="inlineStr">
        <is>
          <t>JÖNKÖPINGS LÄN</t>
        </is>
      </c>
      <c r="E559" t="inlineStr">
        <is>
          <t>EKSJÖ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1919-2024</t>
        </is>
      </c>
      <c r="B560" s="1" t="n">
        <v>45308</v>
      </c>
      <c r="C560" s="1" t="n">
        <v>46199</v>
      </c>
      <c r="D560" t="inlineStr">
        <is>
          <t>JÖNKÖPINGS LÄN</t>
        </is>
      </c>
      <c r="E560" t="inlineStr">
        <is>
          <t>EKSJÖ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5629-2024</t>
        </is>
      </c>
      <c r="B561" s="1" t="n">
        <v>45334</v>
      </c>
      <c r="C561" s="1" t="n">
        <v>46199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25608-2024</t>
        </is>
      </c>
      <c r="B562" s="1" t="n">
        <v>45463</v>
      </c>
      <c r="C562" s="1" t="n">
        <v>46199</v>
      </c>
      <c r="D562" t="inlineStr">
        <is>
          <t>JÖNKÖPINGS LÄN</t>
        </is>
      </c>
      <c r="E562" t="inlineStr">
        <is>
          <t>EKSJÖ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38201-2023</t>
        </is>
      </c>
      <c r="B563" s="1" t="n">
        <v>45161</v>
      </c>
      <c r="C563" s="1" t="n">
        <v>46199</v>
      </c>
      <c r="D563" t="inlineStr">
        <is>
          <t>JÖNKÖPINGS LÄN</t>
        </is>
      </c>
      <c r="E563" t="inlineStr">
        <is>
          <t>EKSJÖ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54470-2024</t>
        </is>
      </c>
      <c r="B564" s="1" t="n">
        <v>45617</v>
      </c>
      <c r="C564" s="1" t="n">
        <v>46199</v>
      </c>
      <c r="D564" t="inlineStr">
        <is>
          <t>JÖNKÖPINGS LÄN</t>
        </is>
      </c>
      <c r="E564" t="inlineStr">
        <is>
          <t>EKSJÖ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2591-2022</t>
        </is>
      </c>
      <c r="B565" s="1" t="n">
        <v>44580</v>
      </c>
      <c r="C565" s="1" t="n">
        <v>46199</v>
      </c>
      <c r="D565" t="inlineStr">
        <is>
          <t>JÖNKÖPINGS LÄN</t>
        </is>
      </c>
      <c r="E565" t="inlineStr">
        <is>
          <t>EKSJÖ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27775-2024</t>
        </is>
      </c>
      <c r="B566" s="1" t="n">
        <v>45475</v>
      </c>
      <c r="C566" s="1" t="n">
        <v>46199</v>
      </c>
      <c r="D566" t="inlineStr">
        <is>
          <t>JÖNKÖPINGS LÄN</t>
        </is>
      </c>
      <c r="E566" t="inlineStr">
        <is>
          <t>EKSJÖ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9363-2025</t>
        </is>
      </c>
      <c r="B567" s="1" t="n">
        <v>45715</v>
      </c>
      <c r="C567" s="1" t="n">
        <v>46199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2835-2025</t>
        </is>
      </c>
      <c r="B568" s="1" t="n">
        <v>45677</v>
      </c>
      <c r="C568" s="1" t="n">
        <v>46199</v>
      </c>
      <c r="D568" t="inlineStr">
        <is>
          <t>JÖNKÖPINGS LÄN</t>
        </is>
      </c>
      <c r="E568" t="inlineStr">
        <is>
          <t>EKSJÖ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10972-2025</t>
        </is>
      </c>
      <c r="B569" s="1" t="n">
        <v>45723</v>
      </c>
      <c r="C569" s="1" t="n">
        <v>46199</v>
      </c>
      <c r="D569" t="inlineStr">
        <is>
          <t>JÖNKÖPINGS LÄN</t>
        </is>
      </c>
      <c r="E569" t="inlineStr">
        <is>
          <t>EKSJÖ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51541-2023</t>
        </is>
      </c>
      <c r="B570" s="1" t="n">
        <v>45222</v>
      </c>
      <c r="C570" s="1" t="n">
        <v>46199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6455-2024</t>
        </is>
      </c>
      <c r="B571" s="1" t="n">
        <v>45338</v>
      </c>
      <c r="C571" s="1" t="n">
        <v>46199</v>
      </c>
      <c r="D571" t="inlineStr">
        <is>
          <t>JÖNKÖPINGS LÄN</t>
        </is>
      </c>
      <c r="E571" t="inlineStr">
        <is>
          <t>EKSJÖ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45016-2024</t>
        </is>
      </c>
      <c r="B572" s="1" t="n">
        <v>45575</v>
      </c>
      <c r="C572" s="1" t="n">
        <v>46199</v>
      </c>
      <c r="D572" t="inlineStr">
        <is>
          <t>JÖNKÖPINGS LÄN</t>
        </is>
      </c>
      <c r="E572" t="inlineStr">
        <is>
          <t>EKSJÖ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50287-2024</t>
        </is>
      </c>
      <c r="B573" s="1" t="n">
        <v>45600</v>
      </c>
      <c r="C573" s="1" t="n">
        <v>46199</v>
      </c>
      <c r="D573" t="inlineStr">
        <is>
          <t>JÖNKÖPINGS LÄN</t>
        </is>
      </c>
      <c r="E573" t="inlineStr">
        <is>
          <t>EKSJÖ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19469-2025</t>
        </is>
      </c>
      <c r="B574" s="1" t="n">
        <v>45770</v>
      </c>
      <c r="C574" s="1" t="n">
        <v>46199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18695-2024</t>
        </is>
      </c>
      <c r="B575" s="1" t="n">
        <v>45426</v>
      </c>
      <c r="C575" s="1" t="n">
        <v>46199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20986-2025</t>
        </is>
      </c>
      <c r="B576" s="1" t="n">
        <v>45777</v>
      </c>
      <c r="C576" s="1" t="n">
        <v>46199</v>
      </c>
      <c r="D576" t="inlineStr">
        <is>
          <t>JÖNKÖPINGS LÄN</t>
        </is>
      </c>
      <c r="E576" t="inlineStr">
        <is>
          <t>EKSJÖ</t>
        </is>
      </c>
      <c r="F576" t="inlineStr">
        <is>
          <t>Kommuner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20960-2025</t>
        </is>
      </c>
      <c r="B577" s="1" t="n">
        <v>45777</v>
      </c>
      <c r="C577" s="1" t="n">
        <v>46199</v>
      </c>
      <c r="D577" t="inlineStr">
        <is>
          <t>JÖNKÖPINGS LÄN</t>
        </is>
      </c>
      <c r="E577" t="inlineStr">
        <is>
          <t>EKSJÖ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21224-2025</t>
        </is>
      </c>
      <c r="B578" s="1" t="n">
        <v>45779</v>
      </c>
      <c r="C578" s="1" t="n">
        <v>46199</v>
      </c>
      <c r="D578" t="inlineStr">
        <is>
          <t>JÖNKÖPINGS LÄN</t>
        </is>
      </c>
      <c r="E578" t="inlineStr">
        <is>
          <t>EKSJÖ</t>
        </is>
      </c>
      <c r="F578" t="inlineStr">
        <is>
          <t>Kommuner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59234-2024</t>
        </is>
      </c>
      <c r="B579" s="1" t="n">
        <v>45637</v>
      </c>
      <c r="C579" s="1" t="n">
        <v>46199</v>
      </c>
      <c r="D579" t="inlineStr">
        <is>
          <t>JÖNKÖPINGS LÄN</t>
        </is>
      </c>
      <c r="E579" t="inlineStr">
        <is>
          <t>EKSJÖ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2026-06-26T00:49:21Z</dcterms:created>
  <dcterms:modified xmlns:dcterms="http://purl.org/dc/terms/" xmlns:xsi="http://www.w3.org/2001/XMLSchema-instance" xsi:type="dcterms:W3CDTF">2026-06-26T00:49:21Z</dcterms:modified>
</cp:coreProperties>
</file>