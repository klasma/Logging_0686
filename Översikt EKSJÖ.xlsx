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46236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46236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46236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46236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46236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46236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46236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46236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46236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46236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46236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46236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46236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46236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46236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46236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48033-2023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45204</v>
      </c>
      <c r="E26" s="1" t="n">
        <v>46236</v>
      </c>
      <c r="F26" t="inlineStr">
        <is>
          <t>JÖNKÖPINGS LÄN</t>
        </is>
      </c>
      <c r="G26" t="inlineStr">
        <is>
          <t>EKSJÖ</t>
        </is>
      </c>
      <c r="H26" t="inlineStr">
        <is>
          <t>Sveaskog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48033-2023 artfynd.xlsx", "A 48033-2023")</f>
        <v/>
      </c>
      <c r="X26">
        <f>HYPERLINK("https://klasma.github.io/Logging_0686/kartor/A 48033-2023 karta.png", "A 48033-2023")</f>
        <v/>
      </c>
      <c r="Y26">
        <f>HYPERLINK("https://klasma.github.io/Logging_0686/kartor_geotiff/A 48033-2023 georefererad karta.tif", "A 48033-2023")</f>
        <v/>
      </c>
      <c r="AA26">
        <f>HYPERLINK("https://klasma.github.io/Logging_0686/klagomål/A 48033-2023 FSC-klagomål.docx", "A 48033-2023")</f>
        <v/>
      </c>
      <c r="AB26">
        <f>HYPERLINK("https://klasma.github.io/Logging_0686/klagomålsmail/A 48033-2023 FSC-klagomål mail.docx", "A 48033-2023")</f>
        <v/>
      </c>
      <c r="AC26">
        <f>HYPERLINK("https://klasma.github.io/Logging_0686/tillsyn/A 48033-2023 tillsynsbegäran.docx", "A 48033-2023")</f>
        <v/>
      </c>
      <c r="AD26">
        <f>HYPERLINK("https://klasma.github.io/Logging_0686/tillsynsmail/A 48033-2023 tillsynsbegäran mail.docx", "A 48033-2023")</f>
        <v/>
      </c>
    </row>
    <row r="27" ht="15" customHeight="1">
      <c r="A27" t="inlineStr">
        <is>
          <t>A 5519-2024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45334</v>
      </c>
      <c r="E27" s="1" t="n">
        <v>46236</v>
      </c>
      <c r="F27" t="inlineStr">
        <is>
          <t>JÖNKÖPINGS LÄN</t>
        </is>
      </c>
      <c r="G27" t="inlineStr">
        <is>
          <t>EKSJÖ</t>
        </is>
      </c>
      <c r="H27" t="inlineStr">
        <is>
          <t>Kommuner</t>
        </is>
      </c>
      <c r="I27" t="n">
        <v>7.2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HYPERLINK("https://klasma.github.io/Logging_0686/artfynd/A 5519-2024 artfynd.xlsx", "A 5519-2024")</f>
        <v/>
      </c>
      <c r="X27">
        <f>HYPERLINK("https://klasma.github.io/Logging_0686/kartor/A 5519-2024 karta.png", "A 5519-2024")</f>
        <v/>
      </c>
      <c r="Y27">
        <f>HYPERLINK("https://klasma.github.io/Logging_0686/kartor_geotiff/A 5519-2024 georefererad karta.tif", "A 5519-2024")</f>
        <v/>
      </c>
      <c r="AA27">
        <f>HYPERLINK("https://klasma.github.io/Logging_0686/klagomål/A 5519-2024 FSC-klagomål.docx", "A 5519-2024")</f>
        <v/>
      </c>
      <c r="AB27">
        <f>HYPERLINK("https://klasma.github.io/Logging_0686/klagomålsmail/A 5519-2024 FSC-klagomål mail.docx", "A 5519-2024")</f>
        <v/>
      </c>
      <c r="AC27">
        <f>HYPERLINK("https://klasma.github.io/Logging_0686/tillsyn/A 5519-2024 tillsynsbegäran.docx", "A 5519-2024")</f>
        <v/>
      </c>
      <c r="AD27">
        <f>HYPERLINK("https://klasma.github.io/Logging_0686/tillsynsmail/A 5519-2024 tillsynsbegäran mail.docx", "A 5519-2024")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46236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10726-2024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45369</v>
      </c>
      <c r="E29" s="1" t="n">
        <v>46236</v>
      </c>
      <c r="F29" t="inlineStr">
        <is>
          <t>JÖNKÖPINGS LÄN</t>
        </is>
      </c>
      <c r="G29" t="inlineStr">
        <is>
          <t>EKSJÖ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Sotvaxskivling</t>
        </is>
      </c>
      <c r="W29">
        <f>HYPERLINK("https://klasma.github.io/Logging_0686/artfynd/A 10726-2024 artfynd.xlsx", "A 10726-2024")</f>
        <v/>
      </c>
      <c r="X29">
        <f>HYPERLINK("https://klasma.github.io/Logging_0686/kartor/A 10726-2024 karta.png", "A 10726-2024")</f>
        <v/>
      </c>
      <c r="Y29">
        <f>HYPERLINK("https://klasma.github.io/Logging_0686/kartor_geotiff/A 10726-2024 georefererad karta.tif", "A 10726-2024")</f>
        <v/>
      </c>
      <c r="AA29">
        <f>HYPERLINK("https://klasma.github.io/Logging_0686/klagomål/A 10726-2024 FSC-klagomål.docx", "A 10726-2024")</f>
        <v/>
      </c>
      <c r="AB29">
        <f>HYPERLINK("https://klasma.github.io/Logging_0686/klagomålsmail/A 10726-2024 FSC-klagomål mail.docx", "A 10726-2024")</f>
        <v/>
      </c>
      <c r="AC29">
        <f>HYPERLINK("https://klasma.github.io/Logging_0686/tillsyn/A 10726-2024 tillsynsbegäran.docx", "A 10726-2024")</f>
        <v/>
      </c>
      <c r="AD29">
        <f>HYPERLINK("https://klasma.github.io/Logging_0686/tillsynsmail/A 10726-2024 tillsynsbegäran mail.docx", "A 10726-2024")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46236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46236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4964-2023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44958</v>
      </c>
      <c r="E32" s="1" t="n">
        <v>46236</v>
      </c>
      <c r="F32" t="inlineStr">
        <is>
          <t>JÖNKÖPINGS LÄN</t>
        </is>
      </c>
      <c r="G32" t="inlineStr">
        <is>
          <t>EKSJÖ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HYPERLINK("https://klasma.github.io/Logging_0686/artfynd/A 4964-2023 artfynd.xlsx", "A 4964-2023")</f>
        <v/>
      </c>
      <c r="X32">
        <f>HYPERLINK("https://klasma.github.io/Logging_0686/kartor/A 4964-2023 karta.png", "A 4964-2023")</f>
        <v/>
      </c>
      <c r="Y32">
        <f>HYPERLINK("https://klasma.github.io/Logging_0686/kartor_geotiff/A 4964-2023 georefererad karta.tif", "A 4964-2023")</f>
        <v/>
      </c>
      <c r="AA32">
        <f>HYPERLINK("https://klasma.github.io/Logging_0686/klagomål/A 4964-2023 FSC-klagomål.docx", "A 4964-2023")</f>
        <v/>
      </c>
      <c r="AB32">
        <f>HYPERLINK("https://klasma.github.io/Logging_0686/klagomålsmail/A 4964-2023 FSC-klagomål mail.docx", "A 4964-2023")</f>
        <v/>
      </c>
      <c r="AC32">
        <f>HYPERLINK("https://klasma.github.io/Logging_0686/tillsyn/A 4964-2023 tillsynsbegäran.docx", "A 4964-2023")</f>
        <v/>
      </c>
      <c r="AD32">
        <f>HYPERLINK("https://klasma.github.io/Logging_0686/tillsynsmail/A 4964-2023 tillsynsbegäran mail.docx", "A 4964-2023")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46236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46236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23536-2026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46236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Spindelört</t>
        </is>
      </c>
      <c r="W35">
        <f>HYPERLINK("https://klasma.github.io/Logging_0686/artfynd/A 23536-2026 artfynd.xlsx", "A 23536-2026")</f>
        <v/>
      </c>
      <c r="X35">
        <f>HYPERLINK("https://klasma.github.io/Logging_0686/kartor/A 23536-2026 karta.png", "A 23536-2026")</f>
        <v/>
      </c>
      <c r="Y35">
        <f>HYPERLINK("https://klasma.github.io/Logging_0686/kartor_geotiff/A 23536-2026 georefererad karta.tif", "A 23536-2026")</f>
        <v/>
      </c>
      <c r="AA35">
        <f>HYPERLINK("https://klasma.github.io/Logging_0686/klagomål/A 23536-2026 FSC-klagomål.docx", "A 23536-2026")</f>
        <v/>
      </c>
      <c r="AB35">
        <f>HYPERLINK("https://klasma.github.io/Logging_0686/klagomålsmail/A 23536-2026 FSC-klagomål mail.docx", "A 23536-2026")</f>
        <v/>
      </c>
      <c r="AC35">
        <f>HYPERLINK("https://klasma.github.io/Logging_0686/tillsyn/A 23536-2026 tillsynsbegäran.docx", "A 23536-2026")</f>
        <v/>
      </c>
      <c r="AD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46236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49412-2021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44454</v>
      </c>
      <c r="E37" s="1" t="n">
        <v>46236</v>
      </c>
      <c r="F37" t="inlineStr">
        <is>
          <t>JÖNKÖPINGS LÄN</t>
        </is>
      </c>
      <c r="G37" t="inlineStr">
        <is>
          <t>EKSJÖ</t>
        </is>
      </c>
      <c r="I37" t="n">
        <v>5.3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Ladusvala</t>
        </is>
      </c>
      <c r="W37">
        <f>HYPERLINK("https://klasma.github.io/Logging_0686/artfynd/A 49412-2021 artfynd.xlsx", "A 49412-2021")</f>
        <v/>
      </c>
      <c r="X37">
        <f>HYPERLINK("https://klasma.github.io/Logging_0686/kartor/A 49412-2021 karta.png", "A 49412-2021")</f>
        <v/>
      </c>
      <c r="Y37">
        <f>HYPERLINK("https://klasma.github.io/Logging_0686/kartor_geotiff/A 49412-2021 georefererad karta.tif", "A 49412-2021")</f>
        <v/>
      </c>
      <c r="AA37">
        <f>HYPERLINK("https://klasma.github.io/Logging_0686/klagomål/A 49412-2021 FSC-klagomål.docx", "A 49412-2021")</f>
        <v/>
      </c>
      <c r="AB37">
        <f>HYPERLINK("https://klasma.github.io/Logging_0686/klagomålsmail/A 49412-2021 FSC-klagomål mail.docx", "A 49412-2021")</f>
        <v/>
      </c>
      <c r="AC37">
        <f>HYPERLINK("https://klasma.github.io/Logging_0686/tillsyn/A 49412-2021 tillsynsbegäran.docx", "A 49412-2021")</f>
        <v/>
      </c>
      <c r="AD37">
        <f>HYPERLINK("https://klasma.github.io/Logging_0686/tillsynsmail/A 49412-2021 tillsynsbegäran mail.docx", "A 49412-2021")</f>
        <v/>
      </c>
    </row>
    <row r="38" ht="15" customHeight="1">
      <c r="A38" t="inlineStr">
        <is>
          <t>A 29121-2026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46202</v>
      </c>
      <c r="E38" s="1" t="n">
        <v>46236</v>
      </c>
      <c r="F38" t="inlineStr">
        <is>
          <t>JÖNKÖPINGS LÄN</t>
        </is>
      </c>
      <c r="G38" t="inlineStr">
        <is>
          <t>EKSJÖ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HYPERLINK("https://klasma.github.io/Logging_0686/artfynd/A 29121-2026 artfynd.xlsx", "A 29121-2026")</f>
        <v/>
      </c>
      <c r="X38">
        <f>HYPERLINK("https://klasma.github.io/Logging_0686/kartor/A 29121-2026 karta.png", "A 29121-2026")</f>
        <v/>
      </c>
      <c r="Y38">
        <f>HYPERLINK("https://klasma.github.io/Logging_0686/kartor_geotiff/A 29121-2026 georefererad karta.tif", "A 29121-2026")</f>
        <v/>
      </c>
      <c r="AA38">
        <f>HYPERLINK("https://klasma.github.io/Logging_0686/klagomål/A 29121-2026 FSC-klagomål.docx", "A 29121-2026")</f>
        <v/>
      </c>
      <c r="AB38">
        <f>HYPERLINK("https://klasma.github.io/Logging_0686/klagomålsmail/A 29121-2026 FSC-klagomål mail.docx", "A 29121-2026")</f>
        <v/>
      </c>
      <c r="AC38">
        <f>HYPERLINK("https://klasma.github.io/Logging_0686/tillsyn/A 29121-2026 tillsynsbegäran.docx", "A 29121-2026")</f>
        <v/>
      </c>
      <c r="AD38">
        <f>HYPERLINK("https://klasma.github.io/Logging_0686/tillsynsmail/A 29121-2026 tillsynsbegäran mail.docx", "A 29121-2026")</f>
        <v/>
      </c>
    </row>
    <row r="39" ht="15" customHeight="1">
      <c r="A39" t="inlineStr">
        <is>
          <t>A 18327-2024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45422</v>
      </c>
      <c r="E39" s="1" t="n">
        <v>46236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Dvärgbägarlav</t>
        </is>
      </c>
      <c r="W39">
        <f>HYPERLINK("https://klasma.github.io/Logging_0686/artfynd/A 18327-2024 artfynd.xlsx", "A 18327-2024")</f>
        <v/>
      </c>
      <c r="X39">
        <f>HYPERLINK("https://klasma.github.io/Logging_0686/kartor/A 18327-2024 karta.png", "A 18327-2024")</f>
        <v/>
      </c>
      <c r="Y39">
        <f>HYPERLINK("https://klasma.github.io/Logging_0686/kartor_geotiff/A 18327-2024 georefererad karta.tif", "A 18327-2024")</f>
        <v/>
      </c>
      <c r="AA39">
        <f>HYPERLINK("https://klasma.github.io/Logging_0686/klagomål/A 18327-2024 FSC-klagomål.docx", "A 18327-2024")</f>
        <v/>
      </c>
      <c r="AB39">
        <f>HYPERLINK("https://klasma.github.io/Logging_0686/klagomålsmail/A 18327-2024 FSC-klagomål mail.docx", "A 18327-2024")</f>
        <v/>
      </c>
      <c r="AC39">
        <f>HYPERLINK("https://klasma.github.io/Logging_0686/tillsyn/A 18327-2024 tillsynsbegäran.docx", "A 18327-2024")</f>
        <v/>
      </c>
      <c r="AD39">
        <f>HYPERLINK("https://klasma.github.io/Logging_0686/tillsynsmail/A 18327-2024 tillsynsbegäran mail.docx", "A 18327-2024")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46236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46236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46236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41746-2023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45176</v>
      </c>
      <c r="E43" s="1" t="n">
        <v>46236</v>
      </c>
      <c r="F43" t="inlineStr">
        <is>
          <t>JÖNKÖPINGS LÄN</t>
        </is>
      </c>
      <c r="G43" t="inlineStr">
        <is>
          <t>EKSJÖ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vattensalamander</t>
        </is>
      </c>
      <c r="W43">
        <f>HYPERLINK("https://klasma.github.io/Logging_0686/artfynd/A 41746-2023 artfynd.xlsx", "A 41746-2023")</f>
        <v/>
      </c>
      <c r="X43">
        <f>HYPERLINK("https://klasma.github.io/Logging_0686/kartor/A 41746-2023 karta.png", "A 41746-2023")</f>
        <v/>
      </c>
      <c r="Y43">
        <f>HYPERLINK("https://klasma.github.io/Logging_0686/kartor_geotiff/A 41746-2023 georefererad karta.tif", "A 41746-2023")</f>
        <v/>
      </c>
      <c r="AA43">
        <f>HYPERLINK("https://klasma.github.io/Logging_0686/klagomål/A 41746-2023 FSC-klagomål.docx", "A 41746-2023")</f>
        <v/>
      </c>
      <c r="AB43">
        <f>HYPERLINK("https://klasma.github.io/Logging_0686/klagomålsmail/A 41746-2023 FSC-klagomål mail.docx", "A 41746-2023")</f>
        <v/>
      </c>
      <c r="AC43">
        <f>HYPERLINK("https://klasma.github.io/Logging_0686/tillsyn/A 41746-2023 tillsynsbegäran.docx", "A 41746-2023")</f>
        <v/>
      </c>
      <c r="AD43">
        <f>HYPERLINK("https://klasma.github.io/Logging_0686/tillsynsmail/A 41746-2023 tillsynsbegäran mail.docx", "A 41746-2023")</f>
        <v/>
      </c>
    </row>
    <row r="44" ht="15" customHeight="1">
      <c r="A44" t="inlineStr">
        <is>
          <t>A 38224-2023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46236</v>
      </c>
      <c r="F44" t="inlineStr">
        <is>
          <t>JÖNKÖPINGS LÄN</t>
        </is>
      </c>
      <c r="G44" t="inlineStr">
        <is>
          <t>EKSJÖ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Ask</t>
        </is>
      </c>
      <c r="W44">
        <f>HYPERLINK("https://klasma.github.io/Logging_0686/artfynd/A 38224-2023 artfynd.xlsx", "A 38224-2023")</f>
        <v/>
      </c>
      <c r="X44">
        <f>HYPERLINK("https://klasma.github.io/Logging_0686/kartor/A 38224-2023 karta.png", "A 38224-2023")</f>
        <v/>
      </c>
      <c r="Y44">
        <f>HYPERLINK("https://klasma.github.io/Logging_0686/kartor_geotiff/A 38224-2023 georefererad karta.tif", "A 38224-2023")</f>
        <v/>
      </c>
      <c r="AA44">
        <f>HYPERLINK("https://klasma.github.io/Logging_0686/klagomål/A 38224-2023 FSC-klagomål.docx", "A 38224-2023")</f>
        <v/>
      </c>
      <c r="AB44">
        <f>HYPERLINK("https://klasma.github.io/Logging_0686/klagomålsmail/A 38224-2023 FSC-klagomål mail.docx", "A 38224-2023")</f>
        <v/>
      </c>
      <c r="AC44">
        <f>HYPERLINK("https://klasma.github.io/Logging_0686/tillsyn/A 38224-2023 tillsynsbegäran.docx", "A 38224-2023")</f>
        <v/>
      </c>
      <c r="AD44">
        <f>HYPERLINK("https://klasma.github.io/Logging_0686/tillsynsmail/A 38224-2023 tillsynsbegäran mail.docx", "A 38224-2023")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46236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46236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46236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46236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46236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46236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46236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46236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46236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46236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46236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46236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46236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46236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46236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46236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46236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46236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46236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46236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46236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46236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46236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46236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46236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46236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46236</v>
      </c>
      <c r="F71" t="inlineStr">
        <is>
          <t>JÖNKÖPINGS LÄN</t>
        </is>
      </c>
      <c r="G71" t="inlineStr">
        <is>
          <t>EKSJÖ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46236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46236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46236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46236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46236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46236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46236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46236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46236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46236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46236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46236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46236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46236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46236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46236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46236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46236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46236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46236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46236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46236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46236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46236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46236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46236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46236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46236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46236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46236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46236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46236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50967-2021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46236</v>
      </c>
      <c r="F104" t="inlineStr">
        <is>
          <t>JÖNKÖPINGS LÄN</t>
        </is>
      </c>
      <c r="G104" t="inlineStr">
        <is>
          <t>EKSJÖ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46236</v>
      </c>
      <c r="F105" t="inlineStr">
        <is>
          <t>JÖNKÖPINGS LÄN</t>
        </is>
      </c>
      <c r="G105" t="inlineStr">
        <is>
          <t>EKSJÖ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36042-2024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45533</v>
      </c>
      <c r="E106" s="1" t="n">
        <v>46236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46236</v>
      </c>
      <c r="F107" t="inlineStr">
        <is>
          <t>JÖNKÖPINGS LÄN</t>
        </is>
      </c>
      <c r="G107" t="inlineStr">
        <is>
          <t>EKSJÖ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46236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46236</v>
      </c>
      <c r="F109" t="inlineStr">
        <is>
          <t>JÖNKÖPINGS LÄN</t>
        </is>
      </c>
      <c r="G109" t="inlineStr">
        <is>
          <t>EKSJÖ</t>
        </is>
      </c>
      <c r="H109" t="inlineStr">
        <is>
          <t>Övriga Aktiebolag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46236</v>
      </c>
      <c r="F110" t="inlineStr">
        <is>
          <t>JÖNKÖPINGS LÄN</t>
        </is>
      </c>
      <c r="G110" t="inlineStr">
        <is>
          <t>EKSJÖ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40673-2021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44420</v>
      </c>
      <c r="E111" s="1" t="n">
        <v>46236</v>
      </c>
      <c r="F111" t="inlineStr">
        <is>
          <t>JÖNKÖPINGS LÄN</t>
        </is>
      </c>
      <c r="G111" t="inlineStr">
        <is>
          <t>EKSJÖ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46236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45154</v>
      </c>
      <c r="E113" s="1" t="n">
        <v>46236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44582</v>
      </c>
      <c r="E114" s="1" t="n">
        <v>46236</v>
      </c>
      <c r="F114" t="inlineStr">
        <is>
          <t>JÖNKÖPINGS LÄN</t>
        </is>
      </c>
      <c r="G114" t="inlineStr">
        <is>
          <t>EKSJÖ</t>
        </is>
      </c>
      <c r="H114" t="inlineStr">
        <is>
          <t>Kommuner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44454</v>
      </c>
      <c r="E115" s="1" t="n">
        <v>46236</v>
      </c>
      <c r="F115" t="inlineStr">
        <is>
          <t>JÖNKÖPINGS LÄN</t>
        </is>
      </c>
      <c r="G115" t="inlineStr">
        <is>
          <t>EKSJÖ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41791-2021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44425</v>
      </c>
      <c r="E116" s="1" t="n">
        <v>46236</v>
      </c>
      <c r="F116" t="inlineStr">
        <is>
          <t>JÖNKÖPINGS LÄN</t>
        </is>
      </c>
      <c r="G116" t="inlineStr">
        <is>
          <t>EKSJÖ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9258-2022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46236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46236</v>
      </c>
      <c r="F118" t="inlineStr">
        <is>
          <t>JÖNKÖPINGS LÄN</t>
        </is>
      </c>
      <c r="G118" t="inlineStr">
        <is>
          <t>EKSJÖ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30931-2023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45113</v>
      </c>
      <c r="E119" s="1" t="n">
        <v>46236</v>
      </c>
      <c r="F119" t="inlineStr">
        <is>
          <t>JÖNKÖPINGS LÄN</t>
        </is>
      </c>
      <c r="G119" t="inlineStr">
        <is>
          <t>EKSJÖ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46236</v>
      </c>
      <c r="F120" t="inlineStr">
        <is>
          <t>JÖNKÖPINGS LÄN</t>
        </is>
      </c>
      <c r="G120" t="inlineStr">
        <is>
          <t>EKSJÖ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46236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46236</v>
      </c>
      <c r="F122" t="inlineStr">
        <is>
          <t>JÖNKÖPINGS LÄN</t>
        </is>
      </c>
      <c r="G122" t="inlineStr">
        <is>
          <t>EKSJÖ</t>
        </is>
      </c>
      <c r="H122" t="inlineStr">
        <is>
          <t>Kommuner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46236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66930-2021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46236</v>
      </c>
      <c r="F124" t="inlineStr">
        <is>
          <t>JÖNKÖPINGS LÄN</t>
        </is>
      </c>
      <c r="G124" t="inlineStr">
        <is>
          <t>EKSJÖ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46236</v>
      </c>
      <c r="F125" t="inlineStr">
        <is>
          <t>JÖNKÖPINGS LÄN</t>
        </is>
      </c>
      <c r="G125" t="inlineStr">
        <is>
          <t>EKSJÖ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44630</v>
      </c>
      <c r="E126" s="1" t="n">
        <v>46236</v>
      </c>
      <c r="F126" t="inlineStr">
        <is>
          <t>JÖNKÖPINGS LÄN</t>
        </is>
      </c>
      <c r="G126" t="inlineStr">
        <is>
          <t>EKSJÖ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46236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46236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46236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46236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46236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46236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46236</v>
      </c>
      <c r="F133" t="inlineStr">
        <is>
          <t>JÖNKÖPINGS LÄN</t>
        </is>
      </c>
      <c r="G133" t="inlineStr">
        <is>
          <t>EKSJÖ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46236</v>
      </c>
      <c r="F134" t="inlineStr">
        <is>
          <t>JÖNKÖPINGS LÄN</t>
        </is>
      </c>
      <c r="G134" t="inlineStr">
        <is>
          <t>EKSJÖ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46236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46236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46236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46236</v>
      </c>
      <c r="F138" t="inlineStr">
        <is>
          <t>JÖNKÖPINGS LÄN</t>
        </is>
      </c>
      <c r="G138" t="inlineStr">
        <is>
          <t>EKSJÖ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71313-2021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44539</v>
      </c>
      <c r="E139" s="1" t="n">
        <v>46236</v>
      </c>
      <c r="F139" t="inlineStr">
        <is>
          <t>JÖNKÖPINGS LÄN</t>
        </is>
      </c>
      <c r="G139" t="inlineStr">
        <is>
          <t>EKSJÖ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46236</v>
      </c>
      <c r="F140" t="inlineStr">
        <is>
          <t>JÖNKÖPINGS LÄN</t>
        </is>
      </c>
      <c r="G140" t="inlineStr">
        <is>
          <t>EKSJÖ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46236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43411-2022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44834</v>
      </c>
      <c r="E142" s="1" t="n">
        <v>46236</v>
      </c>
      <c r="F142" t="inlineStr">
        <is>
          <t>JÖNKÖPINGS LÄN</t>
        </is>
      </c>
      <c r="G142" t="inlineStr">
        <is>
          <t>EKSJÖ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45512</v>
      </c>
      <c r="E143" s="1" t="n">
        <v>46236</v>
      </c>
      <c r="F143" t="inlineStr">
        <is>
          <t>JÖNKÖPINGS LÄN</t>
        </is>
      </c>
      <c r="G143" t="inlineStr">
        <is>
          <t>EKSJÖ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46236</v>
      </c>
      <c r="F144" t="inlineStr">
        <is>
          <t>JÖNKÖPINGS LÄN</t>
        </is>
      </c>
      <c r="G144" t="inlineStr">
        <is>
          <t>EKSJÖ</t>
        </is>
      </c>
      <c r="H144" t="inlineStr">
        <is>
          <t>Kommuner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54292-2023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45232</v>
      </c>
      <c r="E145" s="1" t="n">
        <v>46236</v>
      </c>
      <c r="F145" t="inlineStr">
        <is>
          <t>JÖNKÖPINGS LÄN</t>
        </is>
      </c>
      <c r="G145" t="inlineStr">
        <is>
          <t>EKSJÖ</t>
        </is>
      </c>
      <c r="I145" t="n">
        <v>18.3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46236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46236</v>
      </c>
      <c r="F147" t="inlineStr">
        <is>
          <t>JÖNKÖPINGS LÄN</t>
        </is>
      </c>
      <c r="G147" t="inlineStr">
        <is>
          <t>EKSJÖ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44939</v>
      </c>
      <c r="E148" s="1" t="n">
        <v>46236</v>
      </c>
      <c r="F148" t="inlineStr">
        <is>
          <t>JÖNKÖPINGS LÄN</t>
        </is>
      </c>
      <c r="G148" t="inlineStr">
        <is>
          <t>EKSJÖ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46236</v>
      </c>
      <c r="F149" t="inlineStr">
        <is>
          <t>JÖNKÖPINGS LÄN</t>
        </is>
      </c>
      <c r="G149" t="inlineStr">
        <is>
          <t>EKSJÖ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46236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45086</v>
      </c>
      <c r="E151" s="1" t="n">
        <v>46236</v>
      </c>
      <c r="F151" t="inlineStr">
        <is>
          <t>JÖNKÖPINGS LÄN</t>
        </is>
      </c>
      <c r="G151" t="inlineStr">
        <is>
          <t>EKSJÖ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46236</v>
      </c>
      <c r="F152" t="inlineStr">
        <is>
          <t>JÖNKÖPINGS LÄN</t>
        </is>
      </c>
      <c r="G152" t="inlineStr">
        <is>
          <t>EKSJÖ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46236</v>
      </c>
      <c r="F153" t="inlineStr">
        <is>
          <t>JÖNKÖPINGS LÄN</t>
        </is>
      </c>
      <c r="G153" t="inlineStr">
        <is>
          <t>EKSJÖ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46236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46236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44600</v>
      </c>
      <c r="E156" s="1" t="n">
        <v>46236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46236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46236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46236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45245</v>
      </c>
      <c r="E160" s="1" t="n">
        <v>46236</v>
      </c>
      <c r="F160" t="inlineStr">
        <is>
          <t>JÖNKÖPINGS LÄN</t>
        </is>
      </c>
      <c r="G160" t="inlineStr">
        <is>
          <t>EKSJÖ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59050-2021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46236</v>
      </c>
      <c r="F161" t="inlineStr">
        <is>
          <t>JÖNKÖPINGS LÄN</t>
        </is>
      </c>
      <c r="G161" t="inlineStr">
        <is>
          <t>EKSJÖ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45091</v>
      </c>
      <c r="E162" s="1" t="n">
        <v>46236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46236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44481</v>
      </c>
      <c r="E164" s="1" t="n">
        <v>46236</v>
      </c>
      <c r="F164" t="inlineStr">
        <is>
          <t>JÖNKÖPINGS LÄN</t>
        </is>
      </c>
      <c r="G164" t="inlineStr">
        <is>
          <t>EKSJÖ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46236</v>
      </c>
      <c r="F165" t="inlineStr">
        <is>
          <t>JÖNKÖPINGS LÄN</t>
        </is>
      </c>
      <c r="G165" t="inlineStr">
        <is>
          <t>EKSJÖ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45300</v>
      </c>
      <c r="E166" s="1" t="n">
        <v>46236</v>
      </c>
      <c r="F166" t="inlineStr">
        <is>
          <t>JÖNKÖPINGS LÄN</t>
        </is>
      </c>
      <c r="G166" t="inlineStr">
        <is>
          <t>EKSJÖ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50299-2023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45216</v>
      </c>
      <c r="E167" s="1" t="n">
        <v>46236</v>
      </c>
      <c r="F167" t="inlineStr">
        <is>
          <t>JÖNKÖPINGS LÄN</t>
        </is>
      </c>
      <c r="G167" t="inlineStr">
        <is>
          <t>EKSJÖ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46236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46236</v>
      </c>
      <c r="F169" t="inlineStr">
        <is>
          <t>JÖNKÖPINGS LÄN</t>
        </is>
      </c>
      <c r="G169" t="inlineStr">
        <is>
          <t>EKSJÖ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44574</v>
      </c>
      <c r="E170" s="1" t="n">
        <v>46236</v>
      </c>
      <c r="F170" t="inlineStr">
        <is>
          <t>JÖNKÖPINGS LÄN</t>
        </is>
      </c>
      <c r="G170" t="inlineStr">
        <is>
          <t>EKSJÖ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46236</v>
      </c>
      <c r="F171" t="inlineStr">
        <is>
          <t>JÖNKÖPINGS LÄN</t>
        </is>
      </c>
      <c r="G171" t="inlineStr">
        <is>
          <t>EKSJÖ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45370</v>
      </c>
      <c r="E172" s="1" t="n">
        <v>46236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46236</v>
      </c>
      <c r="F173" t="inlineStr">
        <is>
          <t>JÖNKÖPINGS LÄN</t>
        </is>
      </c>
      <c r="G173" t="inlineStr">
        <is>
          <t>EKSJÖ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46236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46236</v>
      </c>
      <c r="F175" t="inlineStr">
        <is>
          <t>JÖNKÖPINGS LÄN</t>
        </is>
      </c>
      <c r="G175" t="inlineStr">
        <is>
          <t>EKSJÖ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56322-2021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46236</v>
      </c>
      <c r="F176" t="inlineStr">
        <is>
          <t>JÖNKÖPINGS LÄN</t>
        </is>
      </c>
      <c r="G176" t="inlineStr">
        <is>
          <t>EKSJÖ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46236</v>
      </c>
      <c r="F177" t="inlineStr">
        <is>
          <t>JÖNKÖPINGS LÄN</t>
        </is>
      </c>
      <c r="G177" t="inlineStr">
        <is>
          <t>EKSJÖ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46236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45513</v>
      </c>
      <c r="E179" s="1" t="n">
        <v>46236</v>
      </c>
      <c r="F179" t="inlineStr">
        <is>
          <t>JÖNKÖPINGS LÄN</t>
        </is>
      </c>
      <c r="G179" t="inlineStr">
        <is>
          <t>EKSJÖ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46236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46236</v>
      </c>
      <c r="F181" t="inlineStr">
        <is>
          <t>JÖNKÖPINGS LÄN</t>
        </is>
      </c>
      <c r="G181" t="inlineStr">
        <is>
          <t>EKSJÖ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46236</v>
      </c>
      <c r="F182" t="inlineStr">
        <is>
          <t>JÖNKÖPINGS LÄN</t>
        </is>
      </c>
      <c r="G182" t="inlineStr">
        <is>
          <t>EKSJÖ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46236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46236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45086</v>
      </c>
      <c r="E185" s="1" t="n">
        <v>46236</v>
      </c>
      <c r="F185" t="inlineStr">
        <is>
          <t>JÖNKÖPINGS LÄN</t>
        </is>
      </c>
      <c r="G185" t="inlineStr">
        <is>
          <t>EKSJÖ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46236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44888</v>
      </c>
      <c r="E187" s="1" t="n">
        <v>46236</v>
      </c>
      <c r="F187" t="inlineStr">
        <is>
          <t>JÖNKÖPINGS LÄN</t>
        </is>
      </c>
      <c r="G187" t="inlineStr">
        <is>
          <t>EKSJÖ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45408</v>
      </c>
      <c r="E188" s="1" t="n">
        <v>46236</v>
      </c>
      <c r="F188" t="inlineStr">
        <is>
          <t>JÖNKÖPINGS LÄN</t>
        </is>
      </c>
      <c r="G188" t="inlineStr">
        <is>
          <t>EKSJÖ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46236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46236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46236</v>
      </c>
      <c r="F191" t="inlineStr">
        <is>
          <t>JÖNKÖPINGS LÄN</t>
        </is>
      </c>
      <c r="G191" t="inlineStr">
        <is>
          <t>EKSJÖ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45837</v>
      </c>
      <c r="E192" s="1" t="n">
        <v>46236</v>
      </c>
      <c r="F192" t="inlineStr">
        <is>
          <t>JÖNKÖPINGS LÄN</t>
        </is>
      </c>
      <c r="G192" t="inlineStr">
        <is>
          <t>EKSJÖ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46236</v>
      </c>
      <c r="F193" t="inlineStr">
        <is>
          <t>JÖNKÖPINGS LÄN</t>
        </is>
      </c>
      <c r="G193" t="inlineStr">
        <is>
          <t>EKSJÖ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46236</v>
      </c>
      <c r="F194" t="inlineStr">
        <is>
          <t>JÖNKÖPINGS LÄN</t>
        </is>
      </c>
      <c r="G194" t="inlineStr">
        <is>
          <t>EKSJÖ</t>
        </is>
      </c>
      <c r="H194" t="inlineStr">
        <is>
          <t>Övriga Aktiebolag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46236</v>
      </c>
      <c r="F195" t="inlineStr">
        <is>
          <t>JÖNKÖPINGS LÄN</t>
        </is>
      </c>
      <c r="G195" t="inlineStr">
        <is>
          <t>EKSJÖ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44925</v>
      </c>
      <c r="E196" s="1" t="n">
        <v>46236</v>
      </c>
      <c r="F196" t="inlineStr">
        <is>
          <t>JÖNKÖPINGS LÄN</t>
        </is>
      </c>
      <c r="G196" t="inlineStr">
        <is>
          <t>EKSJÖ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46236</v>
      </c>
      <c r="F197" t="inlineStr">
        <is>
          <t>JÖNKÖPINGS LÄN</t>
        </is>
      </c>
      <c r="G197" t="inlineStr">
        <is>
          <t>EKSJÖ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46236</v>
      </c>
      <c r="F198" t="inlineStr">
        <is>
          <t>JÖNKÖPINGS LÄN</t>
        </is>
      </c>
      <c r="G198" t="inlineStr">
        <is>
          <t>EKSJÖ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46236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44623</v>
      </c>
      <c r="E200" s="1" t="n">
        <v>46236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46236</v>
      </c>
      <c r="F201" t="inlineStr">
        <is>
          <t>JÖNKÖPINGS LÄN</t>
        </is>
      </c>
      <c r="G201" t="inlineStr">
        <is>
          <t>EKSJÖ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46236</v>
      </c>
      <c r="F202" t="inlineStr">
        <is>
          <t>JÖNKÖPINGS LÄN</t>
        </is>
      </c>
      <c r="G202" t="inlineStr">
        <is>
          <t>EKSJÖ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46236</v>
      </c>
      <c r="F203" t="inlineStr">
        <is>
          <t>JÖNKÖPINGS LÄN</t>
        </is>
      </c>
      <c r="G203" t="inlineStr">
        <is>
          <t>EKSJÖ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46236</v>
      </c>
      <c r="F204" t="inlineStr">
        <is>
          <t>JÖNKÖPINGS LÄN</t>
        </is>
      </c>
      <c r="G204" t="inlineStr">
        <is>
          <t>EKSJÖ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46236</v>
      </c>
      <c r="F205" t="inlineStr">
        <is>
          <t>JÖNKÖPINGS LÄN</t>
        </is>
      </c>
      <c r="G205" t="inlineStr">
        <is>
          <t>EKSJÖ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12821-2024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45384</v>
      </c>
      <c r="E206" s="1" t="n">
        <v>46236</v>
      </c>
      <c r="F206" t="inlineStr">
        <is>
          <t>JÖNKÖPINGS LÄN</t>
        </is>
      </c>
      <c r="G206" t="inlineStr">
        <is>
          <t>EKSJÖ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46236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45576</v>
      </c>
      <c r="E208" s="1" t="n">
        <v>46236</v>
      </c>
      <c r="F208" t="inlineStr">
        <is>
          <t>JÖNKÖPINGS LÄN</t>
        </is>
      </c>
      <c r="G208" t="inlineStr">
        <is>
          <t>EKSJÖ</t>
        </is>
      </c>
      <c r="H208" t="inlineStr">
        <is>
          <t>Övriga Aktiebolag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44526-2025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45916</v>
      </c>
      <c r="E209" s="1" t="n">
        <v>46236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46236</v>
      </c>
      <c r="F210" t="inlineStr">
        <is>
          <t>JÖNKÖPINGS LÄN</t>
        </is>
      </c>
      <c r="G210" t="inlineStr">
        <is>
          <t>EKSJÖ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46236</v>
      </c>
      <c r="F211" t="inlineStr">
        <is>
          <t>JÖNKÖPINGS LÄN</t>
        </is>
      </c>
      <c r="G211" t="inlineStr">
        <is>
          <t>EKSJÖ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46236</v>
      </c>
      <c r="F212" t="inlineStr">
        <is>
          <t>JÖNKÖPINGS LÄN</t>
        </is>
      </c>
      <c r="G212" t="inlineStr">
        <is>
          <t>EKSJÖ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45364</v>
      </c>
      <c r="E213" s="1" t="n">
        <v>46236</v>
      </c>
      <c r="F213" t="inlineStr">
        <is>
          <t>JÖNKÖPINGS LÄN</t>
        </is>
      </c>
      <c r="G213" t="inlineStr">
        <is>
          <t>EKSJÖ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46236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44701</v>
      </c>
      <c r="E215" s="1" t="n">
        <v>46236</v>
      </c>
      <c r="F215" t="inlineStr">
        <is>
          <t>JÖNKÖPINGS LÄN</t>
        </is>
      </c>
      <c r="G215" t="inlineStr">
        <is>
          <t>EKSJÖ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46127-2025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46236</v>
      </c>
      <c r="F216" t="inlineStr">
        <is>
          <t>JÖNKÖPINGS LÄN</t>
        </is>
      </c>
      <c r="G216" t="inlineStr">
        <is>
          <t>EKSJÖ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45251</v>
      </c>
      <c r="E217" s="1" t="n">
        <v>46236</v>
      </c>
      <c r="F217" t="inlineStr">
        <is>
          <t>JÖNKÖPINGS LÄN</t>
        </is>
      </c>
      <c r="G217" t="inlineStr">
        <is>
          <t>EKSJÖ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44713</v>
      </c>
      <c r="E218" s="1" t="n">
        <v>46236</v>
      </c>
      <c r="F218" t="inlineStr">
        <is>
          <t>JÖNKÖPINGS LÄN</t>
        </is>
      </c>
      <c r="G218" t="inlineStr">
        <is>
          <t>EKSJÖ</t>
        </is>
      </c>
      <c r="H218" t="inlineStr">
        <is>
          <t>Kyrkan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45463</v>
      </c>
      <c r="E219" s="1" t="n">
        <v>46236</v>
      </c>
      <c r="F219" t="inlineStr">
        <is>
          <t>JÖNKÖPINGS LÄN</t>
        </is>
      </c>
      <c r="G219" t="inlineStr">
        <is>
          <t>EKSJÖ</t>
        </is>
      </c>
      <c r="H219" t="inlineStr">
        <is>
          <t>Övriga Aktiebolag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46236</v>
      </c>
      <c r="F220" t="inlineStr">
        <is>
          <t>JÖNKÖPINGS LÄN</t>
        </is>
      </c>
      <c r="G220" t="inlineStr">
        <is>
          <t>EKSJÖ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46236</v>
      </c>
      <c r="F221" t="inlineStr">
        <is>
          <t>JÖNKÖPINGS LÄN</t>
        </is>
      </c>
      <c r="G221" t="inlineStr">
        <is>
          <t>EKSJÖ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46236</v>
      </c>
      <c r="F222" t="inlineStr">
        <is>
          <t>JÖNKÖPINGS LÄN</t>
        </is>
      </c>
      <c r="G222" t="inlineStr">
        <is>
          <t>EKSJÖ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44803</v>
      </c>
      <c r="E223" s="1" t="n">
        <v>46236</v>
      </c>
      <c r="F223" t="inlineStr">
        <is>
          <t>JÖNKÖPINGS LÄN</t>
        </is>
      </c>
      <c r="G223" t="inlineStr">
        <is>
          <t>EKSJÖ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46236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44909</v>
      </c>
      <c r="E225" s="1" t="n">
        <v>46236</v>
      </c>
      <c r="F225" t="inlineStr">
        <is>
          <t>JÖNKÖPINGS LÄN</t>
        </is>
      </c>
      <c r="G225" t="inlineStr">
        <is>
          <t>EKSJÖ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45628</v>
      </c>
      <c r="E226" s="1" t="n">
        <v>46236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45154</v>
      </c>
      <c r="E227" s="1" t="n">
        <v>46236</v>
      </c>
      <c r="F227" t="inlineStr">
        <is>
          <t>JÖNKÖPINGS LÄN</t>
        </is>
      </c>
      <c r="G227" t="inlineStr">
        <is>
          <t>EKSJÖ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65554-2021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44516</v>
      </c>
      <c r="E228" s="1" t="n">
        <v>46236</v>
      </c>
      <c r="F228" t="inlineStr">
        <is>
          <t>JÖNKÖPINGS LÄN</t>
        </is>
      </c>
      <c r="G228" t="inlineStr">
        <is>
          <t>EKSJÖ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46236</v>
      </c>
      <c r="F229" t="inlineStr">
        <is>
          <t>JÖNKÖPINGS LÄN</t>
        </is>
      </c>
      <c r="G229" t="inlineStr">
        <is>
          <t>EKSJÖ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44991</v>
      </c>
      <c r="E230" s="1" t="n">
        <v>46236</v>
      </c>
      <c r="F230" t="inlineStr">
        <is>
          <t>JÖNKÖPINGS LÄN</t>
        </is>
      </c>
      <c r="G230" t="inlineStr">
        <is>
          <t>EKSJÖ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46236</v>
      </c>
      <c r="F231" t="inlineStr">
        <is>
          <t>JÖNKÖPINGS LÄN</t>
        </is>
      </c>
      <c r="G231" t="inlineStr">
        <is>
          <t>EKSJÖ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21073-2026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46236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13273-2023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45003</v>
      </c>
      <c r="E233" s="1" t="n">
        <v>46236</v>
      </c>
      <c r="F233" t="inlineStr">
        <is>
          <t>JÖNKÖPINGS LÄN</t>
        </is>
      </c>
      <c r="G233" t="inlineStr">
        <is>
          <t>EKSJÖ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46236</v>
      </c>
      <c r="F234" t="inlineStr">
        <is>
          <t>JÖNKÖPINGS LÄN</t>
        </is>
      </c>
      <c r="G234" t="inlineStr">
        <is>
          <t>EKSJÖ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46236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49862-2025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45940</v>
      </c>
      <c r="E236" s="1" t="n">
        <v>46236</v>
      </c>
      <c r="F236" t="inlineStr">
        <is>
          <t>JÖNKÖPINGS LÄN</t>
        </is>
      </c>
      <c r="G236" t="inlineStr">
        <is>
          <t>EKSJÖ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44719</v>
      </c>
      <c r="E237" s="1" t="n">
        <v>46236</v>
      </c>
      <c r="F237" t="inlineStr">
        <is>
          <t>JÖNKÖPINGS LÄN</t>
        </is>
      </c>
      <c r="G237" t="inlineStr">
        <is>
          <t>EKSJÖ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46236</v>
      </c>
      <c r="F238" t="inlineStr">
        <is>
          <t>JÖNKÖPINGS LÄN</t>
        </is>
      </c>
      <c r="G238" t="inlineStr">
        <is>
          <t>EKSJÖ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45036</v>
      </c>
      <c r="E239" s="1" t="n">
        <v>46236</v>
      </c>
      <c r="F239" t="inlineStr">
        <is>
          <t>JÖNKÖPINGS LÄN</t>
        </is>
      </c>
      <c r="G239" t="inlineStr">
        <is>
          <t>EKSJÖ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44781</v>
      </c>
      <c r="E240" s="1" t="n">
        <v>46236</v>
      </c>
      <c r="F240" t="inlineStr">
        <is>
          <t>JÖNKÖPINGS LÄN</t>
        </is>
      </c>
      <c r="G240" t="inlineStr">
        <is>
          <t>EKSJÖ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44781</v>
      </c>
      <c r="E241" s="1" t="n">
        <v>46236</v>
      </c>
      <c r="F241" t="inlineStr">
        <is>
          <t>JÖNKÖPINGS LÄN</t>
        </is>
      </c>
      <c r="G241" t="inlineStr">
        <is>
          <t>EKSJÖ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46236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46236</v>
      </c>
      <c r="F243" t="inlineStr">
        <is>
          <t>JÖNKÖPINGS LÄN</t>
        </is>
      </c>
      <c r="G243" t="inlineStr">
        <is>
          <t>EKSJÖ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46236</v>
      </c>
      <c r="F244" t="inlineStr">
        <is>
          <t>JÖNKÖPINGS LÄN</t>
        </is>
      </c>
      <c r="G244" t="inlineStr">
        <is>
          <t>EKSJÖ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46236</v>
      </c>
      <c r="F245" t="inlineStr">
        <is>
          <t>JÖNKÖPINGS LÄN</t>
        </is>
      </c>
      <c r="G245" t="inlineStr">
        <is>
          <t>EKSJÖ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46236</v>
      </c>
      <c r="F246" t="inlineStr">
        <is>
          <t>JÖNKÖPINGS LÄN</t>
        </is>
      </c>
      <c r="G246" t="inlineStr">
        <is>
          <t>EKSJÖ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46236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46236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46918-2023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45201</v>
      </c>
      <c r="E249" s="1" t="n">
        <v>46236</v>
      </c>
      <c r="F249" t="inlineStr">
        <is>
          <t>JÖNKÖPINGS LÄN</t>
        </is>
      </c>
      <c r="G249" t="inlineStr">
        <is>
          <t>EKSJÖ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46236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46236</v>
      </c>
      <c r="F251" t="inlineStr">
        <is>
          <t>JÖNKÖPINGS LÄN</t>
        </is>
      </c>
      <c r="G251" t="inlineStr">
        <is>
          <t>EKSJÖ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28371-2026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46236</v>
      </c>
      <c r="F252" t="inlineStr">
        <is>
          <t>JÖNKÖPINGS LÄN</t>
        </is>
      </c>
      <c r="G252" t="inlineStr">
        <is>
          <t>EKSJÖ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44974</v>
      </c>
      <c r="E253" s="1" t="n">
        <v>46236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45281</v>
      </c>
      <c r="E254" s="1" t="n">
        <v>46236</v>
      </c>
      <c r="F254" t="inlineStr">
        <is>
          <t>JÖNKÖPINGS LÄN</t>
        </is>
      </c>
      <c r="G254" t="inlineStr">
        <is>
          <t>EKSJÖ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50519-2025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46236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46236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46236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46236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46236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46236</v>
      </c>
      <c r="F260" t="inlineStr">
        <is>
          <t>JÖNKÖPINGS LÄN</t>
        </is>
      </c>
      <c r="G260" t="inlineStr">
        <is>
          <t>EKSJÖ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45713</v>
      </c>
      <c r="E261" s="1" t="n">
        <v>46236</v>
      </c>
      <c r="F261" t="inlineStr">
        <is>
          <t>JÖNKÖPINGS LÄN</t>
        </is>
      </c>
      <c r="G261" t="inlineStr">
        <is>
          <t>EKSJÖ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46236</v>
      </c>
      <c r="F262" t="inlineStr">
        <is>
          <t>JÖNKÖPINGS LÄN</t>
        </is>
      </c>
      <c r="G262" t="inlineStr">
        <is>
          <t>EKSJÖ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46236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45057</v>
      </c>
      <c r="E264" s="1" t="n">
        <v>46236</v>
      </c>
      <c r="F264" t="inlineStr">
        <is>
          <t>JÖNKÖPINGS LÄN</t>
        </is>
      </c>
      <c r="G264" t="inlineStr">
        <is>
          <t>EKSJÖ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46236</v>
      </c>
      <c r="F265" t="inlineStr">
        <is>
          <t>JÖNKÖPINGS LÄN</t>
        </is>
      </c>
      <c r="G265" t="inlineStr">
        <is>
          <t>EKSJÖ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44783</v>
      </c>
      <c r="E266" s="1" t="n">
        <v>46236</v>
      </c>
      <c r="F266" t="inlineStr">
        <is>
          <t>JÖNKÖPINGS LÄN</t>
        </is>
      </c>
      <c r="G266" t="inlineStr">
        <is>
          <t>EKSJÖ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46236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46236</v>
      </c>
      <c r="F268" t="inlineStr">
        <is>
          <t>JÖNKÖPINGS LÄN</t>
        </is>
      </c>
      <c r="G268" t="inlineStr">
        <is>
          <t>EKSJÖ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46236</v>
      </c>
      <c r="F269" t="inlineStr">
        <is>
          <t>JÖNKÖPINGS LÄN</t>
        </is>
      </c>
      <c r="G269" t="inlineStr">
        <is>
          <t>EKSJÖ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46236</v>
      </c>
      <c r="F270" t="inlineStr">
        <is>
          <t>JÖNKÖPINGS LÄN</t>
        </is>
      </c>
      <c r="G270" t="inlineStr">
        <is>
          <t>EKSJÖ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45715</v>
      </c>
      <c r="E271" s="1" t="n">
        <v>46236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46197</v>
      </c>
      <c r="E272" s="1" t="n">
        <v>46236</v>
      </c>
      <c r="F272" t="inlineStr">
        <is>
          <t>JÖNKÖPINGS LÄN</t>
        </is>
      </c>
      <c r="G272" t="inlineStr">
        <is>
          <t>EKSJÖ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46236</v>
      </c>
      <c r="F273" t="inlineStr">
        <is>
          <t>JÖNKÖPINGS LÄN</t>
        </is>
      </c>
      <c r="G273" t="inlineStr">
        <is>
          <t>EKSJÖ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64993-2023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45286</v>
      </c>
      <c r="E274" s="1" t="n">
        <v>46236</v>
      </c>
      <c r="F274" t="inlineStr">
        <is>
          <t>JÖNKÖPINGS LÄN</t>
        </is>
      </c>
      <c r="G274" t="inlineStr">
        <is>
          <t>EKSJÖ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46236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46236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46236</v>
      </c>
      <c r="F277" t="inlineStr">
        <is>
          <t>JÖNKÖPINGS LÄN</t>
        </is>
      </c>
      <c r="G277" t="inlineStr">
        <is>
          <t>EKSJÖ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46236</v>
      </c>
      <c r="F278" t="inlineStr">
        <is>
          <t>JÖNKÖPINGS LÄN</t>
        </is>
      </c>
      <c r="G278" t="inlineStr">
        <is>
          <t>EKSJÖ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46236</v>
      </c>
      <c r="F279" t="inlineStr">
        <is>
          <t>JÖNKÖPINGS LÄN</t>
        </is>
      </c>
      <c r="G279" t="inlineStr">
        <is>
          <t>EKSJÖ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46236</v>
      </c>
      <c r="F280" t="inlineStr">
        <is>
          <t>JÖNKÖPINGS LÄN</t>
        </is>
      </c>
      <c r="G280" t="inlineStr">
        <is>
          <t>EKSJÖ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46236</v>
      </c>
      <c r="F281" t="inlineStr">
        <is>
          <t>JÖNKÖPINGS LÄN</t>
        </is>
      </c>
      <c r="G281" t="inlineStr">
        <is>
          <t>EKSJÖ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45237</v>
      </c>
      <c r="E282" s="1" t="n">
        <v>46236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46236</v>
      </c>
      <c r="F283" t="inlineStr">
        <is>
          <t>JÖNKÖPINGS LÄN</t>
        </is>
      </c>
      <c r="G283" t="inlineStr">
        <is>
          <t>EKSJÖ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44813</v>
      </c>
      <c r="E284" s="1" t="n">
        <v>46236</v>
      </c>
      <c r="F284" t="inlineStr">
        <is>
          <t>JÖNKÖPINGS LÄN</t>
        </is>
      </c>
      <c r="G284" t="inlineStr">
        <is>
          <t>EKSJÖ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45224</v>
      </c>
      <c r="E285" s="1" t="n">
        <v>46236</v>
      </c>
      <c r="F285" t="inlineStr">
        <is>
          <t>JÖNKÖPINGS LÄN</t>
        </is>
      </c>
      <c r="G285" t="inlineStr">
        <is>
          <t>EKSJÖ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45715</v>
      </c>
      <c r="E286" s="1" t="n">
        <v>46236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46236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46236</v>
      </c>
      <c r="F288" t="inlineStr">
        <is>
          <t>JÖNKÖPINGS LÄN</t>
        </is>
      </c>
      <c r="G288" t="inlineStr">
        <is>
          <t>EKSJÖ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60920-2025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45996</v>
      </c>
      <c r="E289" s="1" t="n">
        <v>46236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45714</v>
      </c>
      <c r="E290" s="1" t="n">
        <v>46236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45714</v>
      </c>
      <c r="E291" s="1" t="n">
        <v>46236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46236</v>
      </c>
      <c r="F292" t="inlineStr">
        <is>
          <t>JÖNKÖPINGS LÄN</t>
        </is>
      </c>
      <c r="G292" t="inlineStr">
        <is>
          <t>EKSJÖ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46236</v>
      </c>
      <c r="F293" t="inlineStr">
        <is>
          <t>JÖNKÖPINGS LÄN</t>
        </is>
      </c>
      <c r="G293" t="inlineStr">
        <is>
          <t>EKSJÖ</t>
        </is>
      </c>
      <c r="H293" t="inlineStr">
        <is>
          <t>Övriga Aktiebolag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46236</v>
      </c>
      <c r="F294" t="inlineStr">
        <is>
          <t>JÖNKÖPINGS LÄN</t>
        </is>
      </c>
      <c r="G294" t="inlineStr">
        <is>
          <t>EKSJÖ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46202</v>
      </c>
      <c r="E295" s="1" t="n">
        <v>46236</v>
      </c>
      <c r="F295" t="inlineStr">
        <is>
          <t>JÖNKÖPINGS LÄN</t>
        </is>
      </c>
      <c r="G295" t="inlineStr">
        <is>
          <t>EKSJÖ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46236</v>
      </c>
      <c r="F296" t="inlineStr">
        <is>
          <t>JÖNKÖPINGS LÄN</t>
        </is>
      </c>
      <c r="G296" t="inlineStr">
        <is>
          <t>EKSJÖ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46236</v>
      </c>
      <c r="F297" t="inlineStr">
        <is>
          <t>JÖNKÖPINGS LÄN</t>
        </is>
      </c>
      <c r="G297" t="inlineStr">
        <is>
          <t>EKSJÖ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45334</v>
      </c>
      <c r="E298" s="1" t="n">
        <v>46236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46236</v>
      </c>
      <c r="F299" t="inlineStr">
        <is>
          <t>JÖNKÖPINGS LÄN</t>
        </is>
      </c>
      <c r="G299" t="inlineStr">
        <is>
          <t>EKSJÖ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46236</v>
      </c>
      <c r="F300" t="inlineStr">
        <is>
          <t>JÖNKÖPINGS LÄN</t>
        </is>
      </c>
      <c r="G300" t="inlineStr">
        <is>
          <t>EKSJÖ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46236</v>
      </c>
      <c r="F301" t="inlineStr">
        <is>
          <t>JÖNKÖPINGS LÄN</t>
        </is>
      </c>
      <c r="G301" t="inlineStr">
        <is>
          <t>EKSJÖ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46162</v>
      </c>
      <c r="E302" s="1" t="n">
        <v>46236</v>
      </c>
      <c r="F302" t="inlineStr">
        <is>
          <t>JÖNKÖPINGS LÄN</t>
        </is>
      </c>
      <c r="G302" t="inlineStr">
        <is>
          <t>EKSJÖ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46236</v>
      </c>
      <c r="F303" t="inlineStr">
        <is>
          <t>JÖNKÖPINGS LÄN</t>
        </is>
      </c>
      <c r="G303" t="inlineStr">
        <is>
          <t>EKSJÖ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45072</v>
      </c>
      <c r="E304" s="1" t="n">
        <v>46236</v>
      </c>
      <c r="F304" t="inlineStr">
        <is>
          <t>JÖNKÖPINGS LÄN</t>
        </is>
      </c>
      <c r="G304" t="inlineStr">
        <is>
          <t>EKSJÖ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46236</v>
      </c>
      <c r="F305" t="inlineStr">
        <is>
          <t>JÖNKÖPINGS LÄN</t>
        </is>
      </c>
      <c r="G305" t="inlineStr">
        <is>
          <t>EKSJÖ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45418</v>
      </c>
      <c r="E306" s="1" t="n">
        <v>46236</v>
      </c>
      <c r="F306" t="inlineStr">
        <is>
          <t>JÖNKÖPINGS LÄN</t>
        </is>
      </c>
      <c r="G306" t="inlineStr">
        <is>
          <t>EKSJÖ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46236</v>
      </c>
      <c r="F307" t="inlineStr">
        <is>
          <t>JÖNKÖPINGS LÄN</t>
        </is>
      </c>
      <c r="G307" t="inlineStr">
        <is>
          <t>EKSJÖ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45068</v>
      </c>
      <c r="E308" s="1" t="n">
        <v>46236</v>
      </c>
      <c r="F308" t="inlineStr">
        <is>
          <t>JÖNKÖPINGS LÄN</t>
        </is>
      </c>
      <c r="G308" t="inlineStr">
        <is>
          <t>EKSJÖ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46236</v>
      </c>
      <c r="F309" t="inlineStr">
        <is>
          <t>JÖNKÖPINGS LÄN</t>
        </is>
      </c>
      <c r="G309" t="inlineStr">
        <is>
          <t>EKSJÖ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46236</v>
      </c>
      <c r="F310" t="inlineStr">
        <is>
          <t>JÖNKÖPINGS LÄN</t>
        </is>
      </c>
      <c r="G310" t="inlineStr">
        <is>
          <t>EKSJÖ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46236</v>
      </c>
      <c r="F311" t="inlineStr">
        <is>
          <t>JÖNKÖPINGS LÄN</t>
        </is>
      </c>
      <c r="G311" t="inlineStr">
        <is>
          <t>EKSJÖ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45741</v>
      </c>
      <c r="E312" s="1" t="n">
        <v>46236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45659</v>
      </c>
      <c r="E313" s="1" t="n">
        <v>46236</v>
      </c>
      <c r="F313" t="inlineStr">
        <is>
          <t>JÖNKÖPINGS LÄN</t>
        </is>
      </c>
      <c r="G313" t="inlineStr">
        <is>
          <t>EKSJÖ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46236</v>
      </c>
      <c r="F314" t="inlineStr">
        <is>
          <t>JÖNKÖPINGS LÄN</t>
        </is>
      </c>
      <c r="G314" t="inlineStr">
        <is>
          <t>EKSJÖ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46236</v>
      </c>
      <c r="F315" t="inlineStr">
        <is>
          <t>JÖNKÖPINGS LÄN</t>
        </is>
      </c>
      <c r="G315" t="inlineStr">
        <is>
          <t>EKSJÖ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46236</v>
      </c>
      <c r="F316" t="inlineStr">
        <is>
          <t>JÖNKÖPINGS LÄN</t>
        </is>
      </c>
      <c r="G316" t="inlineStr">
        <is>
          <t>EKSJÖ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46236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46236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46236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45370</v>
      </c>
      <c r="E320" s="1" t="n">
        <v>46236</v>
      </c>
      <c r="F320" t="inlineStr">
        <is>
          <t>JÖNKÖPINGS LÄN</t>
        </is>
      </c>
      <c r="G320" t="inlineStr">
        <is>
          <t>EKSJÖ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46236</v>
      </c>
      <c r="F321" t="inlineStr">
        <is>
          <t>JÖNKÖPINGS LÄN</t>
        </is>
      </c>
      <c r="G321" t="inlineStr">
        <is>
          <t>EKSJÖ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27395-2023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45096</v>
      </c>
      <c r="E322" s="1" t="n">
        <v>46236</v>
      </c>
      <c r="F322" t="inlineStr">
        <is>
          <t>JÖNKÖPINGS LÄN</t>
        </is>
      </c>
      <c r="G322" t="inlineStr">
        <is>
          <t>EKSJÖ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36306-2023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45152</v>
      </c>
      <c r="E323" s="1" t="n">
        <v>46236</v>
      </c>
      <c r="F323" t="inlineStr">
        <is>
          <t>JÖNKÖPINGS LÄN</t>
        </is>
      </c>
      <c r="G323" t="inlineStr">
        <is>
          <t>EKSJÖ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46236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44908</v>
      </c>
      <c r="E325" s="1" t="n">
        <v>46236</v>
      </c>
      <c r="F325" t="inlineStr">
        <is>
          <t>JÖNKÖPINGS LÄN</t>
        </is>
      </c>
      <c r="G325" t="inlineStr">
        <is>
          <t>EKSJÖ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14420-2025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45741</v>
      </c>
      <c r="E326" s="1" t="n">
        <v>46236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45741</v>
      </c>
      <c r="E327" s="1" t="n">
        <v>46236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45991</v>
      </c>
      <c r="E328" s="1" t="n">
        <v>46236</v>
      </c>
      <c r="F328" t="inlineStr">
        <is>
          <t>JÖNKÖPINGS LÄN</t>
        </is>
      </c>
      <c r="G328" t="inlineStr">
        <is>
          <t>EKSJÖ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53053-2021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44467</v>
      </c>
      <c r="E329" s="1" t="n">
        <v>46236</v>
      </c>
      <c r="F329" t="inlineStr">
        <is>
          <t>JÖNKÖPINGS LÄN</t>
        </is>
      </c>
      <c r="G329" t="inlineStr">
        <is>
          <t>EKSJÖ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44925</v>
      </c>
      <c r="E330" s="1" t="n">
        <v>46236</v>
      </c>
      <c r="F330" t="inlineStr">
        <is>
          <t>JÖNKÖPINGS LÄN</t>
        </is>
      </c>
      <c r="G330" t="inlineStr">
        <is>
          <t>EKSJÖ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56469-2021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44480</v>
      </c>
      <c r="E331" s="1" t="n">
        <v>46236</v>
      </c>
      <c r="F331" t="inlineStr">
        <is>
          <t>JÖNKÖPINGS LÄN</t>
        </is>
      </c>
      <c r="G331" t="inlineStr">
        <is>
          <t>EKSJÖ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46236</v>
      </c>
      <c r="F332" t="inlineStr">
        <is>
          <t>JÖNKÖPINGS LÄN</t>
        </is>
      </c>
      <c r="G332" t="inlineStr">
        <is>
          <t>EKSJÖ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46236</v>
      </c>
      <c r="F333" t="inlineStr">
        <is>
          <t>JÖNKÖPINGS LÄN</t>
        </is>
      </c>
      <c r="G333" t="inlineStr">
        <is>
          <t>EKSJÖ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46236</v>
      </c>
      <c r="F334" t="inlineStr">
        <is>
          <t>JÖNKÖPINGS LÄN</t>
        </is>
      </c>
      <c r="G334" t="inlineStr">
        <is>
          <t>EKSJÖ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46236</v>
      </c>
      <c r="F335" t="inlineStr">
        <is>
          <t>JÖNKÖPINGS LÄN</t>
        </is>
      </c>
      <c r="G335" t="inlineStr">
        <is>
          <t>EKSJÖ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46236</v>
      </c>
      <c r="F336" t="inlineStr">
        <is>
          <t>JÖNKÖPINGS LÄN</t>
        </is>
      </c>
      <c r="G336" t="inlineStr">
        <is>
          <t>EKSJÖ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46209</v>
      </c>
      <c r="E337" s="1" t="n">
        <v>46236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46236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44940</v>
      </c>
      <c r="E339" s="1" t="n">
        <v>46236</v>
      </c>
      <c r="F339" t="inlineStr">
        <is>
          <t>JÖNKÖPINGS LÄN</t>
        </is>
      </c>
      <c r="G339" t="inlineStr">
        <is>
          <t>EKSJÖ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44941</v>
      </c>
      <c r="E340" s="1" t="n">
        <v>46236</v>
      </c>
      <c r="F340" t="inlineStr">
        <is>
          <t>JÖNKÖPINGS LÄN</t>
        </is>
      </c>
      <c r="G340" t="inlineStr">
        <is>
          <t>EKSJÖ</t>
        </is>
      </c>
      <c r="H340" t="inlineStr">
        <is>
          <t>Övriga Aktiebolag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46236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46209</v>
      </c>
      <c r="E342" s="1" t="n">
        <v>46236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39049-2021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44412</v>
      </c>
      <c r="E343" s="1" t="n">
        <v>46236</v>
      </c>
      <c r="F343" t="inlineStr">
        <is>
          <t>JÖNKÖPINGS LÄN</t>
        </is>
      </c>
      <c r="G343" t="inlineStr">
        <is>
          <t>EKSJÖ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46236</v>
      </c>
      <c r="F344" t="inlineStr">
        <is>
          <t>JÖNKÖPINGS LÄN</t>
        </is>
      </c>
      <c r="G344" t="inlineStr">
        <is>
          <t>EKSJÖ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46236</v>
      </c>
      <c r="F345" t="inlineStr">
        <is>
          <t>JÖNKÖPINGS LÄN</t>
        </is>
      </c>
      <c r="G345" t="inlineStr">
        <is>
          <t>EKSJÖ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45214</v>
      </c>
      <c r="E346" s="1" t="n">
        <v>46236</v>
      </c>
      <c r="F346" t="inlineStr">
        <is>
          <t>JÖNKÖPINGS LÄN</t>
        </is>
      </c>
      <c r="G346" t="inlineStr">
        <is>
          <t>EKSJÖ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45204</v>
      </c>
      <c r="E347" s="1" t="n">
        <v>46236</v>
      </c>
      <c r="F347" t="inlineStr">
        <is>
          <t>JÖNKÖPINGS LÄN</t>
        </is>
      </c>
      <c r="G347" t="inlineStr">
        <is>
          <t>EKSJÖ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46236</v>
      </c>
      <c r="F348" t="inlineStr">
        <is>
          <t>JÖNKÖPINGS LÄN</t>
        </is>
      </c>
      <c r="G348" t="inlineStr">
        <is>
          <t>EKSJÖ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46236</v>
      </c>
      <c r="F349" t="inlineStr">
        <is>
          <t>JÖNKÖPINGS LÄN</t>
        </is>
      </c>
      <c r="G349" t="inlineStr">
        <is>
          <t>EKSJÖ</t>
        </is>
      </c>
      <c r="H349" t="inlineStr">
        <is>
          <t>Kommuner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62958-2025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46236</v>
      </c>
      <c r="F350" t="inlineStr">
        <is>
          <t>JÖNKÖPINGS LÄN</t>
        </is>
      </c>
      <c r="G350" t="inlineStr">
        <is>
          <t>EKSJÖ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46236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63643-2025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46014</v>
      </c>
      <c r="E352" s="1" t="n">
        <v>46236</v>
      </c>
      <c r="F352" t="inlineStr">
        <is>
          <t>JÖNKÖPINGS LÄN</t>
        </is>
      </c>
      <c r="G352" t="inlineStr">
        <is>
          <t>EKSJÖ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45212</v>
      </c>
      <c r="E353" s="1" t="n">
        <v>46236</v>
      </c>
      <c r="F353" t="inlineStr">
        <is>
          <t>JÖNKÖPINGS LÄN</t>
        </is>
      </c>
      <c r="G353" t="inlineStr">
        <is>
          <t>EKSJÖ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64106-2025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46236</v>
      </c>
      <c r="F354" t="inlineStr">
        <is>
          <t>JÖNKÖPINGS LÄN</t>
        </is>
      </c>
      <c r="G354" t="inlineStr">
        <is>
          <t>EKSJÖ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46236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34772-2023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45141</v>
      </c>
      <c r="E356" s="1" t="n">
        <v>46236</v>
      </c>
      <c r="F356" t="inlineStr">
        <is>
          <t>JÖNKÖPINGS LÄN</t>
        </is>
      </c>
      <c r="G356" t="inlineStr">
        <is>
          <t>EKSJÖ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46236</v>
      </c>
      <c r="F357" t="inlineStr">
        <is>
          <t>JÖNKÖPINGS LÄN</t>
        </is>
      </c>
      <c r="G357" t="inlineStr">
        <is>
          <t>EKSJÖ</t>
        </is>
      </c>
      <c r="H357" t="inlineStr">
        <is>
          <t>Kyrkan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46236</v>
      </c>
      <c r="F358" t="inlineStr">
        <is>
          <t>JÖNKÖPINGS LÄN</t>
        </is>
      </c>
      <c r="G358" t="inlineStr">
        <is>
          <t>EKSJÖ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46019-2022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44846</v>
      </c>
      <c r="E359" s="1" t="n">
        <v>46236</v>
      </c>
      <c r="F359" t="inlineStr">
        <is>
          <t>JÖNKÖPINGS LÄN</t>
        </is>
      </c>
      <c r="G359" t="inlineStr">
        <is>
          <t>EKSJÖ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45493-2022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44845</v>
      </c>
      <c r="E360" s="1" t="n">
        <v>46236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45300</v>
      </c>
      <c r="E361" s="1" t="n">
        <v>46236</v>
      </c>
      <c r="F361" t="inlineStr">
        <is>
          <t>JÖNKÖPINGS LÄN</t>
        </is>
      </c>
      <c r="G361" t="inlineStr">
        <is>
          <t>EKSJÖ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44953</v>
      </c>
      <c r="E362" s="1" t="n">
        <v>46236</v>
      </c>
      <c r="F362" t="inlineStr">
        <is>
          <t>JÖNKÖPINGS LÄN</t>
        </is>
      </c>
      <c r="G362" t="inlineStr">
        <is>
          <t>EKSJÖ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45391</v>
      </c>
      <c r="E363" s="1" t="n">
        <v>46236</v>
      </c>
      <c r="F363" t="inlineStr">
        <is>
          <t>JÖNKÖPINGS LÄN</t>
        </is>
      </c>
      <c r="G363" t="inlineStr">
        <is>
          <t>EKSJÖ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36354-2022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44803</v>
      </c>
      <c r="E364" s="1" t="n">
        <v>46236</v>
      </c>
      <c r="F364" t="inlineStr">
        <is>
          <t>JÖNKÖPINGS LÄN</t>
        </is>
      </c>
      <c r="G364" t="inlineStr">
        <is>
          <t>EKSJÖ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25140-2026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46236</v>
      </c>
      <c r="F365" t="inlineStr">
        <is>
          <t>JÖNKÖPINGS LÄN</t>
        </is>
      </c>
      <c r="G365" t="inlineStr">
        <is>
          <t>EKSJÖ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43100-2021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44431</v>
      </c>
      <c r="E366" s="1" t="n">
        <v>46236</v>
      </c>
      <c r="F366" t="inlineStr">
        <is>
          <t>JÖNKÖPINGS LÄN</t>
        </is>
      </c>
      <c r="G366" t="inlineStr">
        <is>
          <t>EKSJÖ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46236</v>
      </c>
      <c r="F367" t="inlineStr">
        <is>
          <t>JÖNKÖPINGS LÄN</t>
        </is>
      </c>
      <c r="G367" t="inlineStr">
        <is>
          <t>EKSJÖ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46236</v>
      </c>
      <c r="F368" t="inlineStr">
        <is>
          <t>JÖNKÖPINGS LÄN</t>
        </is>
      </c>
      <c r="G368" t="inlineStr">
        <is>
          <t>EKSJÖ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45561</v>
      </c>
      <c r="E369" s="1" t="n">
        <v>46236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46236</v>
      </c>
      <c r="F370" t="inlineStr">
        <is>
          <t>JÖNKÖPINGS LÄN</t>
        </is>
      </c>
      <c r="G370" t="inlineStr">
        <is>
          <t>EKSJÖ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46236</v>
      </c>
      <c r="F371" t="inlineStr">
        <is>
          <t>JÖNKÖPINGS LÄN</t>
        </is>
      </c>
      <c r="G371" t="inlineStr">
        <is>
          <t>EKSJÖ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46236</v>
      </c>
      <c r="F372" t="inlineStr">
        <is>
          <t>JÖNKÖPINGS LÄN</t>
        </is>
      </c>
      <c r="G372" t="inlineStr">
        <is>
          <t>EKSJÖ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46236</v>
      </c>
      <c r="F373" t="inlineStr">
        <is>
          <t>JÖNKÖPINGS LÄN</t>
        </is>
      </c>
      <c r="G373" t="inlineStr">
        <is>
          <t>EKSJÖ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46236</v>
      </c>
      <c r="F374" t="inlineStr">
        <is>
          <t>JÖNKÖPINGS LÄN</t>
        </is>
      </c>
      <c r="G374" t="inlineStr">
        <is>
          <t>EKSJÖ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46236</v>
      </c>
      <c r="F375" t="inlineStr">
        <is>
          <t>JÖNKÖPINGS LÄN</t>
        </is>
      </c>
      <c r="G375" t="inlineStr">
        <is>
          <t>EKSJÖ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45208</v>
      </c>
      <c r="E376" s="1" t="n">
        <v>46236</v>
      </c>
      <c r="F376" t="inlineStr">
        <is>
          <t>JÖNKÖPINGS LÄN</t>
        </is>
      </c>
      <c r="G376" t="inlineStr">
        <is>
          <t>EKSJÖ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46236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46236</v>
      </c>
      <c r="F378" t="inlineStr">
        <is>
          <t>JÖNKÖPINGS LÄN</t>
        </is>
      </c>
      <c r="G378" t="inlineStr">
        <is>
          <t>EKSJÖ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46236</v>
      </c>
      <c r="F379" t="inlineStr">
        <is>
          <t>JÖNKÖPINGS LÄN</t>
        </is>
      </c>
      <c r="G379" t="inlineStr">
        <is>
          <t>EKSJÖ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46236</v>
      </c>
      <c r="F380" t="inlineStr">
        <is>
          <t>JÖNKÖPINGS LÄN</t>
        </is>
      </c>
      <c r="G380" t="inlineStr">
        <is>
          <t>EKSJÖ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46236</v>
      </c>
      <c r="F381" t="inlineStr">
        <is>
          <t>JÖNKÖPINGS LÄN</t>
        </is>
      </c>
      <c r="G381" t="inlineStr">
        <is>
          <t>EKSJÖ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61913-2022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46236</v>
      </c>
      <c r="F382" t="inlineStr">
        <is>
          <t>JÖNKÖPINGS LÄN</t>
        </is>
      </c>
      <c r="G382" t="inlineStr">
        <is>
          <t>EKSJÖ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46236</v>
      </c>
      <c r="F383" t="inlineStr">
        <is>
          <t>JÖNKÖPINGS LÄN</t>
        </is>
      </c>
      <c r="G383" t="inlineStr">
        <is>
          <t>EKSJÖ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44925</v>
      </c>
      <c r="E384" s="1" t="n">
        <v>46236</v>
      </c>
      <c r="F384" t="inlineStr">
        <is>
          <t>JÖNKÖPINGS LÄN</t>
        </is>
      </c>
      <c r="G384" t="inlineStr">
        <is>
          <t>EKSJÖ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46236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46236</v>
      </c>
      <c r="F386" t="inlineStr">
        <is>
          <t>JÖNKÖPINGS LÄN</t>
        </is>
      </c>
      <c r="G386" t="inlineStr">
        <is>
          <t>EKSJÖ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46236</v>
      </c>
      <c r="F387" t="inlineStr">
        <is>
          <t>JÖNKÖPINGS LÄN</t>
        </is>
      </c>
      <c r="G387" t="inlineStr">
        <is>
          <t>EKSJÖ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46236</v>
      </c>
      <c r="F388" t="inlineStr">
        <is>
          <t>JÖNKÖPINGS LÄN</t>
        </is>
      </c>
      <c r="G388" t="inlineStr">
        <is>
          <t>EKSJÖ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45334</v>
      </c>
      <c r="E389" s="1" t="n">
        <v>46236</v>
      </c>
      <c r="F389" t="inlineStr">
        <is>
          <t>JÖNKÖPINGS LÄN</t>
        </is>
      </c>
      <c r="G389" t="inlineStr">
        <is>
          <t>EKSJÖ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46236</v>
      </c>
      <c r="F390" t="inlineStr">
        <is>
          <t>JÖNKÖPINGS LÄN</t>
        </is>
      </c>
      <c r="G390" t="inlineStr">
        <is>
          <t>EKSJÖ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44980</v>
      </c>
      <c r="E391" s="1" t="n">
        <v>46236</v>
      </c>
      <c r="F391" t="inlineStr">
        <is>
          <t>JÖNKÖPINGS LÄN</t>
        </is>
      </c>
      <c r="G391" t="inlineStr">
        <is>
          <t>EKSJÖ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31332-2026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46212</v>
      </c>
      <c r="E392" s="1" t="n">
        <v>46236</v>
      </c>
      <c r="F392" t="inlineStr">
        <is>
          <t>JÖNKÖPINGS LÄN</t>
        </is>
      </c>
      <c r="G392" t="inlineStr">
        <is>
          <t>EKSJÖ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45560</v>
      </c>
      <c r="E393" s="1" t="n">
        <v>46236</v>
      </c>
      <c r="F393" t="inlineStr">
        <is>
          <t>JÖNKÖPINGS LÄN</t>
        </is>
      </c>
      <c r="G393" t="inlineStr">
        <is>
          <t>EKSJÖ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64419-2021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44511</v>
      </c>
      <c r="E394" s="1" t="n">
        <v>46236</v>
      </c>
      <c r="F394" t="inlineStr">
        <is>
          <t>JÖNKÖPINGS LÄN</t>
        </is>
      </c>
      <c r="G394" t="inlineStr">
        <is>
          <t>EKSJÖ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46236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45373</v>
      </c>
      <c r="E396" s="1" t="n">
        <v>46236</v>
      </c>
      <c r="F396" t="inlineStr">
        <is>
          <t>JÖNKÖPINGS LÄN</t>
        </is>
      </c>
      <c r="G396" t="inlineStr">
        <is>
          <t>EKSJÖ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46236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46236</v>
      </c>
      <c r="F398" t="inlineStr">
        <is>
          <t>JÖNKÖPINGS LÄN</t>
        </is>
      </c>
      <c r="G398" t="inlineStr">
        <is>
          <t>EKSJÖ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46236</v>
      </c>
      <c r="F399" t="inlineStr">
        <is>
          <t>JÖNKÖPINGS LÄN</t>
        </is>
      </c>
      <c r="G399" t="inlineStr">
        <is>
          <t>EKSJÖ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45468</v>
      </c>
      <c r="E400" s="1" t="n">
        <v>46236</v>
      </c>
      <c r="F400" t="inlineStr">
        <is>
          <t>JÖNKÖPINGS LÄN</t>
        </is>
      </c>
      <c r="G400" t="inlineStr">
        <is>
          <t>EKSJÖ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46236</v>
      </c>
      <c r="F401" t="inlineStr">
        <is>
          <t>JÖNKÖPINGS LÄN</t>
        </is>
      </c>
      <c r="G401" t="inlineStr">
        <is>
          <t>EKSJÖ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46236</v>
      </c>
      <c r="F402" t="inlineStr">
        <is>
          <t>JÖNKÖPINGS LÄN</t>
        </is>
      </c>
      <c r="G402" t="inlineStr">
        <is>
          <t>EKSJÖ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46236</v>
      </c>
      <c r="F403" t="inlineStr">
        <is>
          <t>JÖNKÖPINGS LÄN</t>
        </is>
      </c>
      <c r="G403" t="inlineStr">
        <is>
          <t>EKSJÖ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45315</v>
      </c>
      <c r="E404" s="1" t="n">
        <v>46236</v>
      </c>
      <c r="F404" t="inlineStr">
        <is>
          <t>JÖNKÖPINGS LÄN</t>
        </is>
      </c>
      <c r="G404" t="inlineStr">
        <is>
          <t>EKSJÖ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45601</v>
      </c>
      <c r="E405" s="1" t="n">
        <v>46236</v>
      </c>
      <c r="F405" t="inlineStr">
        <is>
          <t>JÖNKÖPINGS LÄN</t>
        </is>
      </c>
      <c r="G405" t="inlineStr">
        <is>
          <t>EKSJÖ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45664</v>
      </c>
      <c r="E406" s="1" t="n">
        <v>46236</v>
      </c>
      <c r="F406" t="inlineStr">
        <is>
          <t>JÖNKÖPINGS LÄN</t>
        </is>
      </c>
      <c r="G406" t="inlineStr">
        <is>
          <t>EKSJÖ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46236</v>
      </c>
      <c r="F407" t="inlineStr">
        <is>
          <t>JÖNKÖPINGS LÄN</t>
        </is>
      </c>
      <c r="G407" t="inlineStr">
        <is>
          <t>EKSJÖ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45643</v>
      </c>
      <c r="E408" s="1" t="n">
        <v>46236</v>
      </c>
      <c r="F408" t="inlineStr">
        <is>
          <t>JÖNKÖPINGS LÄN</t>
        </is>
      </c>
      <c r="G408" t="inlineStr">
        <is>
          <t>EKSJÖ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8165-2022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44609</v>
      </c>
      <c r="E409" s="1" t="n">
        <v>46236</v>
      </c>
      <c r="F409" t="inlineStr">
        <is>
          <t>JÖNKÖPINGS LÄN</t>
        </is>
      </c>
      <c r="G409" t="inlineStr">
        <is>
          <t>EKSJÖ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46236</v>
      </c>
      <c r="F410" t="inlineStr">
        <is>
          <t>JÖNKÖPINGS LÄN</t>
        </is>
      </c>
      <c r="G410" t="inlineStr">
        <is>
          <t>EKSJÖ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46236</v>
      </c>
      <c r="F411" t="inlineStr">
        <is>
          <t>JÖNKÖPINGS LÄN</t>
        </is>
      </c>
      <c r="G411" t="inlineStr">
        <is>
          <t>EKSJÖ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46236</v>
      </c>
      <c r="F412" t="inlineStr">
        <is>
          <t>JÖNKÖPINGS LÄN</t>
        </is>
      </c>
      <c r="G412" t="inlineStr">
        <is>
          <t>EKSJÖ</t>
        </is>
      </c>
      <c r="H412" t="inlineStr">
        <is>
          <t>Kyrkan</t>
        </is>
      </c>
      <c r="I412" t="n">
        <v>15.2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26405-2026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46183</v>
      </c>
      <c r="E413" s="1" t="n">
        <v>46236</v>
      </c>
      <c r="F413" t="inlineStr">
        <is>
          <t>JÖNKÖPINGS LÄN</t>
        </is>
      </c>
      <c r="G413" t="inlineStr">
        <is>
          <t>EKSJÖ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38340-2023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46236</v>
      </c>
      <c r="F414" t="inlineStr">
        <is>
          <t>JÖNKÖPINGS LÄN</t>
        </is>
      </c>
      <c r="G414" t="inlineStr">
        <is>
          <t>EKSJÖ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45344</v>
      </c>
      <c r="E415" s="1" t="n">
        <v>46236</v>
      </c>
      <c r="F415" t="inlineStr">
        <is>
          <t>JÖNKÖPINGS LÄN</t>
        </is>
      </c>
      <c r="G415" t="inlineStr">
        <is>
          <t>EKSJÖ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46236</v>
      </c>
      <c r="F416" t="inlineStr">
        <is>
          <t>JÖNKÖPINGS LÄN</t>
        </is>
      </c>
      <c r="G416" t="inlineStr">
        <is>
          <t>EKSJÖ</t>
        </is>
      </c>
      <c r="I416" t="n">
        <v>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46184</v>
      </c>
      <c r="E417" s="1" t="n">
        <v>46236</v>
      </c>
      <c r="F417" t="inlineStr">
        <is>
          <t>JÖNKÖPINGS LÄN</t>
        </is>
      </c>
      <c r="G417" t="inlineStr">
        <is>
          <t>EKSJÖ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45402</v>
      </c>
      <c r="E418" s="1" t="n">
        <v>46236</v>
      </c>
      <c r="F418" t="inlineStr">
        <is>
          <t>JÖNKÖPINGS LÄN</t>
        </is>
      </c>
      <c r="G418" t="inlineStr">
        <is>
          <t>EKSJÖ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45635</v>
      </c>
      <c r="E419" s="1" t="n">
        <v>46236</v>
      </c>
      <c r="F419" t="inlineStr">
        <is>
          <t>JÖNKÖPINGS LÄN</t>
        </is>
      </c>
      <c r="G419" t="inlineStr">
        <is>
          <t>EKSJÖ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22491-2023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46236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46184</v>
      </c>
      <c r="E421" s="1" t="n">
        <v>46236</v>
      </c>
      <c r="F421" t="inlineStr">
        <is>
          <t>JÖNKÖPINGS LÄN</t>
        </is>
      </c>
      <c r="G421" t="inlineStr">
        <is>
          <t>EKSJÖ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46236</v>
      </c>
      <c r="F422" t="inlineStr">
        <is>
          <t>JÖNKÖPINGS LÄN</t>
        </is>
      </c>
      <c r="G422" t="inlineStr">
        <is>
          <t>EKSJÖ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46236</v>
      </c>
      <c r="F423" t="inlineStr">
        <is>
          <t>JÖNKÖPINGS LÄN</t>
        </is>
      </c>
      <c r="G423" t="inlineStr">
        <is>
          <t>EKSJÖ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46236</v>
      </c>
      <c r="F424" t="inlineStr">
        <is>
          <t>JÖNKÖPINGS LÄN</t>
        </is>
      </c>
      <c r="G424" t="inlineStr">
        <is>
          <t>EKSJÖ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45334</v>
      </c>
      <c r="E425" s="1" t="n">
        <v>46236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16.1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46236</v>
      </c>
      <c r="F426" t="inlineStr">
        <is>
          <t>JÖNKÖPINGS LÄN</t>
        </is>
      </c>
      <c r="G426" t="inlineStr">
        <is>
          <t>EKSJÖ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46236</v>
      </c>
      <c r="F427" t="inlineStr">
        <is>
          <t>JÖNKÖPINGS LÄN</t>
        </is>
      </c>
      <c r="G427" t="inlineStr">
        <is>
          <t>EKSJÖ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44999</v>
      </c>
      <c r="E428" s="1" t="n">
        <v>46236</v>
      </c>
      <c r="F428" t="inlineStr">
        <is>
          <t>JÖNKÖPINGS LÄN</t>
        </is>
      </c>
      <c r="G428" t="inlineStr">
        <is>
          <t>EKSJÖ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46236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45204</v>
      </c>
      <c r="E430" s="1" t="n">
        <v>46236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46236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46236</v>
      </c>
      <c r="F432" t="inlineStr">
        <is>
          <t>JÖNKÖPINGS LÄN</t>
        </is>
      </c>
      <c r="G432" t="inlineStr">
        <is>
          <t>EKSJÖ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9388-2026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46236</v>
      </c>
      <c r="F433" t="inlineStr">
        <is>
          <t>JÖNKÖPINGS LÄN</t>
        </is>
      </c>
      <c r="G433" t="inlineStr">
        <is>
          <t>EKSJÖ</t>
        </is>
      </c>
      <c r="H433" t="inlineStr">
        <is>
          <t>Kommuner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46236</v>
      </c>
      <c r="F434" t="inlineStr">
        <is>
          <t>JÖNKÖPINGS LÄN</t>
        </is>
      </c>
      <c r="G434" t="inlineStr">
        <is>
          <t>EKSJÖ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46236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46236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45714</v>
      </c>
      <c r="E437" s="1" t="n">
        <v>46236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45714</v>
      </c>
      <c r="E438" s="1" t="n">
        <v>46236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46236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45463</v>
      </c>
      <c r="E440" s="1" t="n">
        <v>46236</v>
      </c>
      <c r="F440" t="inlineStr">
        <is>
          <t>JÖNKÖPINGS LÄN</t>
        </is>
      </c>
      <c r="G440" t="inlineStr">
        <is>
          <t>EKSJÖ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45161</v>
      </c>
      <c r="E441" s="1" t="n">
        <v>46236</v>
      </c>
      <c r="F441" t="inlineStr">
        <is>
          <t>JÖNKÖPINGS LÄN</t>
        </is>
      </c>
      <c r="G441" t="inlineStr">
        <is>
          <t>EKSJÖ</t>
        </is>
      </c>
      <c r="I441" t="n">
        <v>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7372-2024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45345</v>
      </c>
      <c r="E442" s="1" t="n">
        <v>46236</v>
      </c>
      <c r="F442" t="inlineStr">
        <is>
          <t>JÖNKÖPINGS LÄN</t>
        </is>
      </c>
      <c r="G442" t="inlineStr">
        <is>
          <t>EKSJÖ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2819-2022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44581</v>
      </c>
      <c r="E443" s="1" t="n">
        <v>46236</v>
      </c>
      <c r="F443" t="inlineStr">
        <is>
          <t>JÖNKÖPINGS LÄN</t>
        </is>
      </c>
      <c r="G443" t="inlineStr">
        <is>
          <t>EKSJÖ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45617</v>
      </c>
      <c r="E444" s="1" t="n">
        <v>46236</v>
      </c>
      <c r="F444" t="inlineStr">
        <is>
          <t>JÖNKÖPINGS LÄN</t>
        </is>
      </c>
      <c r="G444" t="inlineStr">
        <is>
          <t>EKSJÖ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9058-2022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44615</v>
      </c>
      <c r="E445" s="1" t="n">
        <v>46236</v>
      </c>
      <c r="F445" t="inlineStr">
        <is>
          <t>JÖNKÖPINGS LÄN</t>
        </is>
      </c>
      <c r="G445" t="inlineStr">
        <is>
          <t>EKSJÖ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46236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23868-2023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45078</v>
      </c>
      <c r="E447" s="1" t="n">
        <v>46236</v>
      </c>
      <c r="F447" t="inlineStr">
        <is>
          <t>JÖNKÖPINGS LÄN</t>
        </is>
      </c>
      <c r="G447" t="inlineStr">
        <is>
          <t>EKSJÖ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46236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44580</v>
      </c>
      <c r="E449" s="1" t="n">
        <v>46236</v>
      </c>
      <c r="F449" t="inlineStr">
        <is>
          <t>JÖNKÖPINGS LÄN</t>
        </is>
      </c>
      <c r="G449" t="inlineStr">
        <is>
          <t>EKSJÖ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27775-2024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45475</v>
      </c>
      <c r="E450" s="1" t="n">
        <v>46236</v>
      </c>
      <c r="F450" t="inlineStr">
        <is>
          <t>JÖNKÖPINGS LÄN</t>
        </is>
      </c>
      <c r="G450" t="inlineStr">
        <is>
          <t>EKSJÖ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45715</v>
      </c>
      <c r="E451" s="1" t="n">
        <v>46236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45686</v>
      </c>
      <c r="E452" s="1" t="n">
        <v>46236</v>
      </c>
      <c r="F452" t="inlineStr">
        <is>
          <t>JÖNKÖPINGS LÄN</t>
        </is>
      </c>
      <c r="G452" t="inlineStr">
        <is>
          <t>EKSJÖ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46236</v>
      </c>
      <c r="F453" t="inlineStr">
        <is>
          <t>JÖNKÖPINGS LÄN</t>
        </is>
      </c>
      <c r="G453" t="inlineStr">
        <is>
          <t>EKSJÖ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45723</v>
      </c>
      <c r="E454" s="1" t="n">
        <v>46236</v>
      </c>
      <c r="F454" t="inlineStr">
        <is>
          <t>JÖNKÖPINGS LÄN</t>
        </is>
      </c>
      <c r="G454" t="inlineStr">
        <is>
          <t>EKSJÖ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46236</v>
      </c>
      <c r="F455" t="inlineStr">
        <is>
          <t>JÖNKÖPINGS LÄN</t>
        </is>
      </c>
      <c r="G455" t="inlineStr">
        <is>
          <t>EKSJÖ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45222</v>
      </c>
      <c r="E456" s="1" t="n">
        <v>46236</v>
      </c>
      <c r="F456" t="inlineStr">
        <is>
          <t>JÖNKÖPINGS LÄN</t>
        </is>
      </c>
      <c r="G456" t="inlineStr">
        <is>
          <t>EKSJÖ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45338</v>
      </c>
      <c r="E457" s="1" t="n">
        <v>46236</v>
      </c>
      <c r="F457" t="inlineStr">
        <is>
          <t>JÖNKÖPINGS LÄN</t>
        </is>
      </c>
      <c r="G457" t="inlineStr">
        <is>
          <t>EKSJÖ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45176</v>
      </c>
      <c r="E458" s="1" t="n">
        <v>46236</v>
      </c>
      <c r="F458" t="inlineStr">
        <is>
          <t>JÖNKÖPINGS LÄN</t>
        </is>
      </c>
      <c r="G458" t="inlineStr">
        <is>
          <t>EKSJÖ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55817-2023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45239</v>
      </c>
      <c r="E459" s="1" t="n">
        <v>46236</v>
      </c>
      <c r="F459" t="inlineStr">
        <is>
          <t>JÖNKÖPINGS LÄN</t>
        </is>
      </c>
      <c r="G459" t="inlineStr">
        <is>
          <t>EKSJÖ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45231</v>
      </c>
      <c r="E460" s="1" t="n">
        <v>46236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38659-2023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45162</v>
      </c>
      <c r="E461" s="1" t="n">
        <v>46236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46236</v>
      </c>
      <c r="F462" t="inlineStr">
        <is>
          <t>JÖNKÖPINGS LÄN</t>
        </is>
      </c>
      <c r="G462" t="inlineStr">
        <is>
          <t>EKSJÖ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45575</v>
      </c>
      <c r="E463" s="1" t="n">
        <v>46236</v>
      </c>
      <c r="F463" t="inlineStr">
        <is>
          <t>JÖNKÖPINGS LÄN</t>
        </is>
      </c>
      <c r="G463" t="inlineStr">
        <is>
          <t>EKSJÖ</t>
        </is>
      </c>
      <c r="H463" t="inlineStr">
        <is>
          <t>Övriga Aktiebolag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54292-2023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45232</v>
      </c>
      <c r="E464" s="1" t="n">
        <v>46236</v>
      </c>
      <c r="F464" t="inlineStr">
        <is>
          <t>JÖNKÖPINGS LÄN</t>
        </is>
      </c>
      <c r="G464" t="inlineStr">
        <is>
          <t>EKSJÖ</t>
        </is>
      </c>
      <c r="I464" t="n">
        <v>18.3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45161</v>
      </c>
      <c r="E465" s="1" t="n">
        <v>46236</v>
      </c>
      <c r="F465" t="inlineStr">
        <is>
          <t>JÖNKÖPINGS LÄN</t>
        </is>
      </c>
      <c r="G465" t="inlineStr">
        <is>
          <t>EKSJÖ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18062-2024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45420</v>
      </c>
      <c r="E466" s="1" t="n">
        <v>46236</v>
      </c>
      <c r="F466" t="inlineStr">
        <is>
          <t>JÖNKÖPINGS LÄN</t>
        </is>
      </c>
      <c r="G466" t="inlineStr">
        <is>
          <t>EKSJÖ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46236</v>
      </c>
      <c r="F467" t="inlineStr">
        <is>
          <t>JÖNKÖPINGS LÄN</t>
        </is>
      </c>
      <c r="G467" t="inlineStr">
        <is>
          <t>EKSJÖ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53479-2023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46236</v>
      </c>
      <c r="F468" t="inlineStr">
        <is>
          <t>JÖNKÖPINGS LÄN</t>
        </is>
      </c>
      <c r="G468" t="inlineStr">
        <is>
          <t>EKSJÖ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50287-2024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45600</v>
      </c>
      <c r="E469" s="1" t="n">
        <v>46236</v>
      </c>
      <c r="F469" t="inlineStr">
        <is>
          <t>JÖNKÖPINGS LÄN</t>
        </is>
      </c>
      <c r="G469" t="inlineStr">
        <is>
          <t>EKSJÖ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45666</v>
      </c>
      <c r="E470" s="1" t="n">
        <v>46236</v>
      </c>
      <c r="F470" t="inlineStr">
        <is>
          <t>JÖNKÖPINGS LÄN</t>
        </is>
      </c>
      <c r="G470" t="inlineStr">
        <is>
          <t>EKSJÖ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46236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46107</v>
      </c>
      <c r="E472" s="1" t="n">
        <v>46236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46236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46236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15754-2026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46107</v>
      </c>
      <c r="E475" s="1" t="n">
        <v>46236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19469-2025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45770</v>
      </c>
      <c r="E476" s="1" t="n">
        <v>46236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46236</v>
      </c>
      <c r="F477" t="inlineStr">
        <is>
          <t>JÖNKÖPINGS LÄN</t>
        </is>
      </c>
      <c r="G477" t="inlineStr">
        <is>
          <t>EKSJÖ</t>
        </is>
      </c>
      <c r="H477" t="inlineStr">
        <is>
          <t>Kommuner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15411-2026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46236</v>
      </c>
      <c r="F478" t="inlineStr">
        <is>
          <t>JÖNKÖPINGS LÄN</t>
        </is>
      </c>
      <c r="G478" t="inlineStr">
        <is>
          <t>EKSJÖ</t>
        </is>
      </c>
      <c r="H478" t="inlineStr">
        <is>
          <t>Kommuner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34021-2024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45523</v>
      </c>
      <c r="E479" s="1" t="n">
        <v>46236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45523</v>
      </c>
      <c r="E480" s="1" t="n">
        <v>46236</v>
      </c>
      <c r="F480" t="inlineStr">
        <is>
          <t>JÖNKÖPINGS LÄN</t>
        </is>
      </c>
      <c r="G480" t="inlineStr">
        <is>
          <t>EKSJÖ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45426</v>
      </c>
      <c r="E481" s="1" t="n">
        <v>46236</v>
      </c>
      <c r="F481" t="inlineStr">
        <is>
          <t>JÖNKÖPINGS LÄN</t>
        </is>
      </c>
      <c r="G481" t="inlineStr">
        <is>
          <t>EKSJÖ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45912-2023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45195</v>
      </c>
      <c r="E482" s="1" t="n">
        <v>46236</v>
      </c>
      <c r="F482" t="inlineStr">
        <is>
          <t>JÖNKÖPINGS LÄN</t>
        </is>
      </c>
      <c r="G482" t="inlineStr">
        <is>
          <t>EKSJÖ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45913-2023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45195</v>
      </c>
      <c r="E483" s="1" t="n">
        <v>46236</v>
      </c>
      <c r="F483" t="inlineStr">
        <is>
          <t>JÖNKÖPINGS LÄN</t>
        </is>
      </c>
      <c r="G483" t="inlineStr">
        <is>
          <t>EKSJÖ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15965-2026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46236</v>
      </c>
      <c r="F484" t="inlineStr">
        <is>
          <t>JÖNKÖPINGS LÄN</t>
        </is>
      </c>
      <c r="G484" t="inlineStr">
        <is>
          <t>EKSJÖ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46236</v>
      </c>
      <c r="F485" t="inlineStr">
        <is>
          <t>JÖNKÖPINGS LÄN</t>
        </is>
      </c>
      <c r="G485" t="inlineStr">
        <is>
          <t>EKSJÖ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42467-2023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46236</v>
      </c>
      <c r="F486" t="inlineStr">
        <is>
          <t>JÖNKÖPINGS LÄN</t>
        </is>
      </c>
      <c r="G486" t="inlineStr">
        <is>
          <t>EKSJÖ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46236</v>
      </c>
      <c r="F487" t="inlineStr">
        <is>
          <t>JÖNKÖPINGS LÄN</t>
        </is>
      </c>
      <c r="G487" t="inlineStr">
        <is>
          <t>EKSJÖ</t>
        </is>
      </c>
      <c r="H487" t="inlineStr">
        <is>
          <t>Övriga Aktiebolag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46236</v>
      </c>
      <c r="F488" t="inlineStr">
        <is>
          <t>JÖNKÖPINGS LÄN</t>
        </is>
      </c>
      <c r="G488" t="inlineStr">
        <is>
          <t>EKSJÖ</t>
        </is>
      </c>
      <c r="H488" t="inlineStr">
        <is>
          <t>Övriga Aktiebolag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46236</v>
      </c>
      <c r="F489" t="inlineStr">
        <is>
          <t>JÖNKÖPINGS LÄN</t>
        </is>
      </c>
      <c r="G489" t="inlineStr">
        <is>
          <t>EKSJÖ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46236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18324-2022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44685</v>
      </c>
      <c r="E491" s="1" t="n">
        <v>46236</v>
      </c>
      <c r="F491" t="inlineStr">
        <is>
          <t>JÖNKÖPINGS LÄN</t>
        </is>
      </c>
      <c r="G491" t="inlineStr">
        <is>
          <t>EKSJÖ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45777</v>
      </c>
      <c r="E492" s="1" t="n">
        <v>46236</v>
      </c>
      <c r="F492" t="inlineStr">
        <is>
          <t>JÖNKÖPINGS LÄN</t>
        </is>
      </c>
      <c r="G492" t="inlineStr">
        <is>
          <t>EKSJÖ</t>
        </is>
      </c>
      <c r="H492" t="inlineStr">
        <is>
          <t>Kommuner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45236</v>
      </c>
      <c r="E493" s="1" t="n">
        <v>46236</v>
      </c>
      <c r="F493" t="inlineStr">
        <is>
          <t>JÖNKÖPINGS LÄN</t>
        </is>
      </c>
      <c r="G493" t="inlineStr">
        <is>
          <t>EKSJÖ</t>
        </is>
      </c>
      <c r="H493" t="inlineStr">
        <is>
          <t>Övriga Aktiebolag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46236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45777</v>
      </c>
      <c r="E495" s="1" t="n">
        <v>46236</v>
      </c>
      <c r="F495" t="inlineStr">
        <is>
          <t>JÖNKÖPINGS LÄN</t>
        </is>
      </c>
      <c r="G495" t="inlineStr">
        <is>
          <t>EKSJÖ</t>
        </is>
      </c>
      <c r="H495" t="inlineStr">
        <is>
          <t>Kommuner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44908</v>
      </c>
      <c r="E496" s="1" t="n">
        <v>46236</v>
      </c>
      <c r="F496" t="inlineStr">
        <is>
          <t>JÖNKÖPINGS LÄN</t>
        </is>
      </c>
      <c r="G496" t="inlineStr">
        <is>
          <t>EKSJÖ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21224-2025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45779</v>
      </c>
      <c r="E497" s="1" t="n">
        <v>46236</v>
      </c>
      <c r="F497" t="inlineStr">
        <is>
          <t>JÖNKÖPINGS LÄN</t>
        </is>
      </c>
      <c r="G497" t="inlineStr">
        <is>
          <t>EKSJÖ</t>
        </is>
      </c>
      <c r="H497" t="inlineStr">
        <is>
          <t>Kommuner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45637</v>
      </c>
      <c r="E498" s="1" t="n">
        <v>46236</v>
      </c>
      <c r="F498" t="inlineStr">
        <is>
          <t>JÖNKÖPINGS LÄN</t>
        </is>
      </c>
      <c r="G498" t="inlineStr">
        <is>
          <t>EKSJÖ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18520-2026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46236</v>
      </c>
      <c r="F499" t="inlineStr">
        <is>
          <t>JÖNKÖPINGS LÄN</t>
        </is>
      </c>
      <c r="G499" t="inlineStr">
        <is>
          <t>EKSJÖ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55808-2023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45239</v>
      </c>
      <c r="E500" s="1" t="n">
        <v>46236</v>
      </c>
      <c r="F500" t="inlineStr">
        <is>
          <t>JÖNKÖPINGS LÄN</t>
        </is>
      </c>
      <c r="G500" t="inlineStr">
        <is>
          <t>EKSJÖ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46236</v>
      </c>
      <c r="F501" t="inlineStr">
        <is>
          <t>JÖNKÖPINGS LÄN</t>
        </is>
      </c>
      <c r="G501" t="inlineStr">
        <is>
          <t>EKSJÖ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45315</v>
      </c>
      <c r="E502" s="1" t="n">
        <v>46236</v>
      </c>
      <c r="F502" t="inlineStr">
        <is>
          <t>JÖNKÖPINGS LÄN</t>
        </is>
      </c>
      <c r="G502" t="inlineStr">
        <is>
          <t>EKSJÖ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42469-2023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45175</v>
      </c>
      <c r="E503" s="1" t="n">
        <v>46236</v>
      </c>
      <c r="F503" t="inlineStr">
        <is>
          <t>JÖNKÖPINGS LÄN</t>
        </is>
      </c>
      <c r="G503" t="inlineStr">
        <is>
          <t>EKSJÖ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45706</v>
      </c>
      <c r="E504" s="1" t="n">
        <v>46236</v>
      </c>
      <c r="F504" t="inlineStr">
        <is>
          <t>JÖNKÖPINGS LÄN</t>
        </is>
      </c>
      <c r="G504" t="inlineStr">
        <is>
          <t>EKSJÖ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19497-2025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45770</v>
      </c>
      <c r="E505" s="1" t="n">
        <v>46236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46236</v>
      </c>
      <c r="F506" t="inlineStr">
        <is>
          <t>JÖNKÖPINGS LÄN</t>
        </is>
      </c>
      <c r="G506" t="inlineStr">
        <is>
          <t>EKSJÖ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45314</v>
      </c>
      <c r="E507" s="1" t="n">
        <v>46236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25613-2024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45463</v>
      </c>
      <c r="E508" s="1" t="n">
        <v>46236</v>
      </c>
      <c r="F508" t="inlineStr">
        <is>
          <t>JÖNKÖPINGS LÄN</t>
        </is>
      </c>
      <c r="G508" t="inlineStr">
        <is>
          <t>EKSJÖ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46236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4784-2024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46236</v>
      </c>
      <c r="F510" t="inlineStr">
        <is>
          <t>JÖNKÖPINGS LÄN</t>
        </is>
      </c>
      <c r="G510" t="inlineStr">
        <is>
          <t>EKSJÖ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45758</v>
      </c>
      <c r="E511" s="1" t="n">
        <v>46236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45786</v>
      </c>
      <c r="E512" s="1" t="n">
        <v>46236</v>
      </c>
      <c r="F512" t="inlineStr">
        <is>
          <t>JÖNKÖPINGS LÄN</t>
        </is>
      </c>
      <c r="G512" t="inlineStr">
        <is>
          <t>EKSJÖ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9429-2025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45715</v>
      </c>
      <c r="E513" s="1" t="n">
        <v>46236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46236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46236</v>
      </c>
      <c r="F515" t="inlineStr">
        <is>
          <t>JÖNKÖPINGS LÄN</t>
        </is>
      </c>
      <c r="G515" t="inlineStr">
        <is>
          <t>EKSJÖ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44746</v>
      </c>
      <c r="E516" s="1" t="n">
        <v>46236</v>
      </c>
      <c r="F516" t="inlineStr">
        <is>
          <t>JÖNKÖPINGS LÄN</t>
        </is>
      </c>
      <c r="G516" t="inlineStr">
        <is>
          <t>EKSJÖ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33969-2025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45842</v>
      </c>
      <c r="E517" s="1" t="n">
        <v>46236</v>
      </c>
      <c r="F517" t="inlineStr">
        <is>
          <t>JÖNKÖPINGS LÄN</t>
        </is>
      </c>
      <c r="G517" t="inlineStr">
        <is>
          <t>EKSJÖ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38102-2025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45882</v>
      </c>
      <c r="E518" s="1" t="n">
        <v>46236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45758</v>
      </c>
      <c r="E519" s="1" t="n">
        <v>46236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41744-2023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45176</v>
      </c>
      <c r="E520" s="1" t="n">
        <v>46236</v>
      </c>
      <c r="F520" t="inlineStr">
        <is>
          <t>JÖNKÖPINGS LÄN</t>
        </is>
      </c>
      <c r="G520" t="inlineStr">
        <is>
          <t>EKSJÖ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44888</v>
      </c>
      <c r="E521" s="1" t="n">
        <v>46236</v>
      </c>
      <c r="F521" t="inlineStr">
        <is>
          <t>JÖNKÖPINGS LÄN</t>
        </is>
      </c>
      <c r="G521" t="inlineStr">
        <is>
          <t>EKSJÖ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45264</v>
      </c>
      <c r="E522" s="1" t="n">
        <v>46236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44908</v>
      </c>
      <c r="E523" s="1" t="n">
        <v>46236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22987-2025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45790</v>
      </c>
      <c r="E524" s="1" t="n">
        <v>46236</v>
      </c>
      <c r="F524" t="inlineStr">
        <is>
          <t>JÖNKÖPINGS LÄN</t>
        </is>
      </c>
      <c r="G524" t="inlineStr">
        <is>
          <t>EKSJÖ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46236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40094-2025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45894</v>
      </c>
      <c r="E526" s="1" t="n">
        <v>46236</v>
      </c>
      <c r="F526" t="inlineStr">
        <is>
          <t>JÖNKÖPINGS LÄN</t>
        </is>
      </c>
      <c r="G526" t="inlineStr">
        <is>
          <t>EKSJÖ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46236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46013-2022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44846</v>
      </c>
      <c r="E528" s="1" t="n">
        <v>46236</v>
      </c>
      <c r="F528" t="inlineStr">
        <is>
          <t>JÖNKÖPINGS LÄN</t>
        </is>
      </c>
      <c r="G528" t="inlineStr">
        <is>
          <t>EKSJÖ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46014-2022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44846</v>
      </c>
      <c r="E529" s="1" t="n">
        <v>46236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9188-2024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45358</v>
      </c>
      <c r="E530" s="1" t="n">
        <v>46236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50516-2025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45945</v>
      </c>
      <c r="E531" s="1" t="n">
        <v>46236</v>
      </c>
      <c r="F531" t="inlineStr">
        <is>
          <t>JÖNKÖPINGS LÄN</t>
        </is>
      </c>
      <c r="G531" t="inlineStr">
        <is>
          <t>EKSJÖ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45243</v>
      </c>
      <c r="E532" s="1" t="n">
        <v>46236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11381-2022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44630</v>
      </c>
      <c r="E533" s="1" t="n">
        <v>46236</v>
      </c>
      <c r="F533" t="inlineStr">
        <is>
          <t>JÖNKÖPINGS LÄN</t>
        </is>
      </c>
      <c r="G533" t="inlineStr">
        <is>
          <t>EKSJÖ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45791</v>
      </c>
      <c r="E534" s="1" t="n">
        <v>46236</v>
      </c>
      <c r="F534" t="inlineStr">
        <is>
          <t>JÖNKÖPINGS LÄN</t>
        </is>
      </c>
      <c r="G534" t="inlineStr">
        <is>
          <t>EKSJÖ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50275-2023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45209</v>
      </c>
      <c r="E535" s="1" t="n">
        <v>46236</v>
      </c>
      <c r="F535" t="inlineStr">
        <is>
          <t>JÖNKÖPINGS LÄN</t>
        </is>
      </c>
      <c r="G535" t="inlineStr">
        <is>
          <t>EKSJÖ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47204-2022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46236</v>
      </c>
      <c r="F536" t="inlineStr">
        <is>
          <t>JÖNKÖPINGS LÄN</t>
        </is>
      </c>
      <c r="G536" t="inlineStr">
        <is>
          <t>EKSJÖ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37918-2023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45160</v>
      </c>
      <c r="E537" s="1" t="n">
        <v>46236</v>
      </c>
      <c r="F537" t="inlineStr">
        <is>
          <t>JÖNKÖPINGS LÄN</t>
        </is>
      </c>
      <c r="G537" t="inlineStr">
        <is>
          <t>EKSJÖ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23387-2025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45791</v>
      </c>
      <c r="E538" s="1" t="n">
        <v>46236</v>
      </c>
      <c r="F538" t="inlineStr">
        <is>
          <t>JÖNKÖPINGS LÄN</t>
        </is>
      </c>
      <c r="G538" t="inlineStr">
        <is>
          <t>EKSJÖ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45743-2024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46236</v>
      </c>
      <c r="F539" t="inlineStr">
        <is>
          <t>JÖNKÖPINGS LÄN</t>
        </is>
      </c>
      <c r="G539" t="inlineStr">
        <is>
          <t>EKSJÖ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46236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46577-2022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44848</v>
      </c>
      <c r="E541" s="1" t="n">
        <v>46236</v>
      </c>
      <c r="F541" t="inlineStr">
        <is>
          <t>JÖNKÖPINGS LÄN</t>
        </is>
      </c>
      <c r="G541" t="inlineStr">
        <is>
          <t>EKSJÖ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45532</v>
      </c>
      <c r="E542" s="1" t="n">
        <v>46236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10464-2023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44987</v>
      </c>
      <c r="E543" s="1" t="n">
        <v>46236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45741</v>
      </c>
      <c r="E544" s="1" t="n">
        <v>46236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45728</v>
      </c>
      <c r="E545" s="1" t="n">
        <v>46236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45727</v>
      </c>
      <c r="E546" s="1" t="n">
        <v>46236</v>
      </c>
      <c r="F546" t="inlineStr">
        <is>
          <t>JÖNKÖPINGS LÄN</t>
        </is>
      </c>
      <c r="G546" t="inlineStr">
        <is>
          <t>EKSJÖ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14813-2025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45743</v>
      </c>
      <c r="E547" s="1" t="n">
        <v>46236</v>
      </c>
      <c r="F547" t="inlineStr">
        <is>
          <t>JÖNKÖPINGS LÄN</t>
        </is>
      </c>
      <c r="G547" t="inlineStr">
        <is>
          <t>EKSJÖ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14382-2025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45741</v>
      </c>
      <c r="E548" s="1" t="n">
        <v>46236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46236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45391</v>
      </c>
      <c r="E550" s="1" t="n">
        <v>46236</v>
      </c>
      <c r="F550" t="inlineStr">
        <is>
          <t>JÖNKÖPINGS LÄN</t>
        </is>
      </c>
      <c r="G550" t="inlineStr">
        <is>
          <t>EKSJÖ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42929-2021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44431</v>
      </c>
      <c r="E551" s="1" t="n">
        <v>46236</v>
      </c>
      <c r="F551" t="inlineStr">
        <is>
          <t>JÖNKÖPINGS LÄN</t>
        </is>
      </c>
      <c r="G551" t="inlineStr">
        <is>
          <t>EKSJÖ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14355-2025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46236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14376-2025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45741</v>
      </c>
      <c r="E553" s="1" t="n">
        <v>46236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46236</v>
      </c>
      <c r="F554" t="inlineStr">
        <is>
          <t>JÖNKÖPINGS LÄN</t>
        </is>
      </c>
      <c r="G554" t="inlineStr">
        <is>
          <t>EKSJÖ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56039-2024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45624</v>
      </c>
      <c r="E555" s="1" t="n">
        <v>46236</v>
      </c>
      <c r="F555" t="inlineStr">
        <is>
          <t>JÖNKÖPINGS LÄN</t>
        </is>
      </c>
      <c r="G555" t="inlineStr">
        <is>
          <t>EKSJÖ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13735-2025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45737</v>
      </c>
      <c r="E556" s="1" t="n">
        <v>46236</v>
      </c>
      <c r="F556" t="inlineStr">
        <is>
          <t>JÖNKÖPINGS LÄN</t>
        </is>
      </c>
      <c r="G556" t="inlineStr">
        <is>
          <t>EKSJÖ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34173-2024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45524</v>
      </c>
      <c r="E557" s="1" t="n">
        <v>46236</v>
      </c>
      <c r="F557" t="inlineStr">
        <is>
          <t>JÖNKÖPINGS LÄN</t>
        </is>
      </c>
      <c r="G557" t="inlineStr">
        <is>
          <t>EKSJÖ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45091</v>
      </c>
      <c r="E558" s="1" t="n">
        <v>46236</v>
      </c>
      <c r="F558" t="inlineStr">
        <is>
          <t>JÖNKÖPINGS LÄN</t>
        </is>
      </c>
      <c r="G558" t="inlineStr">
        <is>
          <t>EKSJÖ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19856-2025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45771</v>
      </c>
      <c r="E559" s="1" t="n">
        <v>46236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46236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45819</v>
      </c>
      <c r="E561" s="1" t="n">
        <v>46236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28441-2025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45819</v>
      </c>
      <c r="E562" s="1" t="n">
        <v>46236</v>
      </c>
      <c r="F562" t="inlineStr">
        <is>
          <t>JÖNKÖPINGS LÄN</t>
        </is>
      </c>
      <c r="G562" t="inlineStr">
        <is>
          <t>EKSJÖ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45826</v>
      </c>
      <c r="E563" s="1" t="n">
        <v>46236</v>
      </c>
      <c r="F563" t="inlineStr">
        <is>
          <t>JÖNKÖPINGS LÄN</t>
        </is>
      </c>
      <c r="G563" t="inlineStr">
        <is>
          <t>EKSJÖ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41440-2024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45560</v>
      </c>
      <c r="E564" s="1" t="n">
        <v>46236</v>
      </c>
      <c r="F564" t="inlineStr">
        <is>
          <t>JÖNKÖPINGS LÄN</t>
        </is>
      </c>
      <c r="G564" t="inlineStr">
        <is>
          <t>EKSJÖ</t>
        </is>
      </c>
      <c r="H564" t="inlineStr">
        <is>
          <t>Kyrkan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45839</v>
      </c>
      <c r="E565" s="1" t="n">
        <v>46236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46236</v>
      </c>
      <c r="F566" t="inlineStr">
        <is>
          <t>JÖNKÖPINGS LÄN</t>
        </is>
      </c>
      <c r="G566" t="inlineStr">
        <is>
          <t>EKSJÖ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45841</v>
      </c>
      <c r="E567" s="1" t="n">
        <v>46236</v>
      </c>
      <c r="F567" t="inlineStr">
        <is>
          <t>JÖNKÖPINGS LÄN</t>
        </is>
      </c>
      <c r="G567" t="inlineStr">
        <is>
          <t>EKSJÖ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45842</v>
      </c>
      <c r="E568" s="1" t="n">
        <v>46236</v>
      </c>
      <c r="F568" t="inlineStr">
        <is>
          <t>JÖNKÖPINGS LÄN</t>
        </is>
      </c>
      <c r="G568" t="inlineStr">
        <is>
          <t>EKSJÖ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34124-2025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45845</v>
      </c>
      <c r="E569" s="1" t="n">
        <v>46236</v>
      </c>
      <c r="F569" t="inlineStr">
        <is>
          <t>JÖNKÖPINGS LÄN</t>
        </is>
      </c>
      <c r="G569" t="inlineStr">
        <is>
          <t>EKSJÖ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33970-2025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45842</v>
      </c>
      <c r="E570" s="1" t="n">
        <v>46236</v>
      </c>
      <c r="F570" t="inlineStr">
        <is>
          <t>JÖNKÖPINGS LÄN</t>
        </is>
      </c>
      <c r="G570" t="inlineStr">
        <is>
          <t>EKSJÖ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44974</v>
      </c>
      <c r="E571" s="1" t="n">
        <v>46236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6033-2025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45695</v>
      </c>
      <c r="E572" s="1" t="n">
        <v>46236</v>
      </c>
      <c r="F572" t="inlineStr">
        <is>
          <t>JÖNKÖPINGS LÄN</t>
        </is>
      </c>
      <c r="G572" t="inlineStr">
        <is>
          <t>EKSJÖ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22176-2025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46236</v>
      </c>
      <c r="F573" t="inlineStr">
        <is>
          <t>JÖNKÖPINGS LÄN</t>
        </is>
      </c>
      <c r="G573" t="inlineStr">
        <is>
          <t>EKSJÖ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24928-2024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45461</v>
      </c>
      <c r="E574" s="1" t="n">
        <v>46236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45860</v>
      </c>
      <c r="E575" s="1" t="n">
        <v>46236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45860</v>
      </c>
      <c r="E576" s="1" t="n">
        <v>46236</v>
      </c>
      <c r="F576" t="inlineStr">
        <is>
          <t>JÖNKÖPINGS LÄN</t>
        </is>
      </c>
      <c r="G576" t="inlineStr">
        <is>
          <t>EKSJÖ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45866</v>
      </c>
      <c r="E577" s="1" t="n">
        <v>46236</v>
      </c>
      <c r="F577" t="inlineStr">
        <is>
          <t>JÖNKÖPINGS LÄN</t>
        </is>
      </c>
      <c r="G577" t="inlineStr">
        <is>
          <t>EKSJÖ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36853-2025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45874</v>
      </c>
      <c r="E578" s="1" t="n">
        <v>46236</v>
      </c>
      <c r="F578" t="inlineStr">
        <is>
          <t>JÖNKÖPINGS LÄN</t>
        </is>
      </c>
      <c r="G578" t="inlineStr">
        <is>
          <t>EKSJÖ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46236</v>
      </c>
      <c r="F579" t="inlineStr">
        <is>
          <t>JÖNKÖPINGS LÄN</t>
        </is>
      </c>
      <c r="G579" t="inlineStr">
        <is>
          <t>EKSJÖ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37173-2025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45875</v>
      </c>
      <c r="E580" s="1" t="n">
        <v>46236</v>
      </c>
      <c r="F580" t="inlineStr">
        <is>
          <t>JÖNKÖPINGS LÄN</t>
        </is>
      </c>
      <c r="G580" t="inlineStr">
        <is>
          <t>EKSJÖ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45877</v>
      </c>
      <c r="E581" s="1" t="n">
        <v>46236</v>
      </c>
      <c r="F581" t="inlineStr">
        <is>
          <t>JÖNKÖPINGS LÄN</t>
        </is>
      </c>
      <c r="G581" t="inlineStr">
        <is>
          <t>EKSJÖ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28438-2025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45819</v>
      </c>
      <c r="E582" s="1" t="n">
        <v>46236</v>
      </c>
      <c r="F582" t="inlineStr">
        <is>
          <t>JÖNKÖPINGS LÄN</t>
        </is>
      </c>
      <c r="G582" t="inlineStr">
        <is>
          <t>EKSJÖ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45842</v>
      </c>
      <c r="E583" s="1" t="n">
        <v>46236</v>
      </c>
      <c r="F583" t="inlineStr">
        <is>
          <t>JÖNKÖPINGS LÄN</t>
        </is>
      </c>
      <c r="G583" t="inlineStr">
        <is>
          <t>EKSJÖ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18413-2025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45762</v>
      </c>
      <c r="E584" s="1" t="n">
        <v>46236</v>
      </c>
      <c r="F584" t="inlineStr">
        <is>
          <t>JÖNKÖPINGS LÄN</t>
        </is>
      </c>
      <c r="G584" t="inlineStr">
        <is>
          <t>EKSJÖ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46236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46236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46236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46236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46236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46236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46236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46236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46236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46236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46236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46236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46236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46236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46236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46236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46236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46236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46236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46236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46236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46236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46236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46236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46236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46236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46236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46236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46236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2026-08-02T01:56:04Z</dcterms:created>
  <dcterms:modified xmlns:dcterms="http://purl.org/dc/terms/" xmlns:xsi="http://www.w3.org/2001/XMLSchema-instance" xsi:type="dcterms:W3CDTF">2026-08-02T01:56:04Z</dcterms:modified>
</cp:coreProperties>
</file>