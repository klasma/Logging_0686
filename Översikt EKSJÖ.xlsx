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46299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46299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46299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46299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46299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46299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46299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46299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46299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46299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46299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46299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46299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46299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46299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46299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46299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46299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46299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46299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46299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46299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46299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46299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47729-2022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46299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Tibast</t>
        </is>
      </c>
      <c r="W35">
        <f>HYPERLINK("https://klasma.github.io/Logging_0686/artfynd/A 47729-2022 artfynd.xlsx", "A 47729-2022")</f>
        <v/>
      </c>
      <c r="X35">
        <f>HYPERLINK("https://klasma.github.io/Logging_0686/kartor/A 47729-2022 karta.png", "A 47729-2022")</f>
        <v/>
      </c>
      <c r="Y35">
        <f>HYPERLINK("https://klasma.github.io/Logging_0686/kartor_geotiff/A 47729-2022 georefererad karta.tif", "A 47729-2022")</f>
        <v/>
      </c>
      <c r="AA35">
        <f>HYPERLINK("https://klasma.github.io/Logging_0686/klagomål/A 47729-2022 FSC-klagomål.docx", "A 47729-2022")</f>
        <v/>
      </c>
      <c r="AB35">
        <f>HYPERLINK("https://klasma.github.io/Logging_0686/klagomålsmail/A 47729-2022 FSC-klagomål mail.docx", "A 47729-2022")</f>
        <v/>
      </c>
      <c r="AC35">
        <f>HYPERLINK("https://klasma.github.io/Logging_0686/tillsyn/A 47729-2022 tillsynsbegäran.docx", "A 47729-2022")</f>
        <v/>
      </c>
      <c r="AD35">
        <f>HYPERLINK("https://klasma.github.io/Logging_0686/tillsynsmail/A 47729-2022 tillsynsbegäran mail.docx", "A 47729-2022")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46299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46299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46299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46299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46299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46299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46299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38596-2026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46283</v>
      </c>
      <c r="E43" s="1" t="n">
        <v>46299</v>
      </c>
      <c r="F43" t="inlineStr">
        <is>
          <t>JÖNKÖPINGS LÄN</t>
        </is>
      </c>
      <c r="G43" t="inlineStr">
        <is>
          <t>EKSJÖ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HYPERLINK("https://klasma.github.io/Logging_0686/artfynd/A 38596-2026 artfynd.xlsx", "A 38596-2026")</f>
        <v/>
      </c>
      <c r="X43">
        <f>HYPERLINK("https://klasma.github.io/Logging_0686/kartor/A 38596-2026 karta.png", "A 38596-2026")</f>
        <v/>
      </c>
      <c r="Y43">
        <f>HYPERLINK("https://klasma.github.io/Logging_0686/kartor_geotiff/A 38596-2026 georefererad karta.tif", "A 38596-2026")</f>
        <v/>
      </c>
      <c r="AA43">
        <f>HYPERLINK("https://klasma.github.io/Logging_0686/klagomål/A 38596-2026 FSC-klagomål.docx", "A 38596-2026")</f>
        <v/>
      </c>
      <c r="AB43">
        <f>HYPERLINK("https://klasma.github.io/Logging_0686/klagomålsmail/A 38596-2026 FSC-klagomål mail.docx", "A 38596-2026")</f>
        <v/>
      </c>
      <c r="AC43">
        <f>HYPERLINK("https://klasma.github.io/Logging_0686/tillsyn/A 38596-2026 tillsynsbegäran.docx", "A 38596-2026")</f>
        <v/>
      </c>
      <c r="AD43">
        <f>HYPERLINK("https://klasma.github.io/Logging_0686/tillsynsmail/A 38596-2026 tillsynsbegäran mail.docx", "A 38596-2026")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46299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46299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18327-2024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45422</v>
      </c>
      <c r="E46" s="1" t="n">
        <v>46299</v>
      </c>
      <c r="F46" t="inlineStr">
        <is>
          <t>JÖNKÖPINGS LÄN</t>
        </is>
      </c>
      <c r="G46" t="inlineStr">
        <is>
          <t>EKSJÖ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Dvärgbägarlav</t>
        </is>
      </c>
      <c r="W46">
        <f>HYPERLINK("https://klasma.github.io/Logging_0686/artfynd/A 18327-2024 artfynd.xlsx", "A 18327-2024")</f>
        <v/>
      </c>
      <c r="X46">
        <f>HYPERLINK("https://klasma.github.io/Logging_0686/kartor/A 18327-2024 karta.png", "A 18327-2024")</f>
        <v/>
      </c>
      <c r="Y46">
        <f>HYPERLINK("https://klasma.github.io/Logging_0686/kartor_geotiff/A 18327-2024 georefererad karta.tif", "A 18327-2024")</f>
        <v/>
      </c>
      <c r="AA46">
        <f>HYPERLINK("https://klasma.github.io/Logging_0686/klagomål/A 18327-2024 FSC-klagomål.docx", "A 18327-2024")</f>
        <v/>
      </c>
      <c r="AB46">
        <f>HYPERLINK("https://klasma.github.io/Logging_0686/klagomålsmail/A 18327-2024 FSC-klagomål mail.docx", "A 18327-2024")</f>
        <v/>
      </c>
      <c r="AC46">
        <f>HYPERLINK("https://klasma.github.io/Logging_0686/tillsyn/A 18327-2024 tillsynsbegäran.docx", "A 18327-2024")</f>
        <v/>
      </c>
      <c r="AD46">
        <f>HYPERLINK("https://klasma.github.io/Logging_0686/tillsynsmail/A 18327-2024 tillsynsbegäran mail.docx", "A 18327-2024")</f>
        <v/>
      </c>
    </row>
    <row r="47" ht="15" customHeight="1">
      <c r="A47" t="inlineStr">
        <is>
          <t>A 5519-2024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46299</v>
      </c>
      <c r="F47" t="inlineStr">
        <is>
          <t>JÖNKÖPINGS LÄN</t>
        </is>
      </c>
      <c r="G47" t="inlineStr">
        <is>
          <t>EKSJÖ</t>
        </is>
      </c>
      <c r="H47" t="inlineStr">
        <is>
          <t>Kommuner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HYPERLINK("https://klasma.github.io/Logging_0686/artfynd/A 5519-2024 artfynd.xlsx", "A 5519-2024")</f>
        <v/>
      </c>
      <c r="X47">
        <f>HYPERLINK("https://klasma.github.io/Logging_0686/kartor/A 5519-2024 karta.png", "A 5519-2024")</f>
        <v/>
      </c>
      <c r="Y47">
        <f>HYPERLINK("https://klasma.github.io/Logging_0686/kartor_geotiff/A 5519-2024 georefererad karta.tif", "A 5519-2024")</f>
        <v/>
      </c>
      <c r="AA47">
        <f>HYPERLINK("https://klasma.github.io/Logging_0686/klagomål/A 5519-2024 FSC-klagomål.docx", "A 5519-2024")</f>
        <v/>
      </c>
      <c r="AB47">
        <f>HYPERLINK("https://klasma.github.io/Logging_0686/klagomålsmail/A 5519-2024 FSC-klagomål mail.docx", "A 5519-2024")</f>
        <v/>
      </c>
      <c r="AC47">
        <f>HYPERLINK("https://klasma.github.io/Logging_0686/tillsyn/A 5519-2024 tillsynsbegäran.docx", "A 5519-2024")</f>
        <v/>
      </c>
      <c r="AD47">
        <f>HYPERLINK("https://klasma.github.io/Logging_0686/tillsynsmail/A 5519-2024 tillsynsbegäran mail.docx", "A 5519-2024")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46299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Styvnate</t>
        </is>
      </c>
      <c r="W48">
        <f>HYPERLINK("https://klasma.github.io/Logging_0686/artfynd/S 3702-2024 artfynd.xlsx", "S 3702-2024")</f>
        <v/>
      </c>
      <c r="X48">
        <f>HYPERLINK("https://klasma.github.io/Logging_0686/kartor/S 3702-2024 karta.png", "S 3702-2024")</f>
        <v/>
      </c>
      <c r="Y48">
        <f>HYPERLINK("https://klasma.github.io/Logging_0686/kartor_geotiff/S 3702-2024 georefererad karta.tif", "S 3702-2024")</f>
        <v/>
      </c>
      <c r="AA48">
        <f>HYPERLINK("https://klasma.github.io/Logging_0686/klagomål/S 3702-2024 FSC-klagomål.docx", "S 3702-2024")</f>
        <v/>
      </c>
      <c r="AB48">
        <f>HYPERLINK("https://klasma.github.io/Logging_0686/klagomålsmail/S 3702-2024 FSC-klagomål mail.docx", "S 3702-2024")</f>
        <v/>
      </c>
      <c r="AC48">
        <f>HYPERLINK("https://klasma.github.io/Logging_0686/tillsyn/S 3702-2024 tillsynsbegäran.docx", "S 3702-2024")</f>
        <v/>
      </c>
      <c r="AD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46299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Brandticka</t>
        </is>
      </c>
      <c r="W49">
        <f>HYPERLINK("https://klasma.github.io/Logging_0686/artfynd/S 2100-2024 artfynd.xlsx", "S 2100-2024")</f>
        <v/>
      </c>
      <c r="X49">
        <f>HYPERLINK("https://klasma.github.io/Logging_0686/kartor/S 2100-2024 karta.png", "S 2100-2024")</f>
        <v/>
      </c>
      <c r="Y49">
        <f>HYPERLINK("https://klasma.github.io/Logging_0686/kartor_geotiff/S 2100-2024 georefererad karta.tif", "S 2100-2024")</f>
        <v/>
      </c>
      <c r="AA49">
        <f>HYPERLINK("https://klasma.github.io/Logging_0686/klagomål/S 2100-2024 FSC-klagomål.docx", "S 2100-2024")</f>
        <v/>
      </c>
      <c r="AB49">
        <f>HYPERLINK("https://klasma.github.io/Logging_0686/klagomålsmail/S 2100-2024 FSC-klagomål mail.docx", "S 2100-2024")</f>
        <v/>
      </c>
      <c r="AC49">
        <f>HYPERLINK("https://klasma.github.io/Logging_0686/tillsyn/S 2100-2024 tillsynsbegäran.docx", "S 2100-2024")</f>
        <v/>
      </c>
      <c r="AD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46299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3314-2023 artfynd.xlsx", "S 3314-2023")</f>
        <v/>
      </c>
      <c r="X50">
        <f>HYPERLINK("https://klasma.github.io/Logging_0686/kartor/S 3314-2023 karta.png", "S 3314-2023")</f>
        <v/>
      </c>
      <c r="Y50">
        <f>HYPERLINK("https://klasma.github.io/Logging_0686/kartor_geotiff/S 3314-2023 georefererad karta.tif", "S 3314-2023")</f>
        <v/>
      </c>
      <c r="AA50">
        <f>HYPERLINK("https://klasma.github.io/Logging_0686/klagomål/S 3314-2023 FSC-klagomål.docx", "S 3314-2023")</f>
        <v/>
      </c>
      <c r="AB50">
        <f>HYPERLINK("https://klasma.github.io/Logging_0686/klagomålsmail/S 3314-2023 FSC-klagomål mail.docx", "S 3314-2023")</f>
        <v/>
      </c>
      <c r="AC50">
        <f>HYPERLINK("https://klasma.github.io/Logging_0686/tillsyn/S 3314-2023 tillsynsbegäran.docx", "S 3314-2023")</f>
        <v/>
      </c>
      <c r="AD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46299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523-2025 artfynd.xlsx", "S 523-2025")</f>
        <v/>
      </c>
      <c r="X51">
        <f>HYPERLINK("https://klasma.github.io/Logging_0686/kartor/S 523-2025 karta.png", "S 523-2025")</f>
        <v/>
      </c>
      <c r="Y51">
        <f>HYPERLINK("https://klasma.github.io/Logging_0686/kartor_geotiff/S 523-2025 georefererad karta.tif", "S 523-2025")</f>
        <v/>
      </c>
      <c r="AA51">
        <f>HYPERLINK("https://klasma.github.io/Logging_0686/klagomål/S 523-2025 FSC-klagomål.docx", "S 523-2025")</f>
        <v/>
      </c>
      <c r="AB51">
        <f>HYPERLINK("https://klasma.github.io/Logging_0686/klagomålsmail/S 523-2025 FSC-klagomål mail.docx", "S 523-2025")</f>
        <v/>
      </c>
      <c r="AC51">
        <f>HYPERLINK("https://klasma.github.io/Logging_0686/tillsyn/S 523-2025 tillsynsbegäran.docx", "S 523-2025")</f>
        <v/>
      </c>
      <c r="AD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46299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t="n">
        <v>0</v>
      </c>
      <c r="V52" s="2" t="inlineStr">
        <is>
          <t>Ask</t>
        </is>
      </c>
      <c r="W52">
        <f>HYPERLINK("https://klasma.github.io/Logging_0686/artfynd/S 2968-2025 artfynd.xlsx", "S 2968-2025")</f>
        <v/>
      </c>
      <c r="X52">
        <f>HYPERLINK("https://klasma.github.io/Logging_0686/kartor/S 2968-2025 karta.png", "S 2968-2025")</f>
        <v/>
      </c>
      <c r="Y52">
        <f>HYPERLINK("https://klasma.github.io/Logging_0686/kartor_geotiff/S 2968-2025 georefererad karta.tif", "S 2968-2025")</f>
        <v/>
      </c>
      <c r="AA52">
        <f>HYPERLINK("https://klasma.github.io/Logging_0686/klagomål/S 2968-2025 FSC-klagomål.docx", "S 2968-2025")</f>
        <v/>
      </c>
      <c r="AB52">
        <f>HYPERLINK("https://klasma.github.io/Logging_0686/klagomålsmail/S 2968-2025 FSC-klagomål mail.docx", "S 2968-2025")</f>
        <v/>
      </c>
      <c r="AC52">
        <f>HYPERLINK("https://klasma.github.io/Logging_0686/tillsyn/S 2968-2025 tillsynsbegäran.docx", "S 2968-2025")</f>
        <v/>
      </c>
      <c r="AD52">
        <f>HYPERLINK("https://klasma.github.io/Logging_0686/tillsynsmail/S 2968-2025 tillsynsbegäran mail.docx", "S 2968-2025")</f>
        <v/>
      </c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46299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46299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46299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46299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46299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46299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46299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46299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46299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46299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46299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46299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46299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46299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46299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46299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46299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46299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46299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46299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46299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46299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46299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46299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46299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46299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46299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46299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46299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46299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46299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46299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46299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46299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46299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46299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46299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46299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46299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46299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46299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46299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46299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46299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46299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46299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46299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46299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46299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46299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46299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46299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46299</v>
      </c>
      <c r="F106" t="inlineStr">
        <is>
          <t>JÖNKÖPINGS LÄN</t>
        </is>
      </c>
      <c r="G106" t="inlineStr">
        <is>
          <t>EKSJÖ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46299</v>
      </c>
      <c r="F107" t="inlineStr">
        <is>
          <t>JÖNKÖPINGS LÄN</t>
        </is>
      </c>
      <c r="G107" t="inlineStr">
        <is>
          <t>EKSJÖ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46299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46299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46299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46299</v>
      </c>
      <c r="F111" t="inlineStr">
        <is>
          <t>JÖNKÖPINGS LÄN</t>
        </is>
      </c>
      <c r="G111" t="inlineStr">
        <is>
          <t>EKSJÖ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46299</v>
      </c>
      <c r="F112" t="inlineStr">
        <is>
          <t>JÖNKÖPINGS LÄN</t>
        </is>
      </c>
      <c r="G112" t="inlineStr">
        <is>
          <t>EKSJÖ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45152</v>
      </c>
      <c r="E113" s="1" t="n">
        <v>46299</v>
      </c>
      <c r="F113" t="inlineStr">
        <is>
          <t>JÖNKÖPINGS LÄN</t>
        </is>
      </c>
      <c r="G113" t="inlineStr">
        <is>
          <t>EKSJÖ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46299</v>
      </c>
      <c r="F114" t="inlineStr">
        <is>
          <t>JÖNKÖPINGS LÄN</t>
        </is>
      </c>
      <c r="G114" t="inlineStr">
        <is>
          <t>EKSJÖ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46299</v>
      </c>
      <c r="F115" t="inlineStr">
        <is>
          <t>JÖNKÖPINGS LÄN</t>
        </is>
      </c>
      <c r="G115" t="inlineStr">
        <is>
          <t>EKSJÖ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46299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46299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44940</v>
      </c>
      <c r="E118" s="1" t="n">
        <v>46299</v>
      </c>
      <c r="F118" t="inlineStr">
        <is>
          <t>JÖNKÖPINGS LÄN</t>
        </is>
      </c>
      <c r="G118" t="inlineStr">
        <is>
          <t>EKSJÖ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46299</v>
      </c>
      <c r="F119" t="inlineStr">
        <is>
          <t>JÖNKÖPINGS LÄN</t>
        </is>
      </c>
      <c r="G119" t="inlineStr">
        <is>
          <t>EKSJÖ</t>
        </is>
      </c>
      <c r="H119" t="inlineStr">
        <is>
          <t>Övriga Aktiebolag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46299</v>
      </c>
      <c r="F120" t="inlineStr">
        <is>
          <t>JÖNKÖPINGS LÄN</t>
        </is>
      </c>
      <c r="G120" t="inlineStr">
        <is>
          <t>EKSJÖ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46299</v>
      </c>
      <c r="F121" t="inlineStr">
        <is>
          <t>JÖNKÖPINGS LÄN</t>
        </is>
      </c>
      <c r="G121" t="inlineStr">
        <is>
          <t>EKSJÖ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46299</v>
      </c>
      <c r="F122" t="inlineStr">
        <is>
          <t>JÖNKÖPINGS LÄN</t>
        </is>
      </c>
      <c r="G122" t="inlineStr">
        <is>
          <t>EKSJÖ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46299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46299</v>
      </c>
      <c r="F124" t="inlineStr">
        <is>
          <t>JÖNKÖPINGS LÄN</t>
        </is>
      </c>
      <c r="G124" t="inlineStr">
        <is>
          <t>EKSJÖ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46299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46299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46299</v>
      </c>
      <c r="F127" t="inlineStr">
        <is>
          <t>JÖNKÖPINGS LÄN</t>
        </is>
      </c>
      <c r="G127" t="inlineStr">
        <is>
          <t>EKSJÖ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45345</v>
      </c>
      <c r="E128" s="1" t="n">
        <v>46299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46299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46299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45705</v>
      </c>
      <c r="E131" s="1" t="n">
        <v>46299</v>
      </c>
      <c r="F131" t="inlineStr">
        <is>
          <t>JÖNKÖPINGS LÄN</t>
        </is>
      </c>
      <c r="G131" t="inlineStr">
        <is>
          <t>EKSJÖ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46299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46299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46299</v>
      </c>
      <c r="F134" t="inlineStr">
        <is>
          <t>JÖNKÖPINGS LÄN</t>
        </is>
      </c>
      <c r="G134" t="inlineStr">
        <is>
          <t>EKSJÖ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46299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46299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46299</v>
      </c>
      <c r="F137" t="inlineStr">
        <is>
          <t>JÖNKÖPINGS LÄN</t>
        </is>
      </c>
      <c r="G137" t="inlineStr">
        <is>
          <t>EKSJÖ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46299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46299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45790</v>
      </c>
      <c r="E140" s="1" t="n">
        <v>46299</v>
      </c>
      <c r="F140" t="inlineStr">
        <is>
          <t>JÖNKÖPINGS LÄN</t>
        </is>
      </c>
      <c r="G140" t="inlineStr">
        <is>
          <t>EKSJÖ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46299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46299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46299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46299</v>
      </c>
      <c r="F144" t="inlineStr">
        <is>
          <t>JÖNKÖPINGS LÄN</t>
        </is>
      </c>
      <c r="G144" t="inlineStr">
        <is>
          <t>EKSJÖ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46299</v>
      </c>
      <c r="F145" t="inlineStr">
        <is>
          <t>JÖNKÖPINGS LÄN</t>
        </is>
      </c>
      <c r="G145" t="inlineStr">
        <is>
          <t>EKSJÖ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46299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46299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46014</v>
      </c>
      <c r="E148" s="1" t="n">
        <v>46299</v>
      </c>
      <c r="F148" t="inlineStr">
        <is>
          <t>JÖNKÖPINGS LÄN</t>
        </is>
      </c>
      <c r="G148" t="inlineStr">
        <is>
          <t>EKSJÖ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46299</v>
      </c>
      <c r="F149" t="inlineStr">
        <is>
          <t>JÖNKÖPINGS LÄN</t>
        </is>
      </c>
      <c r="G149" t="inlineStr">
        <is>
          <t>EKSJÖ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46299</v>
      </c>
      <c r="F150" t="inlineStr">
        <is>
          <t>JÖNKÖPINGS LÄN</t>
        </is>
      </c>
      <c r="G150" t="inlineStr">
        <is>
          <t>EKSJÖ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46299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46299</v>
      </c>
      <c r="F152" t="inlineStr">
        <is>
          <t>JÖNKÖPINGS LÄN</t>
        </is>
      </c>
      <c r="G152" t="inlineStr">
        <is>
          <t>EKSJÖ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46299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46299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46299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46299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46299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46299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46299</v>
      </c>
      <c r="F159" t="inlineStr">
        <is>
          <t>JÖNKÖPINGS LÄN</t>
        </is>
      </c>
      <c r="G159" t="inlineStr">
        <is>
          <t>EKSJÖ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46299</v>
      </c>
      <c r="F160" t="inlineStr">
        <is>
          <t>JÖNKÖPINGS LÄN</t>
        </is>
      </c>
      <c r="G160" t="inlineStr">
        <is>
          <t>EKSJÖ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46299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46299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46299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46299</v>
      </c>
      <c r="F164" t="inlineStr">
        <is>
          <t>JÖNKÖPINGS LÄN</t>
        </is>
      </c>
      <c r="G164" t="inlineStr">
        <is>
          <t>EKSJÖ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46299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46299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46299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46299</v>
      </c>
      <c r="F168" t="inlineStr">
        <is>
          <t>JÖNKÖPINGS LÄN</t>
        </is>
      </c>
      <c r="G168" t="inlineStr">
        <is>
          <t>EKSJÖ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46299</v>
      </c>
      <c r="F169" t="inlineStr">
        <is>
          <t>JÖNKÖPINGS LÄN</t>
        </is>
      </c>
      <c r="G169" t="inlineStr">
        <is>
          <t>EKSJÖ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46299</v>
      </c>
      <c r="F170" t="inlineStr">
        <is>
          <t>JÖNKÖPINGS LÄN</t>
        </is>
      </c>
      <c r="G170" t="inlineStr">
        <is>
          <t>EKSJÖ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46299</v>
      </c>
      <c r="F171" t="inlineStr">
        <is>
          <t>JÖNKÖPINGS LÄN</t>
        </is>
      </c>
      <c r="G171" t="inlineStr">
        <is>
          <t>EKSJÖ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46299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46299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46299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46299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46299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46299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46299</v>
      </c>
      <c r="F178" t="inlineStr">
        <is>
          <t>JÖNKÖPINGS LÄN</t>
        </is>
      </c>
      <c r="G178" t="inlineStr">
        <is>
          <t>EKSJÖ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46299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45908</v>
      </c>
      <c r="E180" s="1" t="n">
        <v>46299</v>
      </c>
      <c r="F180" t="inlineStr">
        <is>
          <t>JÖNKÖPINGS LÄN</t>
        </is>
      </c>
      <c r="G180" t="inlineStr">
        <is>
          <t>EKSJÖ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46299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46299</v>
      </c>
      <c r="F182" t="inlineStr">
        <is>
          <t>JÖNKÖPINGS LÄN</t>
        </is>
      </c>
      <c r="G182" t="inlineStr">
        <is>
          <t>EKSJÖ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46299</v>
      </c>
      <c r="F183" t="inlineStr">
        <is>
          <t>JÖNKÖPINGS LÄN</t>
        </is>
      </c>
      <c r="G183" t="inlineStr">
        <is>
          <t>EKSJÖ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46299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46299</v>
      </c>
      <c r="F185" t="inlineStr">
        <is>
          <t>JÖNKÖPINGS LÄN</t>
        </is>
      </c>
      <c r="G185" t="inlineStr">
        <is>
          <t>EKSJÖ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46299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46299</v>
      </c>
      <c r="F187" t="inlineStr">
        <is>
          <t>JÖNKÖPINGS LÄN</t>
        </is>
      </c>
      <c r="G187" t="inlineStr">
        <is>
          <t>EKSJÖ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46299</v>
      </c>
      <c r="F188" t="inlineStr">
        <is>
          <t>JÖNKÖPINGS LÄN</t>
        </is>
      </c>
      <c r="G188" t="inlineStr">
        <is>
          <t>EKSJÖ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46299</v>
      </c>
      <c r="F189" t="inlineStr">
        <is>
          <t>JÖNKÖPINGS LÄN</t>
        </is>
      </c>
      <c r="G189" t="inlineStr">
        <is>
          <t>EKSJÖ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46299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46299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46299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46299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45916</v>
      </c>
      <c r="E194" s="1" t="n">
        <v>46299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45743</v>
      </c>
      <c r="E195" s="1" t="n">
        <v>46299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14382-2025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45741</v>
      </c>
      <c r="E196" s="1" t="n">
        <v>46299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46299</v>
      </c>
      <c r="F197" t="inlineStr">
        <is>
          <t>JÖNKÖPINGS LÄN</t>
        </is>
      </c>
      <c r="G197" t="inlineStr">
        <is>
          <t>EKSJÖ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46299</v>
      </c>
      <c r="F198" t="inlineStr">
        <is>
          <t>JÖNKÖPINGS LÄN</t>
        </is>
      </c>
      <c r="G198" t="inlineStr">
        <is>
          <t>EKSJÖ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46299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46299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46299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46299</v>
      </c>
      <c r="F202" t="inlineStr">
        <is>
          <t>JÖNKÖPINGS LÄN</t>
        </is>
      </c>
      <c r="G202" t="inlineStr">
        <is>
          <t>EKSJÖ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46299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46299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46299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46299</v>
      </c>
      <c r="F206" t="inlineStr">
        <is>
          <t>JÖNKÖPINGS LÄN</t>
        </is>
      </c>
      <c r="G206" t="inlineStr">
        <is>
          <t>EKSJÖ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46299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46299</v>
      </c>
      <c r="F208" t="inlineStr">
        <is>
          <t>JÖNKÖPINGS LÄN</t>
        </is>
      </c>
      <c r="G208" t="inlineStr">
        <is>
          <t>EKSJÖ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46299</v>
      </c>
      <c r="F209" t="inlineStr">
        <is>
          <t>JÖNKÖPINGS LÄN</t>
        </is>
      </c>
      <c r="G209" t="inlineStr">
        <is>
          <t>EKSJÖ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46299</v>
      </c>
      <c r="F210" t="inlineStr">
        <is>
          <t>JÖNKÖPINGS LÄN</t>
        </is>
      </c>
      <c r="G210" t="inlineStr">
        <is>
          <t>EKSJÖ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46299</v>
      </c>
      <c r="F211" t="inlineStr">
        <is>
          <t>JÖNKÖPINGS LÄN</t>
        </is>
      </c>
      <c r="G211" t="inlineStr">
        <is>
          <t>EKSJÖ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46299</v>
      </c>
      <c r="F212" t="inlineStr">
        <is>
          <t>JÖNKÖPINGS LÄN</t>
        </is>
      </c>
      <c r="G212" t="inlineStr">
        <is>
          <t>EKSJÖ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46299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46299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46299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46299</v>
      </c>
      <c r="F216" t="inlineStr">
        <is>
          <t>JÖNKÖPINGS LÄN</t>
        </is>
      </c>
      <c r="G216" t="inlineStr">
        <is>
          <t>EKSJÖ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46299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45686</v>
      </c>
      <c r="E218" s="1" t="n">
        <v>46299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46299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46299</v>
      </c>
      <c r="F220" t="inlineStr">
        <is>
          <t>JÖNKÖPINGS LÄN</t>
        </is>
      </c>
      <c r="G220" t="inlineStr">
        <is>
          <t>EKSJÖ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46299</v>
      </c>
      <c r="F221" t="inlineStr">
        <is>
          <t>JÖNKÖPINGS LÄN</t>
        </is>
      </c>
      <c r="G221" t="inlineStr">
        <is>
          <t>EKSJÖ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46299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46299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43411-2022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44834</v>
      </c>
      <c r="E224" s="1" t="n">
        <v>46299</v>
      </c>
      <c r="F224" t="inlineStr">
        <is>
          <t>JÖNKÖPINGS LÄN</t>
        </is>
      </c>
      <c r="G224" t="inlineStr">
        <is>
          <t>EKSJÖ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45664</v>
      </c>
      <c r="E225" s="1" t="n">
        <v>46299</v>
      </c>
      <c r="F225" t="inlineStr">
        <is>
          <t>JÖNKÖPINGS LÄN</t>
        </is>
      </c>
      <c r="G225" t="inlineStr">
        <is>
          <t>EKSJÖ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46299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46299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46299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45418</v>
      </c>
      <c r="E229" s="1" t="n">
        <v>46299</v>
      </c>
      <c r="F229" t="inlineStr">
        <is>
          <t>JÖNKÖPINGS LÄN</t>
        </is>
      </c>
      <c r="G229" t="inlineStr">
        <is>
          <t>EKSJÖ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46299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46299</v>
      </c>
      <c r="F231" t="inlineStr">
        <is>
          <t>JÖNKÖPINGS LÄN</t>
        </is>
      </c>
      <c r="G231" t="inlineStr">
        <is>
          <t>EKSJÖ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46299</v>
      </c>
      <c r="F232" t="inlineStr">
        <is>
          <t>JÖNKÖPINGS LÄN</t>
        </is>
      </c>
      <c r="G232" t="inlineStr">
        <is>
          <t>EKSJÖ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46299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46299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46299</v>
      </c>
      <c r="F235" t="inlineStr">
        <is>
          <t>JÖNKÖPINGS LÄN</t>
        </is>
      </c>
      <c r="G235" t="inlineStr">
        <is>
          <t>EKSJÖ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46299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45078</v>
      </c>
      <c r="E237" s="1" t="n">
        <v>46299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46299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46299</v>
      </c>
      <c r="F239" t="inlineStr">
        <is>
          <t>JÖNKÖPINGS LÄN</t>
        </is>
      </c>
      <c r="G239" t="inlineStr">
        <is>
          <t>EKSJÖ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46299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46299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46299</v>
      </c>
      <c r="F242" t="inlineStr">
        <is>
          <t>JÖNKÖPINGS LÄN</t>
        </is>
      </c>
      <c r="G242" t="inlineStr">
        <is>
          <t>EKSJÖ</t>
        </is>
      </c>
      <c r="H242" t="inlineStr">
        <is>
          <t>Kyrkan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46299</v>
      </c>
      <c r="F243" t="inlineStr">
        <is>
          <t>JÖNKÖPINGS LÄN</t>
        </is>
      </c>
      <c r="G243" t="inlineStr">
        <is>
          <t>EKSJÖ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46299</v>
      </c>
      <c r="F244" t="inlineStr">
        <is>
          <t>JÖNKÖPINGS LÄN</t>
        </is>
      </c>
      <c r="G244" t="inlineStr">
        <is>
          <t>EKSJÖ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46299</v>
      </c>
      <c r="F245" t="inlineStr">
        <is>
          <t>JÖNKÖPINGS LÄN</t>
        </is>
      </c>
      <c r="G245" t="inlineStr">
        <is>
          <t>EKSJÖ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46299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45176</v>
      </c>
      <c r="E247" s="1" t="n">
        <v>46299</v>
      </c>
      <c r="F247" t="inlineStr">
        <is>
          <t>JÖNKÖPINGS LÄN</t>
        </is>
      </c>
      <c r="G247" t="inlineStr">
        <is>
          <t>EKSJÖ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46299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46299</v>
      </c>
      <c r="F249" t="inlineStr">
        <is>
          <t>JÖNKÖPINGS LÄN</t>
        </is>
      </c>
      <c r="G249" t="inlineStr">
        <is>
          <t>EKSJÖ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46299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46299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46299</v>
      </c>
      <c r="F252" t="inlineStr">
        <is>
          <t>JÖNKÖPINGS LÄN</t>
        </is>
      </c>
      <c r="G252" t="inlineStr">
        <is>
          <t>EKSJÖ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46299</v>
      </c>
      <c r="F253" t="inlineStr">
        <is>
          <t>JÖNKÖPINGS LÄN</t>
        </is>
      </c>
      <c r="G253" t="inlineStr">
        <is>
          <t>EKSJÖ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46299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46100</v>
      </c>
      <c r="E255" s="1" t="n">
        <v>46299</v>
      </c>
      <c r="F255" t="inlineStr">
        <is>
          <t>JÖNKÖPINGS LÄN</t>
        </is>
      </c>
      <c r="G255" t="inlineStr">
        <is>
          <t>EKSJÖ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46299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46299</v>
      </c>
      <c r="F257" t="inlineStr">
        <is>
          <t>JÖNKÖPINGS LÄN</t>
        </is>
      </c>
      <c r="G257" t="inlineStr">
        <is>
          <t>EKSJÖ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46299</v>
      </c>
      <c r="F258" t="inlineStr">
        <is>
          <t>JÖNKÖPINGS LÄN</t>
        </is>
      </c>
      <c r="G258" t="inlineStr">
        <is>
          <t>EKSJÖ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46299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46299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46299</v>
      </c>
      <c r="F261" t="inlineStr">
        <is>
          <t>JÖNKÖPINGS LÄN</t>
        </is>
      </c>
      <c r="G261" t="inlineStr">
        <is>
          <t>EKSJÖ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46299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46299</v>
      </c>
      <c r="F263" t="inlineStr">
        <is>
          <t>JÖNKÖPINGS LÄN</t>
        </is>
      </c>
      <c r="G263" t="inlineStr">
        <is>
          <t>EKSJÖ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46299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46299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46299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46299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46299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46299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46299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46299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46299</v>
      </c>
      <c r="F272" t="inlineStr">
        <is>
          <t>JÖNKÖPINGS LÄN</t>
        </is>
      </c>
      <c r="G272" t="inlineStr">
        <is>
          <t>EKSJÖ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46299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46299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46299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46299</v>
      </c>
      <c r="F276" t="inlineStr">
        <is>
          <t>JÖNKÖPINGS LÄN</t>
        </is>
      </c>
      <c r="G276" t="inlineStr">
        <is>
          <t>EKSJÖ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46299</v>
      </c>
      <c r="F277" t="inlineStr">
        <is>
          <t>JÖNKÖPINGS LÄN</t>
        </is>
      </c>
      <c r="G277" t="inlineStr">
        <is>
          <t>EKSJÖ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46299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46299</v>
      </c>
      <c r="F279" t="inlineStr">
        <is>
          <t>JÖNKÖPINGS LÄN</t>
        </is>
      </c>
      <c r="G279" t="inlineStr">
        <is>
          <t>EKSJÖ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46299</v>
      </c>
      <c r="F280" t="inlineStr">
        <is>
          <t>JÖNKÖPINGS LÄN</t>
        </is>
      </c>
      <c r="G280" t="inlineStr">
        <is>
          <t>EKSJÖ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46299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46299</v>
      </c>
      <c r="F282" t="inlineStr">
        <is>
          <t>JÖNKÖPINGS LÄN</t>
        </is>
      </c>
      <c r="G282" t="inlineStr">
        <is>
          <t>EKSJÖ</t>
        </is>
      </c>
      <c r="H282" t="inlineStr">
        <is>
          <t>Övriga Aktiebolag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46299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64419-2021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44511</v>
      </c>
      <c r="E284" s="1" t="n">
        <v>46299</v>
      </c>
      <c r="F284" t="inlineStr">
        <is>
          <t>JÖNKÖPINGS LÄN</t>
        </is>
      </c>
      <c r="G284" t="inlineStr">
        <is>
          <t>EKSJÖ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46299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46299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46299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45991</v>
      </c>
      <c r="E288" s="1" t="n">
        <v>46299</v>
      </c>
      <c r="F288" t="inlineStr">
        <is>
          <t>JÖNKÖPINGS LÄN</t>
        </is>
      </c>
      <c r="G288" t="inlineStr">
        <is>
          <t>EKSJÖ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46299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44781</v>
      </c>
      <c r="E290" s="1" t="n">
        <v>46299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44781</v>
      </c>
      <c r="E291" s="1" t="n">
        <v>46299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46299</v>
      </c>
      <c r="F292" t="inlineStr">
        <is>
          <t>JÖNKÖPINGS LÄN</t>
        </is>
      </c>
      <c r="G292" t="inlineStr">
        <is>
          <t>EKSJÖ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46299</v>
      </c>
      <c r="F293" t="inlineStr">
        <is>
          <t>JÖNKÖPINGS LÄN</t>
        </is>
      </c>
      <c r="G293" t="inlineStr">
        <is>
          <t>EKSJÖ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19469-2025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45770</v>
      </c>
      <c r="E294" s="1" t="n">
        <v>46299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46299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54292-2023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45232</v>
      </c>
      <c r="E296" s="1" t="n">
        <v>46299</v>
      </c>
      <c r="F296" t="inlineStr">
        <is>
          <t>JÖNKÖPINGS LÄN</t>
        </is>
      </c>
      <c r="G296" t="inlineStr">
        <is>
          <t>EKSJÖ</t>
        </is>
      </c>
      <c r="I296" t="n">
        <v>18.3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46299</v>
      </c>
      <c r="F297" t="inlineStr">
        <is>
          <t>JÖNKÖPINGS LÄN</t>
        </is>
      </c>
      <c r="G297" t="inlineStr">
        <is>
          <t>EKSJÖ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46299</v>
      </c>
      <c r="F298" t="inlineStr">
        <is>
          <t>JÖNKÖPINGS LÄN</t>
        </is>
      </c>
      <c r="G298" t="inlineStr">
        <is>
          <t>EKSJÖ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46299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45560</v>
      </c>
      <c r="E300" s="1" t="n">
        <v>46299</v>
      </c>
      <c r="F300" t="inlineStr">
        <is>
          <t>JÖNKÖPINGS LÄN</t>
        </is>
      </c>
      <c r="G300" t="inlineStr">
        <is>
          <t>EKSJÖ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46299</v>
      </c>
      <c r="F301" t="inlineStr">
        <is>
          <t>JÖNKÖPINGS LÄN</t>
        </is>
      </c>
      <c r="G301" t="inlineStr">
        <is>
          <t>EKSJÖ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45334</v>
      </c>
      <c r="E302" s="1" t="n">
        <v>46299</v>
      </c>
      <c r="F302" t="inlineStr">
        <is>
          <t>JÖNKÖPINGS LÄN</t>
        </is>
      </c>
      <c r="G302" t="inlineStr">
        <is>
          <t>EKSJÖ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44991</v>
      </c>
      <c r="E303" s="1" t="n">
        <v>46299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10153-2024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46299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46299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46299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46299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46299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46299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46299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46299</v>
      </c>
      <c r="F311" t="inlineStr">
        <is>
          <t>JÖNKÖPINGS LÄN</t>
        </is>
      </c>
      <c r="G311" t="inlineStr">
        <is>
          <t>EKSJÖ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46299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46299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45391</v>
      </c>
      <c r="E314" s="1" t="n">
        <v>46299</v>
      </c>
      <c r="F314" t="inlineStr">
        <is>
          <t>JÖNKÖPINGS LÄN</t>
        </is>
      </c>
      <c r="G314" t="inlineStr">
        <is>
          <t>EKSJÖ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46299</v>
      </c>
      <c r="F315" t="inlineStr">
        <is>
          <t>JÖNKÖPINGS LÄN</t>
        </is>
      </c>
      <c r="G315" t="inlineStr">
        <is>
          <t>EKSJÖ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46299</v>
      </c>
      <c r="F316" t="inlineStr">
        <is>
          <t>JÖNKÖPINGS LÄN</t>
        </is>
      </c>
      <c r="G316" t="inlineStr">
        <is>
          <t>EKSJÖ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46299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46299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46299</v>
      </c>
      <c r="F319" t="inlineStr">
        <is>
          <t>JÖNKÖPINGS LÄN</t>
        </is>
      </c>
      <c r="G319" t="inlineStr">
        <is>
          <t>EKSJÖ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46299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46299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46299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44746</v>
      </c>
      <c r="E323" s="1" t="n">
        <v>46299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45195</v>
      </c>
      <c r="E324" s="1" t="n">
        <v>46299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46299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46299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46299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46299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46299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46299</v>
      </c>
      <c r="F330" t="inlineStr">
        <is>
          <t>JÖNKÖPINGS LÄN</t>
        </is>
      </c>
      <c r="G330" t="inlineStr">
        <is>
          <t>EKSJÖ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45461</v>
      </c>
      <c r="E331" s="1" t="n">
        <v>46299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46299</v>
      </c>
      <c r="F332" t="inlineStr">
        <is>
          <t>JÖNKÖPINGS LÄN</t>
        </is>
      </c>
      <c r="G332" t="inlineStr">
        <is>
          <t>EKSJÖ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46299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46299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46299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46299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46299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46299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45463</v>
      </c>
      <c r="E339" s="1" t="n">
        <v>46299</v>
      </c>
      <c r="F339" t="inlineStr">
        <is>
          <t>JÖNKÖPINGS LÄN</t>
        </is>
      </c>
      <c r="G339" t="inlineStr">
        <is>
          <t>EKSJÖ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46299</v>
      </c>
      <c r="F340" t="inlineStr">
        <is>
          <t>JÖNKÖPINGS LÄN</t>
        </is>
      </c>
      <c r="G340" t="inlineStr">
        <is>
          <t>EKSJÖ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45860</v>
      </c>
      <c r="E341" s="1" t="n">
        <v>46299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46299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45860</v>
      </c>
      <c r="E343" s="1" t="n">
        <v>46299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46299</v>
      </c>
      <c r="F344" t="inlineStr">
        <is>
          <t>JÖNKÖPINGS LÄN</t>
        </is>
      </c>
      <c r="G344" t="inlineStr">
        <is>
          <t>EKSJÖ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56469-2021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46299</v>
      </c>
      <c r="F345" t="inlineStr">
        <is>
          <t>JÖNKÖPINGS LÄN</t>
        </is>
      </c>
      <c r="G345" t="inlineStr">
        <is>
          <t>EKSJÖ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46299</v>
      </c>
      <c r="F346" t="inlineStr">
        <is>
          <t>JÖNKÖPINGS LÄN</t>
        </is>
      </c>
      <c r="G346" t="inlineStr">
        <is>
          <t>EKSJÖ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46299</v>
      </c>
      <c r="F347" t="inlineStr">
        <is>
          <t>JÖNKÖPINGS LÄN</t>
        </is>
      </c>
      <c r="G347" t="inlineStr">
        <is>
          <t>EKSJÖ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45680</v>
      </c>
      <c r="E348" s="1" t="n">
        <v>46299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46299</v>
      </c>
      <c r="F349" t="inlineStr">
        <is>
          <t>JÖNKÖPINGS LÄN</t>
        </is>
      </c>
      <c r="G349" t="inlineStr">
        <is>
          <t>EKSJÖ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45866</v>
      </c>
      <c r="E350" s="1" t="n">
        <v>46299</v>
      </c>
      <c r="F350" t="inlineStr">
        <is>
          <t>JÖNKÖPINGS LÄN</t>
        </is>
      </c>
      <c r="G350" t="inlineStr">
        <is>
          <t>EKSJÖ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46299</v>
      </c>
      <c r="F351" t="inlineStr">
        <is>
          <t>JÖNKÖPINGS LÄN</t>
        </is>
      </c>
      <c r="G351" t="inlineStr">
        <is>
          <t>EKSJÖ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44630</v>
      </c>
      <c r="E352" s="1" t="n">
        <v>46299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45286</v>
      </c>
      <c r="E353" s="1" t="n">
        <v>46299</v>
      </c>
      <c r="F353" t="inlineStr">
        <is>
          <t>JÖNKÖPINGS LÄN</t>
        </is>
      </c>
      <c r="G353" t="inlineStr">
        <is>
          <t>EKSJÖ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46299</v>
      </c>
      <c r="F354" t="inlineStr">
        <is>
          <t>JÖNKÖPINGS LÄN</t>
        </is>
      </c>
      <c r="G354" t="inlineStr">
        <is>
          <t>EKSJÖ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46299</v>
      </c>
      <c r="F355" t="inlineStr">
        <is>
          <t>JÖNKÖPINGS LÄN</t>
        </is>
      </c>
      <c r="G355" t="inlineStr">
        <is>
          <t>EKSJÖ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46299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12821-2024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45384</v>
      </c>
      <c r="E357" s="1" t="n">
        <v>46299</v>
      </c>
      <c r="F357" t="inlineStr">
        <is>
          <t>JÖNKÖPINGS LÄN</t>
        </is>
      </c>
      <c r="G357" t="inlineStr">
        <is>
          <t>EKSJÖ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46299</v>
      </c>
      <c r="F358" t="inlineStr">
        <is>
          <t>JÖNKÖPINGS LÄN</t>
        </is>
      </c>
      <c r="G358" t="inlineStr">
        <is>
          <t>EKSJÖ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46299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46299</v>
      </c>
      <c r="F360" t="inlineStr">
        <is>
          <t>JÖNKÖPINGS LÄN</t>
        </is>
      </c>
      <c r="G360" t="inlineStr">
        <is>
          <t>EKSJÖ</t>
        </is>
      </c>
      <c r="H360" t="inlineStr">
        <is>
          <t>Kyrkan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46299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46299</v>
      </c>
      <c r="F362" t="inlineStr">
        <is>
          <t>JÖNKÖPINGS LÄN</t>
        </is>
      </c>
      <c r="G362" t="inlineStr">
        <is>
          <t>EKSJÖ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46299</v>
      </c>
      <c r="F363" t="inlineStr">
        <is>
          <t>JÖNKÖPINGS LÄN</t>
        </is>
      </c>
      <c r="G363" t="inlineStr">
        <is>
          <t>EKSJÖ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65554-2021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44516</v>
      </c>
      <c r="E364" s="1" t="n">
        <v>46299</v>
      </c>
      <c r="F364" t="inlineStr">
        <is>
          <t>JÖNKÖPINGS LÄN</t>
        </is>
      </c>
      <c r="G364" t="inlineStr">
        <is>
          <t>EKSJÖ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46299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46299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46299</v>
      </c>
      <c r="F367" t="inlineStr">
        <is>
          <t>JÖNKÖPINGS LÄN</t>
        </is>
      </c>
      <c r="G367" t="inlineStr">
        <is>
          <t>EKSJÖ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46299</v>
      </c>
      <c r="F368" t="inlineStr">
        <is>
          <t>JÖNKÖPINGS LÄN</t>
        </is>
      </c>
      <c r="G368" t="inlineStr">
        <is>
          <t>EKSJÖ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44846</v>
      </c>
      <c r="E369" s="1" t="n">
        <v>46299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44846</v>
      </c>
      <c r="E370" s="1" t="n">
        <v>46299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45365</v>
      </c>
      <c r="E371" s="1" t="n">
        <v>46299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44925</v>
      </c>
      <c r="E372" s="1" t="n">
        <v>46299</v>
      </c>
      <c r="F372" t="inlineStr">
        <is>
          <t>JÖNKÖPINGS LÄN</t>
        </is>
      </c>
      <c r="G372" t="inlineStr">
        <is>
          <t>EKSJÖ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46299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46299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45402</v>
      </c>
      <c r="E375" s="1" t="n">
        <v>46299</v>
      </c>
      <c r="F375" t="inlineStr">
        <is>
          <t>JÖNKÖPINGS LÄN</t>
        </is>
      </c>
      <c r="G375" t="inlineStr">
        <is>
          <t>EKSJÖ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46299</v>
      </c>
      <c r="F376" t="inlineStr">
        <is>
          <t>JÖNKÖPINGS LÄN</t>
        </is>
      </c>
      <c r="G376" t="inlineStr">
        <is>
          <t>EKSJÖ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46299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46299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46299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46299</v>
      </c>
      <c r="F380" t="inlineStr">
        <is>
          <t>JÖNKÖPINGS LÄN</t>
        </is>
      </c>
      <c r="G380" t="inlineStr">
        <is>
          <t>EKSJÖ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60920-2025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45996</v>
      </c>
      <c r="E381" s="1" t="n">
        <v>46299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45875</v>
      </c>
      <c r="E382" s="1" t="n">
        <v>46299</v>
      </c>
      <c r="F382" t="inlineStr">
        <is>
          <t>JÖNKÖPINGS LÄN</t>
        </is>
      </c>
      <c r="G382" t="inlineStr">
        <is>
          <t>EKSJÖ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46299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46299</v>
      </c>
      <c r="F384" t="inlineStr">
        <is>
          <t>JÖNKÖPINGS LÄN</t>
        </is>
      </c>
      <c r="G384" t="inlineStr">
        <is>
          <t>EKSJÖ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46299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46299</v>
      </c>
      <c r="F386" t="inlineStr">
        <is>
          <t>JÖNKÖPINGS LÄN</t>
        </is>
      </c>
      <c r="G386" t="inlineStr">
        <is>
          <t>EKSJÖ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46299</v>
      </c>
      <c r="F387" t="inlineStr">
        <is>
          <t>JÖNKÖPINGS LÄN</t>
        </is>
      </c>
      <c r="G387" t="inlineStr">
        <is>
          <t>EKSJÖ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46299</v>
      </c>
      <c r="F388" t="inlineStr">
        <is>
          <t>JÖNKÖPINGS LÄN</t>
        </is>
      </c>
      <c r="G388" t="inlineStr">
        <is>
          <t>EKSJÖ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45819</v>
      </c>
      <c r="E389" s="1" t="n">
        <v>46299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46299</v>
      </c>
      <c r="F390" t="inlineStr">
        <is>
          <t>JÖNKÖPINGS LÄN</t>
        </is>
      </c>
      <c r="G390" t="inlineStr">
        <is>
          <t>EKSJÖ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46299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46299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46299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46299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46299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45659</v>
      </c>
      <c r="E396" s="1" t="n">
        <v>46299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34772-2023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45141</v>
      </c>
      <c r="E397" s="1" t="n">
        <v>46299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33971-2025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46299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46299</v>
      </c>
      <c r="F399" t="inlineStr">
        <is>
          <t>JÖNKÖPINGS LÄN</t>
        </is>
      </c>
      <c r="G399" t="inlineStr">
        <is>
          <t>EKSJÖ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46299</v>
      </c>
      <c r="F400" t="inlineStr">
        <is>
          <t>JÖNKÖPINGS LÄN</t>
        </is>
      </c>
      <c r="G400" t="inlineStr">
        <is>
          <t>EKSJÖ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46299</v>
      </c>
      <c r="F401" t="inlineStr">
        <is>
          <t>JÖNKÖPINGS LÄN</t>
        </is>
      </c>
      <c r="G401" t="inlineStr">
        <is>
          <t>EKSJÖ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45232</v>
      </c>
      <c r="E402" s="1" t="n">
        <v>46299</v>
      </c>
      <c r="F402" t="inlineStr">
        <is>
          <t>JÖNKÖPINGS LÄN</t>
        </is>
      </c>
      <c r="G402" t="inlineStr">
        <is>
          <t>EKSJÖ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46299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46299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46299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45232</v>
      </c>
      <c r="E406" s="1" t="n">
        <v>46299</v>
      </c>
      <c r="F406" t="inlineStr">
        <is>
          <t>JÖNKÖPINGS LÄN</t>
        </is>
      </c>
      <c r="G406" t="inlineStr">
        <is>
          <t>EKSJÖ</t>
        </is>
      </c>
      <c r="I406" t="n">
        <v>18.3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45086</v>
      </c>
      <c r="E407" s="1" t="n">
        <v>46299</v>
      </c>
      <c r="F407" t="inlineStr">
        <is>
          <t>JÖNKÖPINGS LÄN</t>
        </is>
      </c>
      <c r="G407" t="inlineStr">
        <is>
          <t>EKSJÖ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56322-2021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44477</v>
      </c>
      <c r="E408" s="1" t="n">
        <v>46299</v>
      </c>
      <c r="F408" t="inlineStr">
        <is>
          <t>JÖNKÖPINGS LÄN</t>
        </is>
      </c>
      <c r="G408" t="inlineStr">
        <is>
          <t>EKSJÖ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46299</v>
      </c>
      <c r="F409" t="inlineStr">
        <is>
          <t>JÖNKÖPINGS LÄN</t>
        </is>
      </c>
      <c r="G409" t="inlineStr">
        <is>
          <t>EKSJÖ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46299</v>
      </c>
      <c r="F410" t="inlineStr">
        <is>
          <t>JÖNKÖPINGS LÄN</t>
        </is>
      </c>
      <c r="G410" t="inlineStr">
        <is>
          <t>EKSJÖ</t>
        </is>
      </c>
      <c r="H410" t="inlineStr">
        <is>
          <t>Kyrkan</t>
        </is>
      </c>
      <c r="I410" t="n">
        <v>15.2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46299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46299</v>
      </c>
      <c r="F412" t="inlineStr">
        <is>
          <t>JÖNKÖPINGS LÄN</t>
        </is>
      </c>
      <c r="G412" t="inlineStr">
        <is>
          <t>EKSJÖ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46299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46299</v>
      </c>
      <c r="F414" t="inlineStr">
        <is>
          <t>JÖNKÖPINGS LÄN</t>
        </is>
      </c>
      <c r="G414" t="inlineStr">
        <is>
          <t>EKSJÖ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46299</v>
      </c>
      <c r="F415" t="inlineStr">
        <is>
          <t>JÖNKÖPINGS LÄN</t>
        </is>
      </c>
      <c r="G415" t="inlineStr">
        <is>
          <t>EKSJÖ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46299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45533</v>
      </c>
      <c r="E417" s="1" t="n">
        <v>46299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46299</v>
      </c>
      <c r="F418" t="inlineStr">
        <is>
          <t>JÖNKÖPINGS LÄN</t>
        </is>
      </c>
      <c r="G418" t="inlineStr">
        <is>
          <t>EKSJÖ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46299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36069-2024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46299</v>
      </c>
      <c r="F420" t="inlineStr">
        <is>
          <t>JÖNKÖPINGS LÄN</t>
        </is>
      </c>
      <c r="G420" t="inlineStr">
        <is>
          <t>EKSJÖ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20068-2023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46299</v>
      </c>
      <c r="F421" t="inlineStr">
        <is>
          <t>JÖNKÖPINGS LÄN</t>
        </is>
      </c>
      <c r="G421" t="inlineStr">
        <is>
          <t>EKSJÖ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46299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44739</v>
      </c>
      <c r="E423" s="1" t="n">
        <v>46299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30931-2023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45113</v>
      </c>
      <c r="E424" s="1" t="n">
        <v>46299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46299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46299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50287-2024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45600</v>
      </c>
      <c r="E427" s="1" t="n">
        <v>46299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46299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46299</v>
      </c>
      <c r="F429" t="inlineStr">
        <is>
          <t>JÖNKÖPINGS LÄN</t>
        </is>
      </c>
      <c r="G429" t="inlineStr">
        <is>
          <t>EKSJÖ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46299</v>
      </c>
      <c r="F430" t="inlineStr">
        <is>
          <t>JÖNKÖPINGS LÄN</t>
        </is>
      </c>
      <c r="G430" t="inlineStr">
        <is>
          <t>EKSJÖ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44853</v>
      </c>
      <c r="E431" s="1" t="n">
        <v>46299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46299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46299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46299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46299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44925</v>
      </c>
      <c r="E436" s="1" t="n">
        <v>46299</v>
      </c>
      <c r="F436" t="inlineStr">
        <is>
          <t>JÖNKÖPINGS LÄN</t>
        </is>
      </c>
      <c r="G436" t="inlineStr">
        <is>
          <t>EKSJÖ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46299</v>
      </c>
      <c r="F437" t="inlineStr">
        <is>
          <t>JÖNKÖPINGS LÄN</t>
        </is>
      </c>
      <c r="G437" t="inlineStr">
        <is>
          <t>EKSJÖ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46299</v>
      </c>
      <c r="F438" t="inlineStr">
        <is>
          <t>JÖNKÖPINGS LÄN</t>
        </is>
      </c>
      <c r="G438" t="inlineStr">
        <is>
          <t>EKSJÖ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46299</v>
      </c>
      <c r="F439" t="inlineStr">
        <is>
          <t>JÖNKÖPINGS LÄN</t>
        </is>
      </c>
      <c r="G439" t="inlineStr">
        <is>
          <t>EKSJÖ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46299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46299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46299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44685</v>
      </c>
      <c r="E443" s="1" t="n">
        <v>46299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46299</v>
      </c>
      <c r="F444" t="inlineStr">
        <is>
          <t>JÖNKÖPINGS LÄN</t>
        </is>
      </c>
      <c r="G444" t="inlineStr">
        <is>
          <t>EKSJÖ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44813</v>
      </c>
      <c r="E445" s="1" t="n">
        <v>46299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46299</v>
      </c>
      <c r="F446" t="inlineStr">
        <is>
          <t>JÖNKÖPINGS LÄN</t>
        </is>
      </c>
      <c r="G446" t="inlineStr">
        <is>
          <t>EKSJÖ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46299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44803</v>
      </c>
      <c r="E448" s="1" t="n">
        <v>46299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46299</v>
      </c>
      <c r="F449" t="inlineStr">
        <is>
          <t>JÖNKÖPINGS LÄN</t>
        </is>
      </c>
      <c r="G449" t="inlineStr">
        <is>
          <t>EKSJÖ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45677</v>
      </c>
      <c r="E450" s="1" t="n">
        <v>46299</v>
      </c>
      <c r="F450" t="inlineStr">
        <is>
          <t>JÖNKÖPINGS LÄN</t>
        </is>
      </c>
      <c r="G450" t="inlineStr">
        <is>
          <t>EKSJÖ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46299</v>
      </c>
      <c r="F451" t="inlineStr">
        <is>
          <t>JÖNKÖPINGS LÄN</t>
        </is>
      </c>
      <c r="G451" t="inlineStr">
        <is>
          <t>EKSJÖ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46299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46299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46299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46299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46299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46299</v>
      </c>
      <c r="F457" t="inlineStr">
        <is>
          <t>JÖNKÖPINGS LÄN</t>
        </is>
      </c>
      <c r="G457" t="inlineStr">
        <is>
          <t>EKSJÖ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46299</v>
      </c>
      <c r="F458" t="inlineStr">
        <is>
          <t>JÖNKÖPINGS LÄN</t>
        </is>
      </c>
      <c r="G458" t="inlineStr">
        <is>
          <t>EKSJÖ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45770</v>
      </c>
      <c r="E459" s="1" t="n">
        <v>46299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44846</v>
      </c>
      <c r="E460" s="1" t="n">
        <v>46299</v>
      </c>
      <c r="F460" t="inlineStr">
        <is>
          <t>JÖNKÖPINGS LÄN</t>
        </is>
      </c>
      <c r="G460" t="inlineStr">
        <is>
          <t>EKSJÖ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46299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46299</v>
      </c>
      <c r="F462" t="inlineStr">
        <is>
          <t>JÖNKÖPINGS LÄN</t>
        </is>
      </c>
      <c r="G462" t="inlineStr">
        <is>
          <t>EKSJÖ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46259</v>
      </c>
      <c r="E463" s="1" t="n">
        <v>46299</v>
      </c>
      <c r="F463" t="inlineStr">
        <is>
          <t>JÖNKÖPINGS LÄN</t>
        </is>
      </c>
      <c r="G463" t="inlineStr">
        <is>
          <t>EKSJÖ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45468</v>
      </c>
      <c r="E464" s="1" t="n">
        <v>46299</v>
      </c>
      <c r="F464" t="inlineStr">
        <is>
          <t>JÖNKÖPINGS LÄN</t>
        </is>
      </c>
      <c r="G464" t="inlineStr">
        <is>
          <t>EKSJÖ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44713</v>
      </c>
      <c r="E465" s="1" t="n">
        <v>46299</v>
      </c>
      <c r="F465" t="inlineStr">
        <is>
          <t>JÖNKÖPINGS LÄN</t>
        </is>
      </c>
      <c r="G465" t="inlineStr">
        <is>
          <t>EKSJÖ</t>
        </is>
      </c>
      <c r="H465" t="inlineStr">
        <is>
          <t>Kyrkan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46299</v>
      </c>
      <c r="F466" t="inlineStr">
        <is>
          <t>JÖNKÖPINGS LÄN</t>
        </is>
      </c>
      <c r="G466" t="inlineStr">
        <is>
          <t>EKSJÖ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46299</v>
      </c>
      <c r="F467" t="inlineStr">
        <is>
          <t>JÖNKÖPINGS LÄN</t>
        </is>
      </c>
      <c r="G467" t="inlineStr">
        <is>
          <t>EKSJÖ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46299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46299</v>
      </c>
      <c r="F469" t="inlineStr">
        <is>
          <t>JÖNKÖPINGS LÄN</t>
        </is>
      </c>
      <c r="G469" t="inlineStr">
        <is>
          <t>EKSJÖ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46299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44615</v>
      </c>
      <c r="E471" s="1" t="n">
        <v>46299</v>
      </c>
      <c r="F471" t="inlineStr">
        <is>
          <t>JÖNKÖPINGS LÄN</t>
        </is>
      </c>
      <c r="G471" t="inlineStr">
        <is>
          <t>EKSJÖ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46299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46299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46299</v>
      </c>
      <c r="F474" t="inlineStr">
        <is>
          <t>JÖNKÖPINGS LÄN</t>
        </is>
      </c>
      <c r="G474" t="inlineStr">
        <is>
          <t>EKSJÖ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46299</v>
      </c>
      <c r="F475" t="inlineStr">
        <is>
          <t>JÖNKÖPINGS LÄN</t>
        </is>
      </c>
      <c r="G475" t="inlineStr">
        <is>
          <t>EKSJÖ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46299</v>
      </c>
      <c r="F476" t="inlineStr">
        <is>
          <t>JÖNKÖPINGS LÄN</t>
        </is>
      </c>
      <c r="G476" t="inlineStr">
        <is>
          <t>EKSJÖ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52200-2023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46299</v>
      </c>
      <c r="F477" t="inlineStr">
        <is>
          <t>JÖNKÖPINGS LÄN</t>
        </is>
      </c>
      <c r="G477" t="inlineStr">
        <is>
          <t>EKSJÖ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56689-2021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44481</v>
      </c>
      <c r="E478" s="1" t="n">
        <v>46299</v>
      </c>
      <c r="F478" t="inlineStr">
        <is>
          <t>JÖNKÖPINGS LÄN</t>
        </is>
      </c>
      <c r="G478" t="inlineStr">
        <is>
          <t>EKSJÖ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46299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38207-2026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46281</v>
      </c>
      <c r="E480" s="1" t="n">
        <v>46299</v>
      </c>
      <c r="F480" t="inlineStr">
        <is>
          <t>JÖNKÖPINGS LÄN</t>
        </is>
      </c>
      <c r="G480" t="inlineStr">
        <is>
          <t>EKSJÖ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46299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45719</v>
      </c>
      <c r="E482" s="1" t="n">
        <v>46299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44701</v>
      </c>
      <c r="E483" s="1" t="n">
        <v>46299</v>
      </c>
      <c r="F483" t="inlineStr">
        <is>
          <t>JÖNKÖPINGS LÄN</t>
        </is>
      </c>
      <c r="G483" t="inlineStr">
        <is>
          <t>EKSJÖ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46299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46299</v>
      </c>
      <c r="F485" t="inlineStr">
        <is>
          <t>JÖNKÖPINGS LÄN</t>
        </is>
      </c>
      <c r="G485" t="inlineStr">
        <is>
          <t>EKSJÖ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46299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46299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46299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46299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46299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46299</v>
      </c>
      <c r="F491" t="inlineStr">
        <is>
          <t>JÖNKÖPINGS LÄN</t>
        </is>
      </c>
      <c r="G491" t="inlineStr">
        <is>
          <t>EKSJÖ</t>
        </is>
      </c>
      <c r="H491" t="inlineStr">
        <is>
          <t>Övriga Aktiebolag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45537</v>
      </c>
      <c r="E492" s="1" t="n">
        <v>46299</v>
      </c>
      <c r="F492" t="inlineStr">
        <is>
          <t>JÖNKÖPINGS LÄN</t>
        </is>
      </c>
      <c r="G492" t="inlineStr">
        <is>
          <t>EKSJÖ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46299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46299</v>
      </c>
      <c r="F494" t="inlineStr">
        <is>
          <t>JÖNKÖPINGS LÄN</t>
        </is>
      </c>
      <c r="G494" t="inlineStr">
        <is>
          <t>EKSJÖ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46299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46299</v>
      </c>
      <c r="F496" t="inlineStr">
        <is>
          <t>JÖNKÖPINGS LÄN</t>
        </is>
      </c>
      <c r="G496" t="inlineStr">
        <is>
          <t>EKSJÖ</t>
        </is>
      </c>
      <c r="H496" t="inlineStr">
        <is>
          <t>Kyrkan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46299</v>
      </c>
      <c r="F497" t="inlineStr">
        <is>
          <t>JÖNKÖPINGS LÄN</t>
        </is>
      </c>
      <c r="G497" t="inlineStr">
        <is>
          <t>EKSJÖ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46299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46299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46299</v>
      </c>
      <c r="F500" t="inlineStr">
        <is>
          <t>JÖNKÖPINGS LÄN</t>
        </is>
      </c>
      <c r="G500" t="inlineStr">
        <is>
          <t>EKSJÖ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45068</v>
      </c>
      <c r="E501" s="1" t="n">
        <v>46299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71313-2021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46299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46299</v>
      </c>
      <c r="F503" t="inlineStr">
        <is>
          <t>JÖNKÖPINGS LÄN</t>
        </is>
      </c>
      <c r="G503" t="inlineStr">
        <is>
          <t>EKSJÖ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46299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46247</v>
      </c>
      <c r="E505" s="1" t="n">
        <v>46299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45253</v>
      </c>
      <c r="E506" s="1" t="n">
        <v>46299</v>
      </c>
      <c r="F506" t="inlineStr">
        <is>
          <t>JÖNKÖPINGS LÄN</t>
        </is>
      </c>
      <c r="G506" t="inlineStr">
        <is>
          <t>EKSJÖ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45493-2022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46299</v>
      </c>
      <c r="F507" t="inlineStr">
        <is>
          <t>JÖNKÖPINGS LÄN</t>
        </is>
      </c>
      <c r="G507" t="inlineStr">
        <is>
          <t>EKSJÖ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44789</v>
      </c>
      <c r="E508" s="1" t="n">
        <v>46299</v>
      </c>
      <c r="F508" t="inlineStr">
        <is>
          <t>JÖNKÖPINGS LÄN</t>
        </is>
      </c>
      <c r="G508" t="inlineStr">
        <is>
          <t>EKSJÖ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45239</v>
      </c>
      <c r="E509" s="1" t="n">
        <v>46299</v>
      </c>
      <c r="F509" t="inlineStr">
        <is>
          <t>JÖNKÖPINGS LÄN</t>
        </is>
      </c>
      <c r="G509" t="inlineStr">
        <is>
          <t>EKSJÖ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46299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46299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46299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50165-2022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46299</v>
      </c>
      <c r="F513" t="inlineStr">
        <is>
          <t>JÖNKÖPINGS LÄN</t>
        </is>
      </c>
      <c r="G513" t="inlineStr">
        <is>
          <t>EKSJÖ</t>
        </is>
      </c>
      <c r="H513" t="inlineStr">
        <is>
          <t>Övriga Aktiebolag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46299</v>
      </c>
      <c r="F514" t="inlineStr">
        <is>
          <t>JÖNKÖPINGS LÄN</t>
        </is>
      </c>
      <c r="G514" t="inlineStr">
        <is>
          <t>EKSJÖ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46299</v>
      </c>
      <c r="F515" t="inlineStr">
        <is>
          <t>JÖNKÖPINGS LÄN</t>
        </is>
      </c>
      <c r="G515" t="inlineStr">
        <is>
          <t>EKSJÖ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46299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46299</v>
      </c>
      <c r="F517" t="inlineStr">
        <is>
          <t>JÖNKÖPINGS LÄN</t>
        </is>
      </c>
      <c r="G517" t="inlineStr">
        <is>
          <t>EKSJÖ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46299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46299</v>
      </c>
      <c r="F519" t="inlineStr">
        <is>
          <t>JÖNKÖPINGS LÄN</t>
        </is>
      </c>
      <c r="G519" t="inlineStr">
        <is>
          <t>EKSJÖ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45367-2024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46299</v>
      </c>
      <c r="F520" t="inlineStr">
        <is>
          <t>JÖNKÖPINGS LÄN</t>
        </is>
      </c>
      <c r="G520" t="inlineStr">
        <is>
          <t>EKSJÖ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46297</v>
      </c>
      <c r="E521" s="1" t="n">
        <v>46299</v>
      </c>
      <c r="F521" t="inlineStr">
        <is>
          <t>JÖNKÖPINGS LÄN</t>
        </is>
      </c>
      <c r="G521" t="inlineStr">
        <is>
          <t>EKSJÖ</t>
        </is>
      </c>
      <c r="H521" t="inlineStr">
        <is>
          <t>Kyrkan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46299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44490</v>
      </c>
      <c r="E523" s="1" t="n">
        <v>46299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46299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46299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46299</v>
      </c>
      <c r="F526" t="inlineStr">
        <is>
          <t>JÖNKÖPINGS LÄN</t>
        </is>
      </c>
      <c r="G526" t="inlineStr">
        <is>
          <t>EKSJÖ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23535-2023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45076</v>
      </c>
      <c r="E527" s="1" t="n">
        <v>46299</v>
      </c>
      <c r="F527" t="inlineStr">
        <is>
          <t>JÖNKÖPINGS LÄN</t>
        </is>
      </c>
      <c r="G527" t="inlineStr">
        <is>
          <t>EKSJÖ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46299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45096</v>
      </c>
      <c r="E529" s="1" t="n">
        <v>46299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46299</v>
      </c>
      <c r="F530" t="inlineStr">
        <is>
          <t>JÖNKÖPINGS LÄN</t>
        </is>
      </c>
      <c r="G530" t="inlineStr">
        <is>
          <t>EKSJÖ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46299</v>
      </c>
      <c r="F531" t="inlineStr">
        <is>
          <t>JÖNKÖPINGS LÄN</t>
        </is>
      </c>
      <c r="G531" t="inlineStr">
        <is>
          <t>EKSJÖ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46299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46299</v>
      </c>
      <c r="F533" t="inlineStr">
        <is>
          <t>JÖNKÖPINGS LÄN</t>
        </is>
      </c>
      <c r="G533" t="inlineStr">
        <is>
          <t>EKSJÖ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44623</v>
      </c>
      <c r="E534" s="1" t="n">
        <v>46299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46299</v>
      </c>
      <c r="F535" t="inlineStr">
        <is>
          <t>JÖNKÖPINGS LÄN</t>
        </is>
      </c>
      <c r="G535" t="inlineStr">
        <is>
          <t>EKSJÖ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46299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40413-2026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46299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59905-2022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44908</v>
      </c>
      <c r="E538" s="1" t="n">
        <v>46299</v>
      </c>
      <c r="F538" t="inlineStr">
        <is>
          <t>JÖNKÖPINGS LÄN</t>
        </is>
      </c>
      <c r="G538" t="inlineStr">
        <is>
          <t>EKSJÖ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46299</v>
      </c>
      <c r="F539" t="inlineStr">
        <is>
          <t>JÖNKÖPINGS LÄN</t>
        </is>
      </c>
      <c r="G539" t="inlineStr">
        <is>
          <t>EKSJÖ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40998-2026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46297</v>
      </c>
      <c r="E540" s="1" t="n">
        <v>46299</v>
      </c>
      <c r="F540" t="inlineStr">
        <is>
          <t>JÖNKÖPINGS LÄN</t>
        </is>
      </c>
      <c r="G540" t="inlineStr">
        <is>
          <t>EKSJÖ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46299</v>
      </c>
      <c r="F541" t="inlineStr">
        <is>
          <t>JÖNKÖPINGS LÄN</t>
        </is>
      </c>
      <c r="G541" t="inlineStr">
        <is>
          <t>EKSJÖ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45877</v>
      </c>
      <c r="E542" s="1" t="n">
        <v>46299</v>
      </c>
      <c r="F542" t="inlineStr">
        <is>
          <t>JÖNKÖPINGS LÄN</t>
        </is>
      </c>
      <c r="G542" t="inlineStr">
        <is>
          <t>EKSJÖ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46299</v>
      </c>
      <c r="F543" t="inlineStr">
        <is>
          <t>JÖNKÖPINGS LÄN</t>
        </is>
      </c>
      <c r="G543" t="inlineStr">
        <is>
          <t>EKSJÖ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44581</v>
      </c>
      <c r="E544" s="1" t="n">
        <v>46299</v>
      </c>
      <c r="F544" t="inlineStr">
        <is>
          <t>JÖNKÖPINGS LÄN</t>
        </is>
      </c>
      <c r="G544" t="inlineStr">
        <is>
          <t>EKSJÖ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46299</v>
      </c>
      <c r="F545" t="inlineStr">
        <is>
          <t>JÖNKÖPINGS LÄN</t>
        </is>
      </c>
      <c r="G545" t="inlineStr">
        <is>
          <t>EKSJÖ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44600</v>
      </c>
      <c r="E546" s="1" t="n">
        <v>46299</v>
      </c>
      <c r="F546" t="inlineStr">
        <is>
          <t>JÖNKÖPINGS LÄN</t>
        </is>
      </c>
      <c r="G546" t="inlineStr">
        <is>
          <t>EKSJÖ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46299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46299</v>
      </c>
      <c r="F548" t="inlineStr">
        <is>
          <t>JÖNKÖPINGS LÄN</t>
        </is>
      </c>
      <c r="G548" t="inlineStr">
        <is>
          <t>EKSJÖ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45214</v>
      </c>
      <c r="E549" s="1" t="n">
        <v>46299</v>
      </c>
      <c r="F549" t="inlineStr">
        <is>
          <t>JÖNKÖPINGS LÄN</t>
        </is>
      </c>
      <c r="G549" t="inlineStr">
        <is>
          <t>EKSJÖ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46299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28024-2022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46299</v>
      </c>
      <c r="F551" t="inlineStr">
        <is>
          <t>JÖNKÖPINGS LÄN</t>
        </is>
      </c>
      <c r="G551" t="inlineStr">
        <is>
          <t>EKSJÖ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45300</v>
      </c>
      <c r="E552" s="1" t="n">
        <v>46299</v>
      </c>
      <c r="F552" t="inlineStr">
        <is>
          <t>JÖNKÖPINGS LÄN</t>
        </is>
      </c>
      <c r="G552" t="inlineStr">
        <is>
          <t>EKSJÖ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46299</v>
      </c>
      <c r="F553" t="inlineStr">
        <is>
          <t>JÖNKÖPINGS LÄN</t>
        </is>
      </c>
      <c r="G553" t="inlineStr">
        <is>
          <t>EKSJÖ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46299</v>
      </c>
      <c r="F554" t="inlineStr">
        <is>
          <t>JÖNKÖPINGS LÄN</t>
        </is>
      </c>
      <c r="G554" t="inlineStr">
        <is>
          <t>EKSJÖ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46299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46299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46577-2022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44848</v>
      </c>
      <c r="E557" s="1" t="n">
        <v>46299</v>
      </c>
      <c r="F557" t="inlineStr">
        <is>
          <t>JÖNKÖPINGS LÄN</t>
        </is>
      </c>
      <c r="G557" t="inlineStr">
        <is>
          <t>EKSJÖ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46299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46299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45714</v>
      </c>
      <c r="E560" s="1" t="n">
        <v>46299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45715</v>
      </c>
      <c r="E561" s="1" t="n">
        <v>46299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46299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46299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47204-2022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46299</v>
      </c>
      <c r="F564" t="inlineStr">
        <is>
          <t>JÖNKÖPINGS LÄN</t>
        </is>
      </c>
      <c r="G564" t="inlineStr">
        <is>
          <t>EKSJÖ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45707</v>
      </c>
      <c r="E565" s="1" t="n">
        <v>46299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46299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58490-2024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46299</v>
      </c>
      <c r="F567" t="inlineStr">
        <is>
          <t>JÖNKÖPINGS LÄN</t>
        </is>
      </c>
      <c r="G567" t="inlineStr">
        <is>
          <t>EKSJÖ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46299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45334</v>
      </c>
      <c r="E569" s="1" t="n">
        <v>46299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44939</v>
      </c>
      <c r="E570" s="1" t="n">
        <v>46299</v>
      </c>
      <c r="F570" t="inlineStr">
        <is>
          <t>JÖNKÖPINGS LÄN</t>
        </is>
      </c>
      <c r="G570" t="inlineStr">
        <is>
          <t>EKSJÖ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46299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23183-2022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44719</v>
      </c>
      <c r="E572" s="1" t="n">
        <v>46299</v>
      </c>
      <c r="F572" t="inlineStr">
        <is>
          <t>JÖNKÖPINGS LÄN</t>
        </is>
      </c>
      <c r="G572" t="inlineStr">
        <is>
          <t>EKSJÖ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45762</v>
      </c>
      <c r="E573" s="1" t="n">
        <v>46299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45671</v>
      </c>
      <c r="E574" s="1" t="n">
        <v>46299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46299</v>
      </c>
      <c r="F575" t="inlineStr">
        <is>
          <t>JÖNKÖPINGS LÄN</t>
        </is>
      </c>
      <c r="G575" t="inlineStr">
        <is>
          <t>EKSJÖ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46299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44999</v>
      </c>
      <c r="E577" s="1" t="n">
        <v>46299</v>
      </c>
      <c r="F577" t="inlineStr">
        <is>
          <t>JÖNKÖPINGS LÄN</t>
        </is>
      </c>
      <c r="G577" t="inlineStr">
        <is>
          <t>EKSJÖ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46299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46299</v>
      </c>
      <c r="F579" t="inlineStr">
        <is>
          <t>JÖNKÖPINGS LÄN</t>
        </is>
      </c>
      <c r="G579" t="inlineStr">
        <is>
          <t>EKSJÖ</t>
        </is>
      </c>
      <c r="H579" t="inlineStr">
        <is>
          <t>Kommuner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46299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45779</v>
      </c>
      <c r="E581" s="1" t="n">
        <v>46299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46299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46299</v>
      </c>
      <c r="F583" t="inlineStr">
        <is>
          <t>JÖNKÖPINGS LÄN</t>
        </is>
      </c>
      <c r="G583" t="inlineStr">
        <is>
          <t>EKSJÖ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46299</v>
      </c>
      <c r="F584" t="inlineStr">
        <is>
          <t>JÖNKÖPINGS LÄN</t>
        </is>
      </c>
      <c r="G584" t="inlineStr">
        <is>
          <t>EKSJÖ</t>
        </is>
      </c>
      <c r="I584" t="n">
        <v>40.5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538-2024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46299</v>
      </c>
      <c r="F585" t="inlineStr">
        <is>
          <t>JÖNKÖPINGS LÄN</t>
        </is>
      </c>
      <c r="G585" t="inlineStr">
        <is>
          <t>EKSJÖ</t>
        </is>
      </c>
      <c r="I585" t="n">
        <v>25.6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544-2024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46299</v>
      </c>
      <c r="F586" t="inlineStr">
        <is>
          <t>JÖNKÖPINGS LÄN</t>
        </is>
      </c>
      <c r="G586" t="inlineStr">
        <is>
          <t>EKSJÖ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549-2024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46299</v>
      </c>
      <c r="F587" t="inlineStr">
        <is>
          <t>JÖNKÖPINGS LÄN</t>
        </is>
      </c>
      <c r="G587" t="inlineStr">
        <is>
          <t>EKSJÖ</t>
        </is>
      </c>
      <c r="I587" t="n">
        <v>30.9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46299</v>
      </c>
      <c r="F588" t="inlineStr">
        <is>
          <t>JÖNKÖPINGS LÄN</t>
        </is>
      </c>
      <c r="G588" t="inlineStr">
        <is>
          <t>EKSJÖ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2246-2023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46299</v>
      </c>
      <c r="F589" t="inlineStr">
        <is>
          <t>JÖNKÖPINGS LÄN</t>
        </is>
      </c>
      <c r="G589" t="inlineStr">
        <is>
          <t>EKSJÖ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46299</v>
      </c>
      <c r="F590" t="inlineStr">
        <is>
          <t>JÖNKÖPINGS LÄN</t>
        </is>
      </c>
      <c r="G590" t="inlineStr">
        <is>
          <t>EKSJÖ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2270-2023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45103</v>
      </c>
      <c r="E591" s="1" t="n">
        <v>46299</v>
      </c>
      <c r="F591" t="inlineStr">
        <is>
          <t>JÖNKÖPINGS LÄN</t>
        </is>
      </c>
      <c r="G591" t="inlineStr">
        <is>
          <t>EKSJÖ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4938-2024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45628</v>
      </c>
      <c r="E592" s="1" t="n">
        <v>46299</v>
      </c>
      <c r="F592" t="inlineStr">
        <is>
          <t>JÖNKÖPINGS LÄN</t>
        </is>
      </c>
      <c r="G592" t="inlineStr">
        <is>
          <t>EKSJÖ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546-2024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46299</v>
      </c>
      <c r="F593" t="inlineStr">
        <is>
          <t>JÖNKÖPINGS LÄN</t>
        </is>
      </c>
      <c r="G593" t="inlineStr">
        <is>
          <t>EKSJÖ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46299</v>
      </c>
      <c r="F594" t="inlineStr">
        <is>
          <t>JÖNKÖPINGS LÄN</t>
        </is>
      </c>
      <c r="G594" t="inlineStr">
        <is>
          <t>EKSJÖ</t>
        </is>
      </c>
      <c r="I594" t="n">
        <v>25.9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543-2024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46299</v>
      </c>
      <c r="F595" t="inlineStr">
        <is>
          <t>JÖNKÖPINGS LÄN</t>
        </is>
      </c>
      <c r="G595" t="inlineStr">
        <is>
          <t>EKSJÖ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1407-2023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45042</v>
      </c>
      <c r="E596" s="1" t="n">
        <v>46299</v>
      </c>
      <c r="F596" t="inlineStr">
        <is>
          <t>JÖNKÖPINGS LÄN</t>
        </is>
      </c>
      <c r="G596" t="inlineStr">
        <is>
          <t>EKSJÖ</t>
        </is>
      </c>
      <c r="I596" t="n">
        <v>60.7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539-2024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46299</v>
      </c>
      <c r="F597" t="inlineStr">
        <is>
          <t>JÖNKÖPINGS LÄN</t>
        </is>
      </c>
      <c r="G597" t="inlineStr">
        <is>
          <t>EKSJÖ</t>
        </is>
      </c>
      <c r="I597" t="n">
        <v>41.7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2244-2023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46299</v>
      </c>
      <c r="F598" t="inlineStr">
        <is>
          <t>JÖNKÖPINGS LÄN</t>
        </is>
      </c>
      <c r="G598" t="inlineStr">
        <is>
          <t>EKSJÖ</t>
        </is>
      </c>
      <c r="I598" t="n">
        <v>26.1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2704-2023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45155</v>
      </c>
      <c r="E599" s="1" t="n">
        <v>46299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1298-2025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45770</v>
      </c>
      <c r="E600" s="1" t="n">
        <v>46299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949-2025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45741</v>
      </c>
      <c r="E601" s="1" t="n">
        <v>46299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583-2025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45712</v>
      </c>
      <c r="E602" s="1" t="n">
        <v>46299</v>
      </c>
      <c r="F602" t="inlineStr">
        <is>
          <t>JÖNKÖPINGS LÄN</t>
        </is>
      </c>
      <c r="G602" t="inlineStr">
        <is>
          <t>EKSJÖ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524-2025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45707</v>
      </c>
      <c r="E603" s="1" t="n">
        <v>46299</v>
      </c>
      <c r="F603" t="inlineStr">
        <is>
          <t>JÖNKÖPINGS LÄN</t>
        </is>
      </c>
      <c r="G603" t="inlineStr">
        <is>
          <t>EKSJÖ</t>
        </is>
      </c>
      <c r="I603" t="n">
        <v>114.6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1670-2025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45804</v>
      </c>
      <c r="E604" s="1" t="n">
        <v>46299</v>
      </c>
      <c r="F604" t="inlineStr">
        <is>
          <t>JÖNKÖPINGS LÄN</t>
        </is>
      </c>
      <c r="G604" t="inlineStr">
        <is>
          <t>EKSJÖ</t>
        </is>
      </c>
      <c r="I604" t="n">
        <v>21.5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2606-2025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45916</v>
      </c>
      <c r="E605" s="1" t="n">
        <v>46299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2834-2025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45940</v>
      </c>
      <c r="E606" s="1" t="n">
        <v>46299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1004-2026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46121</v>
      </c>
      <c r="E607" s="1" t="n">
        <v>46299</v>
      </c>
      <c r="F607" t="inlineStr">
        <is>
          <t>JÖNKÖPINGS LÄN</t>
        </is>
      </c>
      <c r="G607" t="inlineStr">
        <is>
          <t>EKSJÖ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46299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1521-2026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46166</v>
      </c>
      <c r="E609" s="1" t="n">
        <v>46299</v>
      </c>
      <c r="F609" t="inlineStr">
        <is>
          <t>JÖNKÖPINGS LÄN</t>
        </is>
      </c>
      <c r="G609" t="inlineStr">
        <is>
          <t>EKSJÖ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46299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46299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1973-2026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46210</v>
      </c>
      <c r="E612" s="1" t="n">
        <v>46299</v>
      </c>
      <c r="F612" t="inlineStr">
        <is>
          <t>JÖNKÖPINGS LÄN</t>
        </is>
      </c>
      <c r="G612" t="inlineStr">
        <is>
          <t>EKSJÖ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1842-2026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46153</v>
      </c>
      <c r="E613" s="1" t="n">
        <v>46299</v>
      </c>
      <c r="F613" t="inlineStr">
        <is>
          <t>JÖNKÖPINGS LÄN</t>
        </is>
      </c>
      <c r="G613" t="inlineStr">
        <is>
          <t>EKSJÖ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2026-10-04T01:56:42Z</dcterms:created>
  <dcterms:modified xmlns:dcterms="http://purl.org/dc/terms/" xmlns:xsi="http://www.w3.org/2001/XMLSchema-instance" xsi:type="dcterms:W3CDTF">2026-10-04T01:56:42Z</dcterms:modified>
</cp:coreProperties>
</file>