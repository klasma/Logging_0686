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46279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46279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46279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46279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46279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46279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46279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46279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46279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46279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46279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46279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46279</v>
      </c>
      <c r="F29" t="inlineStr">
        <is>
          <t>JÖNKÖPINGS LÄN</t>
        </is>
      </c>
      <c r="G29" t="inlineStr">
        <is>
          <t>EKSJÖ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HYPERLINK("https://klasma.github.io/Logging_0686/artfynd/A 58-2023 artfynd.xlsx", "A 58-2023")</f>
        <v/>
      </c>
      <c r="X29">
        <f>HYPERLINK("https://klasma.github.io/Logging_0686/kartor/A 58-2023 karta.png", "A 58-2023")</f>
        <v/>
      </c>
      <c r="Y29">
        <f>HYPERLINK("https://klasma.github.io/Logging_0686/kartor_geotiff/A 58-2023 georefererad karta.tif", "A 58-2023")</f>
        <v/>
      </c>
      <c r="AA29">
        <f>HYPERLINK("https://klasma.github.io/Logging_0686/klagomål/A 58-2023 FSC-klagomål.docx", "A 58-2023")</f>
        <v/>
      </c>
      <c r="AB29">
        <f>HYPERLINK("https://klasma.github.io/Logging_0686/klagomålsmail/A 58-2023 FSC-klagomål mail.docx", "A 58-2023")</f>
        <v/>
      </c>
      <c r="AC29">
        <f>HYPERLINK("https://klasma.github.io/Logging_0686/tillsyn/A 58-2023 tillsynsbegäran.docx", "A 58-2023")</f>
        <v/>
      </c>
      <c r="AD29">
        <f>HYPERLINK("https://klasma.github.io/Logging_0686/tillsynsmail/A 58-2023 tillsynsbegäran mail.docx", "A 58-2023")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46279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46279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46279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46279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46279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46279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46279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46279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46279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4446-2023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44956</v>
      </c>
      <c r="E39" s="1" t="n">
        <v>46279</v>
      </c>
      <c r="F39" t="inlineStr">
        <is>
          <t>JÖNKÖPINGS LÄN</t>
        </is>
      </c>
      <c r="G39" t="inlineStr">
        <is>
          <t>EKSJÖ</t>
        </is>
      </c>
      <c r="I39" t="n">
        <v>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Loppstarr</t>
        </is>
      </c>
      <c r="W39">
        <f>HYPERLINK("https://klasma.github.io/Logging_0686/artfynd/A 4446-2023 artfynd.xlsx", "A 4446-2023")</f>
        <v/>
      </c>
      <c r="X39">
        <f>HYPERLINK("https://klasma.github.io/Logging_0686/kartor/A 4446-2023 karta.png", "A 4446-2023")</f>
        <v/>
      </c>
      <c r="Y39">
        <f>HYPERLINK("https://klasma.github.io/Logging_0686/kartor_geotiff/A 4446-2023 georefererad karta.tif", "A 4446-2023")</f>
        <v/>
      </c>
      <c r="AA39">
        <f>HYPERLINK("https://klasma.github.io/Logging_0686/klagomål/A 4446-2023 FSC-klagomål.docx", "A 4446-2023")</f>
        <v/>
      </c>
      <c r="AB39">
        <f>HYPERLINK("https://klasma.github.io/Logging_0686/klagomålsmail/A 4446-2023 FSC-klagomål mail.docx", "A 4446-2023")</f>
        <v/>
      </c>
      <c r="AC39">
        <f>HYPERLINK("https://klasma.github.io/Logging_0686/tillsyn/A 4446-2023 tillsynsbegäran.docx", "A 4446-2023")</f>
        <v/>
      </c>
      <c r="AD39">
        <f>HYPERLINK("https://klasma.github.io/Logging_0686/tillsynsmail/A 4446-2023 tillsynsbegäran mail.docx", "A 4446-2023")</f>
        <v/>
      </c>
    </row>
    <row r="40" ht="15" customHeight="1">
      <c r="A40" t="inlineStr">
        <is>
          <t>A 41746-2023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45176</v>
      </c>
      <c r="E40" s="1" t="n">
        <v>46279</v>
      </c>
      <c r="F40" t="inlineStr">
        <is>
          <t>JÖNKÖPINGS LÄN</t>
        </is>
      </c>
      <c r="G40" t="inlineStr">
        <is>
          <t>EKSJÖ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HYPERLINK("https://klasma.github.io/Logging_0686/artfynd/A 41746-2023 artfynd.xlsx", "A 41746-2023")</f>
        <v/>
      </c>
      <c r="X40">
        <f>HYPERLINK("https://klasma.github.io/Logging_0686/kartor/A 41746-2023 karta.png", "A 41746-2023")</f>
        <v/>
      </c>
      <c r="Y40">
        <f>HYPERLINK("https://klasma.github.io/Logging_0686/kartor_geotiff/A 41746-2023 georefererad karta.tif", "A 41746-2023")</f>
        <v/>
      </c>
      <c r="AA40">
        <f>HYPERLINK("https://klasma.github.io/Logging_0686/klagomål/A 41746-2023 FSC-klagomål.docx", "A 41746-2023")</f>
        <v/>
      </c>
      <c r="AB40">
        <f>HYPERLINK("https://klasma.github.io/Logging_0686/klagomålsmail/A 41746-2023 FSC-klagomål mail.docx", "A 41746-2023")</f>
        <v/>
      </c>
      <c r="AC40">
        <f>HYPERLINK("https://klasma.github.io/Logging_0686/tillsyn/A 41746-2023 tillsynsbegäran.docx", "A 41746-2023")</f>
        <v/>
      </c>
      <c r="AD40">
        <f>HYPERLINK("https://klasma.github.io/Logging_0686/tillsynsmail/A 41746-2023 tillsynsbegäran mail.docx", "A 41746-2023")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46279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46279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46279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46279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Ladusvala</t>
        </is>
      </c>
      <c r="W44">
        <f>HYPERLINK("https://klasma.github.io/Logging_0686/artfynd/A 49412-2021 artfynd.xlsx", "A 49412-2021")</f>
        <v/>
      </c>
      <c r="X44">
        <f>HYPERLINK("https://klasma.github.io/Logging_0686/kartor/A 49412-2021 karta.png", "A 49412-2021")</f>
        <v/>
      </c>
      <c r="Y44">
        <f>HYPERLINK("https://klasma.github.io/Logging_0686/kartor_geotiff/A 49412-2021 georefererad karta.tif", "A 49412-2021")</f>
        <v/>
      </c>
      <c r="AA44">
        <f>HYPERLINK("https://klasma.github.io/Logging_0686/klagomål/A 49412-2021 FSC-klagomål.docx", "A 49412-2021")</f>
        <v/>
      </c>
      <c r="AB44">
        <f>HYPERLINK("https://klasma.github.io/Logging_0686/klagomålsmail/A 49412-2021 FSC-klagomål mail.docx", "A 49412-2021")</f>
        <v/>
      </c>
      <c r="AC44">
        <f>HYPERLINK("https://klasma.github.io/Logging_0686/tillsyn/A 49412-2021 tillsynsbegäran.docx", "A 49412-2021")</f>
        <v/>
      </c>
      <c r="AD44">
        <f>HYPERLINK("https://klasma.github.io/Logging_0686/tillsynsmail/A 49412-2021 tillsynsbegäran mail.docx", "A 49412-2021")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46279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HYPERLINK("https://klasma.github.io/Logging_0686/artfynd/A 29121-2026 artfynd.xlsx", "A 29121-2026")</f>
        <v/>
      </c>
      <c r="X45">
        <f>HYPERLINK("https://klasma.github.io/Logging_0686/kartor/A 29121-2026 karta.png", "A 29121-2026")</f>
        <v/>
      </c>
      <c r="Y45">
        <f>HYPERLINK("https://klasma.github.io/Logging_0686/kartor_geotiff/A 29121-2026 georefererad karta.tif", "A 29121-2026")</f>
        <v/>
      </c>
      <c r="AA45">
        <f>HYPERLINK("https://klasma.github.io/Logging_0686/klagomål/A 29121-2026 FSC-klagomål.docx", "A 29121-2026")</f>
        <v/>
      </c>
      <c r="AB45">
        <f>HYPERLINK("https://klasma.github.io/Logging_0686/klagomålsmail/A 29121-2026 FSC-klagomål mail.docx", "A 29121-2026")</f>
        <v/>
      </c>
      <c r="AC45">
        <f>HYPERLINK("https://klasma.github.io/Logging_0686/tillsyn/A 29121-2026 tillsynsbegäran.docx", "A 29121-2026")</f>
        <v/>
      </c>
      <c r="AD45">
        <f>HYPERLINK("https://klasma.github.io/Logging_0686/tillsynsmail/A 29121-2026 tillsynsbegäran mail.docx", "A 29121-2026")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46279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46279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46279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46279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46279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46279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46279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46279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46279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46279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46279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46279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46279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46279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46279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46279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46279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46279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46279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46279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46279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46279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46279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46279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46279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46279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46279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46279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46279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46279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46279</v>
      </c>
      <c r="F83" t="inlineStr">
        <is>
          <t>JÖNKÖPINGS LÄN</t>
        </is>
      </c>
      <c r="G83" t="inlineStr">
        <is>
          <t>EKSJÖ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46279</v>
      </c>
      <c r="F84" t="inlineStr">
        <is>
          <t>JÖNKÖPINGS LÄN</t>
        </is>
      </c>
      <c r="G84" t="inlineStr">
        <is>
          <t>EKSJÖ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46279</v>
      </c>
      <c r="F85" t="inlineStr">
        <is>
          <t>JÖNKÖPINGS LÄN</t>
        </is>
      </c>
      <c r="G85" t="inlineStr">
        <is>
          <t>EKSJÖ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65645-2021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46279</v>
      </c>
      <c r="F86" t="inlineStr">
        <is>
          <t>JÖNKÖPINGS LÄN</t>
        </is>
      </c>
      <c r="G86" t="inlineStr">
        <is>
          <t>EKSJÖ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44746</v>
      </c>
      <c r="E87" s="1" t="n">
        <v>46279</v>
      </c>
      <c r="F87" t="inlineStr">
        <is>
          <t>JÖNKÖPINGS LÄN</t>
        </is>
      </c>
      <c r="G87" t="inlineStr">
        <is>
          <t>EKSJÖ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46279</v>
      </c>
      <c r="F88" t="inlineStr">
        <is>
          <t>JÖNKÖPINGS LÄN</t>
        </is>
      </c>
      <c r="G88" t="inlineStr">
        <is>
          <t>EKSJÖ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46279</v>
      </c>
      <c r="F89" t="inlineStr">
        <is>
          <t>JÖNKÖPINGS LÄN</t>
        </is>
      </c>
      <c r="G89" t="inlineStr">
        <is>
          <t>EKSJÖ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46279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46279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46279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46279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46279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46279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46279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46279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46279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46279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46279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46279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46279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46279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46279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46279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46279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11418-2022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46279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46279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46279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46279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46279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46279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46279</v>
      </c>
      <c r="F113" t="inlineStr">
        <is>
          <t>JÖNKÖPINGS LÄN</t>
        </is>
      </c>
      <c r="G113" t="inlineStr">
        <is>
          <t>EKSJÖ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46279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46279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46279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46279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46279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45049</v>
      </c>
      <c r="E119" s="1" t="n">
        <v>46279</v>
      </c>
      <c r="F119" t="inlineStr">
        <is>
          <t>JÖNKÖPINGS LÄN</t>
        </is>
      </c>
      <c r="G119" t="inlineStr">
        <is>
          <t>EKSJÖ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46279</v>
      </c>
      <c r="F120" t="inlineStr">
        <is>
          <t>JÖNKÖPINGS LÄN</t>
        </is>
      </c>
      <c r="G120" t="inlineStr">
        <is>
          <t>EKSJÖ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43411-2022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44834</v>
      </c>
      <c r="E121" s="1" t="n">
        <v>46279</v>
      </c>
      <c r="F121" t="inlineStr">
        <is>
          <t>JÖNKÖPINGS LÄN</t>
        </is>
      </c>
      <c r="G121" t="inlineStr">
        <is>
          <t>EKSJÖ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45512</v>
      </c>
      <c r="E122" s="1" t="n">
        <v>46279</v>
      </c>
      <c r="F122" t="inlineStr">
        <is>
          <t>JÖNKÖPINGS LÄN</t>
        </is>
      </c>
      <c r="G122" t="inlineStr">
        <is>
          <t>EKSJÖ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46279</v>
      </c>
      <c r="F123" t="inlineStr">
        <is>
          <t>JÖNKÖPINGS LÄN</t>
        </is>
      </c>
      <c r="G123" t="inlineStr">
        <is>
          <t>EKSJÖ</t>
        </is>
      </c>
      <c r="H123" t="inlineStr">
        <is>
          <t>Kommuner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46279</v>
      </c>
      <c r="F124" t="inlineStr">
        <is>
          <t>JÖNKÖPINGS LÄN</t>
        </is>
      </c>
      <c r="G124" t="inlineStr">
        <is>
          <t>EKSJÖ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46279</v>
      </c>
      <c r="F125" t="inlineStr">
        <is>
          <t>JÖNKÖPINGS LÄN</t>
        </is>
      </c>
      <c r="G125" t="inlineStr">
        <is>
          <t>EKSJÖ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46279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46279</v>
      </c>
      <c r="F127" t="inlineStr">
        <is>
          <t>JÖNKÖPINGS LÄN</t>
        </is>
      </c>
      <c r="G127" t="inlineStr">
        <is>
          <t>EKSJÖ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45300</v>
      </c>
      <c r="E128" s="1" t="n">
        <v>46279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46279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46279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45076</v>
      </c>
      <c r="E131" s="1" t="n">
        <v>46279</v>
      </c>
      <c r="F131" t="inlineStr">
        <is>
          <t>JÖNKÖPINGS LÄN</t>
        </is>
      </c>
      <c r="G131" t="inlineStr">
        <is>
          <t>EKSJÖ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46279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44846</v>
      </c>
      <c r="E133" s="1" t="n">
        <v>46279</v>
      </c>
      <c r="F133" t="inlineStr">
        <is>
          <t>JÖNKÖPINGS LÄN</t>
        </is>
      </c>
      <c r="G133" t="inlineStr">
        <is>
          <t>EKSJÖ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46279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46279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46279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46279</v>
      </c>
      <c r="F137" t="inlineStr">
        <is>
          <t>JÖNKÖPINGS LÄN</t>
        </is>
      </c>
      <c r="G137" t="inlineStr">
        <is>
          <t>EKSJÖ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46279</v>
      </c>
      <c r="F138" t="inlineStr">
        <is>
          <t>JÖNKÖPINGS LÄN</t>
        </is>
      </c>
      <c r="G138" t="inlineStr">
        <is>
          <t>EKSJÖ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46279</v>
      </c>
      <c r="F139" t="inlineStr">
        <is>
          <t>JÖNKÖPINGS LÄN</t>
        </is>
      </c>
      <c r="G139" t="inlineStr">
        <is>
          <t>EKSJÖ</t>
        </is>
      </c>
      <c r="H139" t="inlineStr">
        <is>
          <t>Övriga Aktiebolag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46279</v>
      </c>
      <c r="F140" t="inlineStr">
        <is>
          <t>JÖNKÖPINGS LÄN</t>
        </is>
      </c>
      <c r="G140" t="inlineStr">
        <is>
          <t>EKSJÖ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30931-2023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45113</v>
      </c>
      <c r="E141" s="1" t="n">
        <v>46279</v>
      </c>
      <c r="F141" t="inlineStr">
        <is>
          <t>JÖNKÖPINGS LÄN</t>
        </is>
      </c>
      <c r="G141" t="inlineStr">
        <is>
          <t>EKSJÖ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46279</v>
      </c>
      <c r="F142" t="inlineStr">
        <is>
          <t>JÖNKÖPINGS LÄN</t>
        </is>
      </c>
      <c r="G142" t="inlineStr">
        <is>
          <t>EKSJÖ</t>
        </is>
      </c>
      <c r="H142" t="inlineStr">
        <is>
          <t>Kommuner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46279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46279</v>
      </c>
      <c r="F144" t="inlineStr">
        <is>
          <t>JÖNKÖPINGS LÄN</t>
        </is>
      </c>
      <c r="G144" t="inlineStr">
        <is>
          <t>EKSJÖ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44861</v>
      </c>
      <c r="E145" s="1" t="n">
        <v>46279</v>
      </c>
      <c r="F145" t="inlineStr">
        <is>
          <t>JÖNKÖPINGS LÄN</t>
        </is>
      </c>
      <c r="G145" t="inlineStr">
        <is>
          <t>EKSJÖ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46279</v>
      </c>
      <c r="F146" t="inlineStr">
        <is>
          <t>JÖNKÖPINGS LÄN</t>
        </is>
      </c>
      <c r="G146" t="inlineStr">
        <is>
          <t>EKSJÖ</t>
        </is>
      </c>
      <c r="H146" t="inlineStr">
        <is>
          <t>Övriga Aktiebolag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46279</v>
      </c>
      <c r="F147" t="inlineStr">
        <is>
          <t>JÖNKÖPINGS LÄN</t>
        </is>
      </c>
      <c r="G147" t="inlineStr">
        <is>
          <t>EKSJÖ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46279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46279</v>
      </c>
      <c r="F149" t="inlineStr">
        <is>
          <t>JÖNKÖPINGS LÄN</t>
        </is>
      </c>
      <c r="G149" t="inlineStr">
        <is>
          <t>EKSJÖ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45537</v>
      </c>
      <c r="E150" s="1" t="n">
        <v>46279</v>
      </c>
      <c r="F150" t="inlineStr">
        <is>
          <t>JÖNKÖPINGS LÄN</t>
        </is>
      </c>
      <c r="G150" t="inlineStr">
        <is>
          <t>EKSJÖ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46279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46279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46279</v>
      </c>
      <c r="F153" t="inlineStr">
        <is>
          <t>JÖNKÖPINGS LÄN</t>
        </is>
      </c>
      <c r="G153" t="inlineStr">
        <is>
          <t>EKSJÖ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46279</v>
      </c>
      <c r="F154" t="inlineStr">
        <is>
          <t>JÖNKÖPINGS LÄN</t>
        </is>
      </c>
      <c r="G154" t="inlineStr">
        <is>
          <t>EKSJÖ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46279</v>
      </c>
      <c r="F155" t="inlineStr">
        <is>
          <t>JÖNKÖPINGS LÄN</t>
        </is>
      </c>
      <c r="G155" t="inlineStr">
        <is>
          <t>EKSJÖ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44574</v>
      </c>
      <c r="E156" s="1" t="n">
        <v>46279</v>
      </c>
      <c r="F156" t="inlineStr">
        <is>
          <t>JÖNKÖPINGS LÄN</t>
        </is>
      </c>
      <c r="G156" t="inlineStr">
        <is>
          <t>EKSJÖ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45513</v>
      </c>
      <c r="E157" s="1" t="n">
        <v>46279</v>
      </c>
      <c r="F157" t="inlineStr">
        <is>
          <t>JÖNKÖPINGS LÄN</t>
        </is>
      </c>
      <c r="G157" t="inlineStr">
        <is>
          <t>EKSJÖ</t>
        </is>
      </c>
      <c r="H157" t="inlineStr">
        <is>
          <t>Kyrkan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45154</v>
      </c>
      <c r="E158" s="1" t="n">
        <v>46279</v>
      </c>
      <c r="F158" t="inlineStr">
        <is>
          <t>JÖNKÖPINGS LÄN</t>
        </is>
      </c>
      <c r="G158" t="inlineStr">
        <is>
          <t>EKSJÖ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46279</v>
      </c>
      <c r="F159" t="inlineStr">
        <is>
          <t>JÖNKÖPINGS LÄN</t>
        </is>
      </c>
      <c r="G159" t="inlineStr">
        <is>
          <t>EKSJÖ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46279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46279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45408</v>
      </c>
      <c r="E162" s="1" t="n">
        <v>46279</v>
      </c>
      <c r="F162" t="inlineStr">
        <is>
          <t>JÖNKÖPINGS LÄN</t>
        </is>
      </c>
      <c r="G162" t="inlineStr">
        <is>
          <t>EKSJÖ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46279</v>
      </c>
      <c r="F163" t="inlineStr">
        <is>
          <t>JÖNKÖPINGS LÄN</t>
        </is>
      </c>
      <c r="G163" t="inlineStr">
        <is>
          <t>EKSJÖ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46279</v>
      </c>
      <c r="F164" t="inlineStr">
        <is>
          <t>JÖNKÖPINGS LÄN</t>
        </is>
      </c>
      <c r="G164" t="inlineStr">
        <is>
          <t>EKSJÖ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41440-2024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45560</v>
      </c>
      <c r="E165" s="1" t="n">
        <v>46279</v>
      </c>
      <c r="F165" t="inlineStr">
        <is>
          <t>JÖNKÖPINGS LÄN</t>
        </is>
      </c>
      <c r="G165" t="inlineStr">
        <is>
          <t>EKSJÖ</t>
        </is>
      </c>
      <c r="H165" t="inlineStr">
        <is>
          <t>Kyrkan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45372</v>
      </c>
      <c r="E166" s="1" t="n">
        <v>46279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46279</v>
      </c>
      <c r="F167" t="inlineStr">
        <is>
          <t>JÖNKÖPINGS LÄN</t>
        </is>
      </c>
      <c r="G167" t="inlineStr">
        <is>
          <t>EKSJÖ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46279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45845</v>
      </c>
      <c r="E169" s="1" t="n">
        <v>46279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46279</v>
      </c>
      <c r="F170" t="inlineStr">
        <is>
          <t>JÖNKÖPINGS LÄN</t>
        </is>
      </c>
      <c r="G170" t="inlineStr">
        <is>
          <t>EKSJÖ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46279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46279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12821-2024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45384</v>
      </c>
      <c r="E173" s="1" t="n">
        <v>46279</v>
      </c>
      <c r="F173" t="inlineStr">
        <is>
          <t>JÖNKÖPINGS LÄN</t>
        </is>
      </c>
      <c r="G173" t="inlineStr">
        <is>
          <t>EKSJÖ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46279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46279</v>
      </c>
      <c r="F175" t="inlineStr">
        <is>
          <t>JÖNKÖPINGS LÄN</t>
        </is>
      </c>
      <c r="G175" t="inlineStr">
        <is>
          <t>EKSJÖ</t>
        </is>
      </c>
      <c r="H175" t="inlineStr">
        <is>
          <t>Övriga Aktiebolag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45533</v>
      </c>
      <c r="E176" s="1" t="n">
        <v>46279</v>
      </c>
      <c r="F176" t="inlineStr">
        <is>
          <t>JÖNKÖPINGS LÄN</t>
        </is>
      </c>
      <c r="G176" t="inlineStr">
        <is>
          <t>EKSJÖ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46279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46279</v>
      </c>
      <c r="F178" t="inlineStr">
        <is>
          <t>JÖNKÖPINGS LÄN</t>
        </is>
      </c>
      <c r="G178" t="inlineStr">
        <is>
          <t>EKSJÖ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46279</v>
      </c>
      <c r="F179" t="inlineStr">
        <is>
          <t>JÖNKÖPINGS LÄN</t>
        </is>
      </c>
      <c r="G179" t="inlineStr">
        <is>
          <t>EKSJÖ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46279</v>
      </c>
      <c r="F180" t="inlineStr">
        <is>
          <t>JÖNKÖPINGS LÄN</t>
        </is>
      </c>
      <c r="G180" t="inlineStr">
        <is>
          <t>EKSJÖ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44928</v>
      </c>
      <c r="E181" s="1" t="n">
        <v>46279</v>
      </c>
      <c r="F181" t="inlineStr">
        <is>
          <t>JÖNKÖPINGS LÄN</t>
        </is>
      </c>
      <c r="G181" t="inlineStr">
        <is>
          <t>EKSJÖ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46279</v>
      </c>
      <c r="F182" t="inlineStr">
        <is>
          <t>JÖNKÖPINGS LÄN</t>
        </is>
      </c>
      <c r="G182" t="inlineStr">
        <is>
          <t>EKSJÖ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46279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45364</v>
      </c>
      <c r="E184" s="1" t="n">
        <v>46279</v>
      </c>
      <c r="F184" t="inlineStr">
        <is>
          <t>JÖNKÖPINGS LÄN</t>
        </is>
      </c>
      <c r="G184" t="inlineStr">
        <is>
          <t>EKSJÖ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46279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46279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45195</v>
      </c>
      <c r="E187" s="1" t="n">
        <v>46279</v>
      </c>
      <c r="F187" t="inlineStr">
        <is>
          <t>JÖNKÖPINGS LÄN</t>
        </is>
      </c>
      <c r="G187" t="inlineStr">
        <is>
          <t>EKSJÖ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46279</v>
      </c>
      <c r="F188" t="inlineStr">
        <is>
          <t>JÖNKÖPINGS LÄN</t>
        </is>
      </c>
      <c r="G188" t="inlineStr">
        <is>
          <t>EKSJÖ</t>
        </is>
      </c>
      <c r="H188" t="inlineStr">
        <is>
          <t>Kommuner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46279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44701</v>
      </c>
      <c r="E190" s="1" t="n">
        <v>46279</v>
      </c>
      <c r="F190" t="inlineStr">
        <is>
          <t>JÖNKÖPINGS LÄN</t>
        </is>
      </c>
      <c r="G190" t="inlineStr">
        <is>
          <t>EKSJÖ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46279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46279</v>
      </c>
      <c r="F192" t="inlineStr">
        <is>
          <t>JÖNKÖPINGS LÄN</t>
        </is>
      </c>
      <c r="G192" t="inlineStr">
        <is>
          <t>EKSJÖ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45695</v>
      </c>
      <c r="E193" s="1" t="n">
        <v>46279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45785</v>
      </c>
      <c r="E194" s="1" t="n">
        <v>46279</v>
      </c>
      <c r="F194" t="inlineStr">
        <is>
          <t>JÖNKÖPINGS LÄN</t>
        </is>
      </c>
      <c r="G194" t="inlineStr">
        <is>
          <t>EKSJÖ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46279</v>
      </c>
      <c r="F195" t="inlineStr">
        <is>
          <t>JÖNKÖPINGS LÄN</t>
        </is>
      </c>
      <c r="G195" t="inlineStr">
        <is>
          <t>EKSJÖ</t>
        </is>
      </c>
      <c r="H195" t="inlineStr">
        <is>
          <t>Kyrkan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46279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17.5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46279</v>
      </c>
      <c r="F197" t="inlineStr">
        <is>
          <t>JÖNKÖPINGS LÄN</t>
        </is>
      </c>
      <c r="G197" t="inlineStr">
        <is>
          <t>EKSJÖ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45076</v>
      </c>
      <c r="E198" s="1" t="n">
        <v>46279</v>
      </c>
      <c r="F198" t="inlineStr">
        <is>
          <t>JÖNKÖPINGS LÄN</t>
        </is>
      </c>
      <c r="G198" t="inlineStr">
        <is>
          <t>EKSJÖ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45461</v>
      </c>
      <c r="E199" s="1" t="n">
        <v>46279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45860</v>
      </c>
      <c r="E200" s="1" t="n">
        <v>46279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45860</v>
      </c>
      <c r="E201" s="1" t="n">
        <v>46279</v>
      </c>
      <c r="F201" t="inlineStr">
        <is>
          <t>JÖNKÖPINGS LÄN</t>
        </is>
      </c>
      <c r="G201" t="inlineStr">
        <is>
          <t>EKSJÖ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46279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44803</v>
      </c>
      <c r="E203" s="1" t="n">
        <v>46279</v>
      </c>
      <c r="F203" t="inlineStr">
        <is>
          <t>JÖNKÖPINGS LÄN</t>
        </is>
      </c>
      <c r="G203" t="inlineStr">
        <is>
          <t>EKSJÖ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46279</v>
      </c>
      <c r="F204" t="inlineStr">
        <is>
          <t>JÖNKÖPINGS LÄN</t>
        </is>
      </c>
      <c r="G204" t="inlineStr">
        <is>
          <t>EKSJÖ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46279</v>
      </c>
      <c r="F205" t="inlineStr">
        <is>
          <t>JÖNKÖPINGS LÄN</t>
        </is>
      </c>
      <c r="G205" t="inlineStr">
        <is>
          <t>EKSJÖ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46279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46279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46279</v>
      </c>
      <c r="F208" t="inlineStr">
        <is>
          <t>JÖNKÖPINGS LÄN</t>
        </is>
      </c>
      <c r="G208" t="inlineStr">
        <is>
          <t>EKSJÖ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46279</v>
      </c>
      <c r="F209" t="inlineStr">
        <is>
          <t>JÖNKÖPINGS LÄN</t>
        </is>
      </c>
      <c r="G209" t="inlineStr">
        <is>
          <t>EKSJÖ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46279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44909</v>
      </c>
      <c r="E211" s="1" t="n">
        <v>46279</v>
      </c>
      <c r="F211" t="inlineStr">
        <is>
          <t>JÖNKÖPINGS LÄN</t>
        </is>
      </c>
      <c r="G211" t="inlineStr">
        <is>
          <t>EKSJÖ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44526-2025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45916</v>
      </c>
      <c r="E212" s="1" t="n">
        <v>46279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45628</v>
      </c>
      <c r="E213" s="1" t="n">
        <v>46279</v>
      </c>
      <c r="F213" t="inlineStr">
        <is>
          <t>JÖNKÖPINGS LÄN</t>
        </is>
      </c>
      <c r="G213" t="inlineStr">
        <is>
          <t>EKSJÖ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46279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46279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45086</v>
      </c>
      <c r="E216" s="1" t="n">
        <v>46279</v>
      </c>
      <c r="F216" t="inlineStr">
        <is>
          <t>JÖNKÖPINGS LÄN</t>
        </is>
      </c>
      <c r="G216" t="inlineStr">
        <is>
          <t>EKSJÖ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46279</v>
      </c>
      <c r="F217" t="inlineStr">
        <is>
          <t>JÖNKÖPINGS LÄN</t>
        </is>
      </c>
      <c r="G217" t="inlineStr">
        <is>
          <t>EKSJÖ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46279</v>
      </c>
      <c r="F218" t="inlineStr">
        <is>
          <t>JÖNKÖPINGS LÄN</t>
        </is>
      </c>
      <c r="G218" t="inlineStr">
        <is>
          <t>EKSJÖ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45877</v>
      </c>
      <c r="E219" s="1" t="n">
        <v>46279</v>
      </c>
      <c r="F219" t="inlineStr">
        <is>
          <t>JÖNKÖPINGS LÄN</t>
        </is>
      </c>
      <c r="G219" t="inlineStr">
        <is>
          <t>EKSJÖ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46279</v>
      </c>
      <c r="F220" t="inlineStr">
        <is>
          <t>JÖNKÖPINGS LÄN</t>
        </is>
      </c>
      <c r="G220" t="inlineStr">
        <is>
          <t>EKSJÖ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46279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46279</v>
      </c>
      <c r="F222" t="inlineStr">
        <is>
          <t>JÖNKÖPINGS LÄN</t>
        </is>
      </c>
      <c r="G222" t="inlineStr">
        <is>
          <t>EKSJÖ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46279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45762</v>
      </c>
      <c r="E224" s="1" t="n">
        <v>46279</v>
      </c>
      <c r="F224" t="inlineStr">
        <is>
          <t>JÖNKÖPINGS LÄN</t>
        </is>
      </c>
      <c r="G224" t="inlineStr">
        <is>
          <t>EKSJÖ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13273-2023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45003</v>
      </c>
      <c r="E225" s="1" t="n">
        <v>46279</v>
      </c>
      <c r="F225" t="inlineStr">
        <is>
          <t>JÖNKÖPINGS LÄN</t>
        </is>
      </c>
      <c r="G225" t="inlineStr">
        <is>
          <t>EKSJÖ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46279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44719</v>
      </c>
      <c r="E227" s="1" t="n">
        <v>46279</v>
      </c>
      <c r="F227" t="inlineStr">
        <is>
          <t>JÖNKÖPINGS LÄN</t>
        </is>
      </c>
      <c r="G227" t="inlineStr">
        <is>
          <t>EKSJÖ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45036</v>
      </c>
      <c r="E228" s="1" t="n">
        <v>46279</v>
      </c>
      <c r="F228" t="inlineStr">
        <is>
          <t>JÖNKÖPINGS LÄN</t>
        </is>
      </c>
      <c r="G228" t="inlineStr">
        <is>
          <t>EKSJÖ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45365</v>
      </c>
      <c r="E229" s="1" t="n">
        <v>46279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45096</v>
      </c>
      <c r="E230" s="1" t="n">
        <v>46279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46279</v>
      </c>
      <c r="F231" t="inlineStr">
        <is>
          <t>JÖNKÖPINGS LÄN</t>
        </is>
      </c>
      <c r="G231" t="inlineStr">
        <is>
          <t>EKSJÖ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54292-2023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45232</v>
      </c>
      <c r="E232" s="1" t="n">
        <v>46279</v>
      </c>
      <c r="F232" t="inlineStr">
        <is>
          <t>JÖNKÖPINGS LÄN</t>
        </is>
      </c>
      <c r="G232" t="inlineStr">
        <is>
          <t>EKSJÖ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46279</v>
      </c>
      <c r="F233" t="inlineStr">
        <is>
          <t>JÖNKÖPINGS LÄN</t>
        </is>
      </c>
      <c r="G233" t="inlineStr">
        <is>
          <t>EKSJÖ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46279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46279</v>
      </c>
      <c r="F235" t="inlineStr">
        <is>
          <t>JÖNKÖPINGS LÄN</t>
        </is>
      </c>
      <c r="G235" t="inlineStr">
        <is>
          <t>EKSJÖ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46279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46279</v>
      </c>
      <c r="F237" t="inlineStr">
        <is>
          <t>JÖNKÖPINGS LÄN</t>
        </is>
      </c>
      <c r="G237" t="inlineStr">
        <is>
          <t>EKSJÖ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46279</v>
      </c>
      <c r="F238" t="inlineStr">
        <is>
          <t>JÖNKÖPINGS LÄN</t>
        </is>
      </c>
      <c r="G238" t="inlineStr">
        <is>
          <t>EKSJÖ</t>
        </is>
      </c>
      <c r="H238" t="inlineStr">
        <is>
          <t>Övriga Aktiebolag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46279</v>
      </c>
      <c r="F239" t="inlineStr">
        <is>
          <t>JÖNKÖPINGS LÄN</t>
        </is>
      </c>
      <c r="G239" t="inlineStr">
        <is>
          <t>EKSJÖ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46279</v>
      </c>
      <c r="F240" t="inlineStr">
        <is>
          <t>JÖNKÖPINGS LÄN</t>
        </is>
      </c>
      <c r="G240" t="inlineStr">
        <is>
          <t>EKSJÖ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32623-2022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46279</v>
      </c>
      <c r="F241" t="inlineStr">
        <is>
          <t>JÖNKÖPINGS LÄN</t>
        </is>
      </c>
      <c r="G241" t="inlineStr">
        <is>
          <t>EKSJÖ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47390-2022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44853</v>
      </c>
      <c r="E242" s="1" t="n">
        <v>46279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46279</v>
      </c>
      <c r="F243" t="inlineStr">
        <is>
          <t>JÖNKÖPINGS LÄN</t>
        </is>
      </c>
      <c r="G243" t="inlineStr">
        <is>
          <t>EKSJÖ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46279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45156</v>
      </c>
      <c r="E245" s="1" t="n">
        <v>46279</v>
      </c>
      <c r="F245" t="inlineStr">
        <is>
          <t>JÖNKÖPINGS LÄN</t>
        </is>
      </c>
      <c r="G245" t="inlineStr">
        <is>
          <t>EKSJÖ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46279</v>
      </c>
      <c r="F246" t="inlineStr">
        <is>
          <t>JÖNKÖPINGS LÄN</t>
        </is>
      </c>
      <c r="G246" t="inlineStr">
        <is>
          <t>EKSJÖ</t>
        </is>
      </c>
      <c r="H246" t="inlineStr">
        <is>
          <t>Kyrkan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46279</v>
      </c>
      <c r="F247" t="inlineStr">
        <is>
          <t>JÖNKÖPINGS LÄN</t>
        </is>
      </c>
      <c r="G247" t="inlineStr">
        <is>
          <t>EKSJÖ</t>
        </is>
      </c>
      <c r="H247" t="inlineStr">
        <is>
          <t>Kyrkan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46279</v>
      </c>
      <c r="F248" t="inlineStr">
        <is>
          <t>JÖNKÖPINGS LÄN</t>
        </is>
      </c>
      <c r="G248" t="inlineStr">
        <is>
          <t>EKSJÖ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45715</v>
      </c>
      <c r="E249" s="1" t="n">
        <v>46279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46279</v>
      </c>
      <c r="F250" t="inlineStr">
        <is>
          <t>JÖNKÖPINGS LÄN</t>
        </is>
      </c>
      <c r="G250" t="inlineStr">
        <is>
          <t>EKSJÖ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46279</v>
      </c>
      <c r="F251" t="inlineStr">
        <is>
          <t>JÖNKÖPINGS LÄN</t>
        </is>
      </c>
      <c r="G251" t="inlineStr">
        <is>
          <t>EKSJÖ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46279</v>
      </c>
      <c r="F252" t="inlineStr">
        <is>
          <t>JÖNKÖPINGS LÄN</t>
        </is>
      </c>
      <c r="G252" t="inlineStr">
        <is>
          <t>EKSJÖ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46279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46107</v>
      </c>
      <c r="E254" s="1" t="n">
        <v>46279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46279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46279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46279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46279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7728-2025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46279</v>
      </c>
      <c r="F259" t="inlineStr">
        <is>
          <t>JÖNKÖPINGS LÄN</t>
        </is>
      </c>
      <c r="G259" t="inlineStr">
        <is>
          <t>EKSJÖ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38592-2022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44813</v>
      </c>
      <c r="E260" s="1" t="n">
        <v>46279</v>
      </c>
      <c r="F260" t="inlineStr">
        <is>
          <t>JÖNKÖPINGS LÄN</t>
        </is>
      </c>
      <c r="G260" t="inlineStr">
        <is>
          <t>EKSJÖ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46279</v>
      </c>
      <c r="F261" t="inlineStr">
        <is>
          <t>JÖNKÖPINGS LÄN</t>
        </is>
      </c>
      <c r="G261" t="inlineStr">
        <is>
          <t>EKSJÖ</t>
        </is>
      </c>
      <c r="H261" t="inlineStr">
        <is>
          <t>Kommuner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46279</v>
      </c>
      <c r="F262" t="inlineStr">
        <is>
          <t>JÖNKÖPINGS LÄN</t>
        </is>
      </c>
      <c r="G262" t="inlineStr">
        <is>
          <t>EKSJÖ</t>
        </is>
      </c>
      <c r="H262" t="inlineStr">
        <is>
          <t>Kommuner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45224</v>
      </c>
      <c r="E263" s="1" t="n">
        <v>46279</v>
      </c>
      <c r="F263" t="inlineStr">
        <is>
          <t>JÖNKÖPINGS LÄN</t>
        </is>
      </c>
      <c r="G263" t="inlineStr">
        <is>
          <t>EKSJÖ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46279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46279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46279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45714</v>
      </c>
      <c r="E267" s="1" t="n">
        <v>46279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46279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16573-2026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46279</v>
      </c>
      <c r="F269" t="inlineStr">
        <is>
          <t>JÖNKÖPINGS LÄN</t>
        </is>
      </c>
      <c r="G269" t="inlineStr">
        <is>
          <t>EKSJÖ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46279</v>
      </c>
      <c r="F270" t="inlineStr">
        <is>
          <t>JÖNKÖPINGS LÄN</t>
        </is>
      </c>
      <c r="G270" t="inlineStr">
        <is>
          <t>EKSJÖ</t>
        </is>
      </c>
      <c r="H270" t="inlineStr">
        <is>
          <t>Övriga Aktiebolag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46279</v>
      </c>
      <c r="F271" t="inlineStr">
        <is>
          <t>JÖNKÖPINGS LÄN</t>
        </is>
      </c>
      <c r="G271" t="inlineStr">
        <is>
          <t>EKSJÖ</t>
        </is>
      </c>
      <c r="H271" t="inlineStr">
        <is>
          <t>Övriga Aktiebolag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46279</v>
      </c>
      <c r="F272" t="inlineStr">
        <is>
          <t>JÖNKÖPINGS LÄN</t>
        </is>
      </c>
      <c r="G272" t="inlineStr">
        <is>
          <t>EKSJÖ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46279</v>
      </c>
      <c r="F273" t="inlineStr">
        <is>
          <t>JÖNKÖPINGS LÄN</t>
        </is>
      </c>
      <c r="G273" t="inlineStr">
        <is>
          <t>EKSJÖ</t>
        </is>
      </c>
      <c r="H273" t="inlineStr">
        <is>
          <t>Övriga Aktiebolag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46279</v>
      </c>
      <c r="F274" t="inlineStr">
        <is>
          <t>JÖNKÖPINGS LÄN</t>
        </is>
      </c>
      <c r="G274" t="inlineStr">
        <is>
          <t>EKSJÖ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46279</v>
      </c>
      <c r="F275" t="inlineStr">
        <is>
          <t>JÖNKÖPINGS LÄN</t>
        </is>
      </c>
      <c r="G275" t="inlineStr">
        <is>
          <t>EKSJÖ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46279</v>
      </c>
      <c r="F276" t="inlineStr">
        <is>
          <t>JÖNKÖPINGS LÄN</t>
        </is>
      </c>
      <c r="G276" t="inlineStr">
        <is>
          <t>EKSJÖ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46279</v>
      </c>
      <c r="F277" t="inlineStr">
        <is>
          <t>JÖNKÖPINGS LÄN</t>
        </is>
      </c>
      <c r="G277" t="inlineStr">
        <is>
          <t>EKSJÖ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46279</v>
      </c>
      <c r="F278" t="inlineStr">
        <is>
          <t>JÖNKÖPINGS LÄN</t>
        </is>
      </c>
      <c r="G278" t="inlineStr">
        <is>
          <t>EKSJÖ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45334</v>
      </c>
      <c r="E279" s="1" t="n">
        <v>46279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46279</v>
      </c>
      <c r="F280" t="inlineStr">
        <is>
          <t>JÖNKÖPINGS LÄN</t>
        </is>
      </c>
      <c r="G280" t="inlineStr">
        <is>
          <t>EKSJÖ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46279</v>
      </c>
      <c r="F281" t="inlineStr">
        <is>
          <t>JÖNKÖPINGS LÄN</t>
        </is>
      </c>
      <c r="G281" t="inlineStr">
        <is>
          <t>EKSJÖ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45197</v>
      </c>
      <c r="E282" s="1" t="n">
        <v>46279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46279</v>
      </c>
      <c r="F283" t="inlineStr">
        <is>
          <t>JÖNKÖPINGS LÄN</t>
        </is>
      </c>
      <c r="G283" t="inlineStr">
        <is>
          <t>EKSJÖ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46279</v>
      </c>
      <c r="F284" t="inlineStr">
        <is>
          <t>JÖNKÖPINGS LÄN</t>
        </is>
      </c>
      <c r="G284" t="inlineStr">
        <is>
          <t>EKSJÖ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45072</v>
      </c>
      <c r="E285" s="1" t="n">
        <v>46279</v>
      </c>
      <c r="F285" t="inlineStr">
        <is>
          <t>JÖNKÖPINGS LÄN</t>
        </is>
      </c>
      <c r="G285" t="inlineStr">
        <is>
          <t>EKSJÖ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45418</v>
      </c>
      <c r="E286" s="1" t="n">
        <v>46279</v>
      </c>
      <c r="F286" t="inlineStr">
        <is>
          <t>JÖNKÖPINGS LÄN</t>
        </is>
      </c>
      <c r="G286" t="inlineStr">
        <is>
          <t>EKSJÖ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46279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45068</v>
      </c>
      <c r="E288" s="1" t="n">
        <v>46279</v>
      </c>
      <c r="F288" t="inlineStr">
        <is>
          <t>JÖNKÖPINGS LÄN</t>
        </is>
      </c>
      <c r="G288" t="inlineStr">
        <is>
          <t>EKSJÖ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46279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46279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45071</v>
      </c>
      <c r="E291" s="1" t="n">
        <v>46279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46279</v>
      </c>
      <c r="F292" t="inlineStr">
        <is>
          <t>JÖNKÖPINGS LÄN</t>
        </is>
      </c>
      <c r="G292" t="inlineStr">
        <is>
          <t>EKSJÖ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46279</v>
      </c>
      <c r="F293" t="inlineStr">
        <is>
          <t>JÖNKÖPINGS LÄN</t>
        </is>
      </c>
      <c r="G293" t="inlineStr">
        <is>
          <t>EKSJÖ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46127</v>
      </c>
      <c r="E294" s="1" t="n">
        <v>46279</v>
      </c>
      <c r="F294" t="inlineStr">
        <is>
          <t>JÖNKÖPINGS LÄN</t>
        </is>
      </c>
      <c r="G294" t="inlineStr">
        <is>
          <t>EKSJÖ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46279</v>
      </c>
      <c r="F295" t="inlineStr">
        <is>
          <t>JÖNKÖPINGS LÄN</t>
        </is>
      </c>
      <c r="G295" t="inlineStr">
        <is>
          <t>EKSJÖ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46279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46279</v>
      </c>
      <c r="F297" t="inlineStr">
        <is>
          <t>JÖNKÖPINGS LÄN</t>
        </is>
      </c>
      <c r="G297" t="inlineStr">
        <is>
          <t>EKSJÖ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46279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45741</v>
      </c>
      <c r="E299" s="1" t="n">
        <v>46279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46279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45991</v>
      </c>
      <c r="E301" s="1" t="n">
        <v>46279</v>
      </c>
      <c r="F301" t="inlineStr">
        <is>
          <t>JÖNKÖPINGS LÄN</t>
        </is>
      </c>
      <c r="G301" t="inlineStr">
        <is>
          <t>EKSJÖ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56469-2021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44480</v>
      </c>
      <c r="E302" s="1" t="n">
        <v>46279</v>
      </c>
      <c r="F302" t="inlineStr">
        <is>
          <t>JÖNKÖPINGS LÄN</t>
        </is>
      </c>
      <c r="G302" t="inlineStr">
        <is>
          <t>EKSJÖ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46279</v>
      </c>
      <c r="F303" t="inlineStr">
        <is>
          <t>JÖNKÖPINGS LÄN</t>
        </is>
      </c>
      <c r="G303" t="inlineStr">
        <is>
          <t>EKSJÖ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46279</v>
      </c>
      <c r="F304" t="inlineStr">
        <is>
          <t>JÖNKÖPINGS LÄN</t>
        </is>
      </c>
      <c r="G304" t="inlineStr">
        <is>
          <t>EKSJÖ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46279</v>
      </c>
      <c r="F305" t="inlineStr">
        <is>
          <t>JÖNKÖPINGS LÄN</t>
        </is>
      </c>
      <c r="G305" t="inlineStr">
        <is>
          <t>EKSJÖ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46279</v>
      </c>
      <c r="F306" t="inlineStr">
        <is>
          <t>JÖNKÖPINGS LÄN</t>
        </is>
      </c>
      <c r="G306" t="inlineStr">
        <is>
          <t>EKSJÖ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46279</v>
      </c>
      <c r="F307" t="inlineStr">
        <is>
          <t>JÖNKÖPINGS LÄN</t>
        </is>
      </c>
      <c r="G307" t="inlineStr">
        <is>
          <t>EKSJÖ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45882</v>
      </c>
      <c r="E308" s="1" t="n">
        <v>46279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46279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46279</v>
      </c>
      <c r="F310" t="inlineStr">
        <is>
          <t>JÖNKÖPINGS LÄN</t>
        </is>
      </c>
      <c r="G310" t="inlineStr">
        <is>
          <t>EKSJÖ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62892-2025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46279</v>
      </c>
      <c r="F311" t="inlineStr">
        <is>
          <t>JÖNKÖPINGS LÄN</t>
        </is>
      </c>
      <c r="G311" t="inlineStr">
        <is>
          <t>EKSJÖ</t>
        </is>
      </c>
      <c r="H311" t="inlineStr">
        <is>
          <t>Kommuner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46279</v>
      </c>
      <c r="F312" t="inlineStr">
        <is>
          <t>JÖNKÖPINGS LÄN</t>
        </is>
      </c>
      <c r="G312" t="inlineStr">
        <is>
          <t>EKSJÖ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46279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46014</v>
      </c>
      <c r="E314" s="1" t="n">
        <v>46279</v>
      </c>
      <c r="F314" t="inlineStr">
        <is>
          <t>JÖNKÖPINGS LÄN</t>
        </is>
      </c>
      <c r="G314" t="inlineStr">
        <is>
          <t>EKSJÖ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46279</v>
      </c>
      <c r="F315" t="inlineStr">
        <is>
          <t>JÖNKÖPINGS LÄN</t>
        </is>
      </c>
      <c r="G315" t="inlineStr">
        <is>
          <t>EKSJÖ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46279</v>
      </c>
      <c r="F316" t="inlineStr">
        <is>
          <t>JÖNKÖPINGS LÄN</t>
        </is>
      </c>
      <c r="G316" t="inlineStr">
        <is>
          <t>EKSJÖ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46279</v>
      </c>
      <c r="F317" t="inlineStr">
        <is>
          <t>JÖNKÖPINGS LÄN</t>
        </is>
      </c>
      <c r="G317" t="inlineStr">
        <is>
          <t>EKSJÖ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46279</v>
      </c>
      <c r="F318" t="inlineStr">
        <is>
          <t>JÖNKÖPINGS LÄN</t>
        </is>
      </c>
      <c r="G318" t="inlineStr">
        <is>
          <t>EKSJÖ</t>
        </is>
      </c>
      <c r="H318" t="inlineStr">
        <is>
          <t>Kyrkan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46279</v>
      </c>
      <c r="F319" t="inlineStr">
        <is>
          <t>JÖNKÖPINGS LÄN</t>
        </is>
      </c>
      <c r="G319" t="inlineStr">
        <is>
          <t>EKSJÖ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44953</v>
      </c>
      <c r="E320" s="1" t="n">
        <v>46279</v>
      </c>
      <c r="F320" t="inlineStr">
        <is>
          <t>JÖNKÖPINGS LÄN</t>
        </is>
      </c>
      <c r="G320" t="inlineStr">
        <is>
          <t>EKSJÖ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45391</v>
      </c>
      <c r="E321" s="1" t="n">
        <v>46279</v>
      </c>
      <c r="F321" t="inlineStr">
        <is>
          <t>JÖNKÖPINGS LÄN</t>
        </is>
      </c>
      <c r="G321" t="inlineStr">
        <is>
          <t>EKSJÖ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46279</v>
      </c>
      <c r="F322" t="inlineStr">
        <is>
          <t>JÖNKÖPINGS LÄN</t>
        </is>
      </c>
      <c r="G322" t="inlineStr">
        <is>
          <t>EKSJÖ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46279</v>
      </c>
      <c r="F323" t="inlineStr">
        <is>
          <t>JÖNKÖPINGS LÄN</t>
        </is>
      </c>
      <c r="G323" t="inlineStr">
        <is>
          <t>EKSJÖ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46279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46279</v>
      </c>
      <c r="F325" t="inlineStr">
        <is>
          <t>JÖNKÖPINGS LÄN</t>
        </is>
      </c>
      <c r="G325" t="inlineStr">
        <is>
          <t>EKSJÖ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46279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46279</v>
      </c>
      <c r="F327" t="inlineStr">
        <is>
          <t>JÖNKÖPINGS LÄN</t>
        </is>
      </c>
      <c r="G327" t="inlineStr">
        <is>
          <t>EKSJÖ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46279</v>
      </c>
      <c r="F328" t="inlineStr">
        <is>
          <t>JÖNKÖPINGS LÄN</t>
        </is>
      </c>
      <c r="G328" t="inlineStr">
        <is>
          <t>EKSJÖ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46279</v>
      </c>
      <c r="F329" t="inlineStr">
        <is>
          <t>JÖNKÖPINGS LÄN</t>
        </is>
      </c>
      <c r="G329" t="inlineStr">
        <is>
          <t>EKSJÖ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46279</v>
      </c>
      <c r="F330" t="inlineStr">
        <is>
          <t>JÖNKÖPINGS LÄN</t>
        </is>
      </c>
      <c r="G330" t="inlineStr">
        <is>
          <t>EKSJÖ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35617-2023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46279</v>
      </c>
      <c r="F331" t="inlineStr">
        <is>
          <t>JÖNKÖPINGS LÄN</t>
        </is>
      </c>
      <c r="G331" t="inlineStr">
        <is>
          <t>EKSJÖ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46279</v>
      </c>
      <c r="F332" t="inlineStr">
        <is>
          <t>JÖNKÖPINGS LÄN</t>
        </is>
      </c>
      <c r="G332" t="inlineStr">
        <is>
          <t>EKSJÖ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46279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45561</v>
      </c>
      <c r="E334" s="1" t="n">
        <v>46279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46279</v>
      </c>
      <c r="F335" t="inlineStr">
        <is>
          <t>JÖNKÖPINGS LÄN</t>
        </is>
      </c>
      <c r="G335" t="inlineStr">
        <is>
          <t>EKSJÖ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45818</v>
      </c>
      <c r="E336" s="1" t="n">
        <v>46279</v>
      </c>
      <c r="F336" t="inlineStr">
        <is>
          <t>JÖNKÖPINGS LÄN</t>
        </is>
      </c>
      <c r="G336" t="inlineStr">
        <is>
          <t>EKSJÖ</t>
        </is>
      </c>
      <c r="H336" t="inlineStr">
        <is>
          <t>Övriga Aktiebolag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46279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46038</v>
      </c>
      <c r="E338" s="1" t="n">
        <v>46279</v>
      </c>
      <c r="F338" t="inlineStr">
        <is>
          <t>JÖNKÖPINGS LÄN</t>
        </is>
      </c>
      <c r="G338" t="inlineStr">
        <is>
          <t>EKSJÖ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46279</v>
      </c>
      <c r="F339" t="inlineStr">
        <is>
          <t>JÖNKÖPINGS LÄN</t>
        </is>
      </c>
      <c r="G339" t="inlineStr">
        <is>
          <t>EKSJÖ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46279</v>
      </c>
      <c r="F340" t="inlineStr">
        <is>
          <t>JÖNKÖPINGS LÄN</t>
        </is>
      </c>
      <c r="G340" t="inlineStr">
        <is>
          <t>EKSJÖ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61913-2022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46279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36503-2024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45537</v>
      </c>
      <c r="E342" s="1" t="n">
        <v>46279</v>
      </c>
      <c r="F342" t="inlineStr">
        <is>
          <t>JÖNKÖPINGS LÄN</t>
        </is>
      </c>
      <c r="G342" t="inlineStr">
        <is>
          <t>EKSJÖ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46279</v>
      </c>
      <c r="F343" t="inlineStr">
        <is>
          <t>JÖNKÖPINGS LÄN</t>
        </is>
      </c>
      <c r="G343" t="inlineStr">
        <is>
          <t>EKSJÖ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46279</v>
      </c>
      <c r="F344" t="inlineStr">
        <is>
          <t>JÖNKÖPINGS LÄN</t>
        </is>
      </c>
      <c r="G344" t="inlineStr">
        <is>
          <t>EKSJÖ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46279</v>
      </c>
      <c r="F345" t="inlineStr">
        <is>
          <t>JÖNKÖPINGS LÄN</t>
        </is>
      </c>
      <c r="G345" t="inlineStr">
        <is>
          <t>EKSJÖ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46279</v>
      </c>
      <c r="F346" t="inlineStr">
        <is>
          <t>JÖNKÖPINGS LÄN</t>
        </is>
      </c>
      <c r="G346" t="inlineStr">
        <is>
          <t>EKSJÖ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45334</v>
      </c>
      <c r="E347" s="1" t="n">
        <v>46279</v>
      </c>
      <c r="F347" t="inlineStr">
        <is>
          <t>JÖNKÖPINGS LÄN</t>
        </is>
      </c>
      <c r="G347" t="inlineStr">
        <is>
          <t>EKSJÖ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46279</v>
      </c>
      <c r="F348" t="inlineStr">
        <is>
          <t>JÖNKÖPINGS LÄN</t>
        </is>
      </c>
      <c r="G348" t="inlineStr">
        <is>
          <t>EKSJÖ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46279</v>
      </c>
      <c r="F349" t="inlineStr">
        <is>
          <t>JÖNKÖPINGS LÄN</t>
        </is>
      </c>
      <c r="G349" t="inlineStr">
        <is>
          <t>EKSJÖ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46279</v>
      </c>
      <c r="F350" t="inlineStr">
        <is>
          <t>JÖNKÖPINGS LÄN</t>
        </is>
      </c>
      <c r="G350" t="inlineStr">
        <is>
          <t>EKSJÖ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64419-2021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44511</v>
      </c>
      <c r="E351" s="1" t="n">
        <v>46279</v>
      </c>
      <c r="F351" t="inlineStr">
        <is>
          <t>JÖNKÖPINGS LÄN</t>
        </is>
      </c>
      <c r="G351" t="inlineStr">
        <is>
          <t>EKSJÖ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46279</v>
      </c>
      <c r="F352" t="inlineStr">
        <is>
          <t>JÖNKÖPINGS LÄN</t>
        </is>
      </c>
      <c r="G352" t="inlineStr">
        <is>
          <t>EKSJÖ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45468</v>
      </c>
      <c r="E353" s="1" t="n">
        <v>46279</v>
      </c>
      <c r="F353" t="inlineStr">
        <is>
          <t>JÖNKÖPINGS LÄN</t>
        </is>
      </c>
      <c r="G353" t="inlineStr">
        <is>
          <t>EKSJÖ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45315</v>
      </c>
      <c r="E354" s="1" t="n">
        <v>46279</v>
      </c>
      <c r="F354" t="inlineStr">
        <is>
          <t>JÖNKÖPINGS LÄN</t>
        </is>
      </c>
      <c r="G354" t="inlineStr">
        <is>
          <t>EKSJÖ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45882</v>
      </c>
      <c r="E355" s="1" t="n">
        <v>46279</v>
      </c>
      <c r="F355" t="inlineStr">
        <is>
          <t>JÖNKÖPINGS LÄN</t>
        </is>
      </c>
      <c r="G355" t="inlineStr">
        <is>
          <t>EKSJÖ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45664</v>
      </c>
      <c r="E356" s="1" t="n">
        <v>46279</v>
      </c>
      <c r="F356" t="inlineStr">
        <is>
          <t>JÖNKÖPINGS LÄN</t>
        </is>
      </c>
      <c r="G356" t="inlineStr">
        <is>
          <t>EKSJÖ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8165-2022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44609</v>
      </c>
      <c r="E357" s="1" t="n">
        <v>46279</v>
      </c>
      <c r="F357" t="inlineStr">
        <is>
          <t>JÖNKÖPINGS LÄN</t>
        </is>
      </c>
      <c r="G357" t="inlineStr">
        <is>
          <t>EKSJÖ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58607-2023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45251</v>
      </c>
      <c r="E358" s="1" t="n">
        <v>46279</v>
      </c>
      <c r="F358" t="inlineStr">
        <is>
          <t>JÖNKÖPINGS LÄN</t>
        </is>
      </c>
      <c r="G358" t="inlineStr">
        <is>
          <t>EKSJÖ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38340-2023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45161</v>
      </c>
      <c r="E359" s="1" t="n">
        <v>46279</v>
      </c>
      <c r="F359" t="inlineStr">
        <is>
          <t>JÖNKÖPINGS LÄN</t>
        </is>
      </c>
      <c r="G359" t="inlineStr">
        <is>
          <t>EKSJÖ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45344</v>
      </c>
      <c r="E360" s="1" t="n">
        <v>46279</v>
      </c>
      <c r="F360" t="inlineStr">
        <is>
          <t>JÖNKÖPINGS LÄN</t>
        </is>
      </c>
      <c r="G360" t="inlineStr">
        <is>
          <t>EKSJÖ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46279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45402</v>
      </c>
      <c r="E362" s="1" t="n">
        <v>46279</v>
      </c>
      <c r="F362" t="inlineStr">
        <is>
          <t>JÖNKÖPINGS LÄN</t>
        </is>
      </c>
      <c r="G362" t="inlineStr">
        <is>
          <t>EKSJÖ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45635</v>
      </c>
      <c r="E363" s="1" t="n">
        <v>46279</v>
      </c>
      <c r="F363" t="inlineStr">
        <is>
          <t>JÖNKÖPINGS LÄN</t>
        </is>
      </c>
      <c r="G363" t="inlineStr">
        <is>
          <t>EKSJÖ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46279</v>
      </c>
      <c r="F364" t="inlineStr">
        <is>
          <t>JÖNKÖPINGS LÄN</t>
        </is>
      </c>
      <c r="G364" t="inlineStr">
        <is>
          <t>EKSJÖ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46279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46279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46279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16.1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44999</v>
      </c>
      <c r="E368" s="1" t="n">
        <v>46279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44999</v>
      </c>
      <c r="E369" s="1" t="n">
        <v>46279</v>
      </c>
      <c r="F369" t="inlineStr">
        <is>
          <t>JÖNKÖPINGS LÄN</t>
        </is>
      </c>
      <c r="G369" t="inlineStr">
        <is>
          <t>EKSJÖ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45329</v>
      </c>
      <c r="E370" s="1" t="n">
        <v>46279</v>
      </c>
      <c r="F370" t="inlineStr">
        <is>
          <t>JÖNKÖPINGS LÄN</t>
        </is>
      </c>
      <c r="G370" t="inlineStr">
        <is>
          <t>EKSJÖ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46279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46279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46279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46279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45714</v>
      </c>
      <c r="E375" s="1" t="n">
        <v>46279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46279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45345</v>
      </c>
      <c r="E377" s="1" t="n">
        <v>46279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44581</v>
      </c>
      <c r="E378" s="1" t="n">
        <v>46279</v>
      </c>
      <c r="F378" t="inlineStr">
        <is>
          <t>JÖNKÖPINGS LÄN</t>
        </is>
      </c>
      <c r="G378" t="inlineStr">
        <is>
          <t>EKSJÖ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46013</v>
      </c>
      <c r="E379" s="1" t="n">
        <v>46279</v>
      </c>
      <c r="F379" t="inlineStr">
        <is>
          <t>JÖNKÖPINGS LÄN</t>
        </is>
      </c>
      <c r="G379" t="inlineStr">
        <is>
          <t>EKSJÖ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9058-2022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44615</v>
      </c>
      <c r="E380" s="1" t="n">
        <v>46279</v>
      </c>
      <c r="F380" t="inlineStr">
        <is>
          <t>JÖNKÖPINGS LÄN</t>
        </is>
      </c>
      <c r="G380" t="inlineStr">
        <is>
          <t>EKSJÖ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46279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41030-2023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45173</v>
      </c>
      <c r="E382" s="1" t="n">
        <v>46279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45078</v>
      </c>
      <c r="E383" s="1" t="n">
        <v>46279</v>
      </c>
      <c r="F383" t="inlineStr">
        <is>
          <t>JÖNKÖPINGS LÄN</t>
        </is>
      </c>
      <c r="G383" t="inlineStr">
        <is>
          <t>EKSJÖ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45204</v>
      </c>
      <c r="E384" s="1" t="n">
        <v>46279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60920-2025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45996</v>
      </c>
      <c r="E385" s="1" t="n">
        <v>46279</v>
      </c>
      <c r="F385" t="inlineStr">
        <is>
          <t>JÖNKÖPINGS LÄN</t>
        </is>
      </c>
      <c r="G385" t="inlineStr">
        <is>
          <t>EKSJÖ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46279</v>
      </c>
      <c r="F386" t="inlineStr">
        <is>
          <t>JÖNKÖPINGS LÄN</t>
        </is>
      </c>
      <c r="G386" t="inlineStr">
        <is>
          <t>EKSJÖ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46279</v>
      </c>
      <c r="F387" t="inlineStr">
        <is>
          <t>JÖNKÖPINGS LÄN</t>
        </is>
      </c>
      <c r="G387" t="inlineStr">
        <is>
          <t>EKSJÖ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46279</v>
      </c>
      <c r="F388" t="inlineStr">
        <is>
          <t>JÖNKÖPINGS LÄN</t>
        </is>
      </c>
      <c r="G388" t="inlineStr">
        <is>
          <t>EKSJÖ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45176</v>
      </c>
      <c r="E389" s="1" t="n">
        <v>46279</v>
      </c>
      <c r="F389" t="inlineStr">
        <is>
          <t>JÖNKÖPINGS LÄN</t>
        </is>
      </c>
      <c r="G389" t="inlineStr">
        <is>
          <t>EKSJÖ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46279</v>
      </c>
      <c r="F390" t="inlineStr">
        <is>
          <t>JÖNKÖPINGS LÄN</t>
        </is>
      </c>
      <c r="G390" t="inlineStr">
        <is>
          <t>EKSJÖ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46279</v>
      </c>
      <c r="F391" t="inlineStr">
        <is>
          <t>JÖNKÖPINGS LÄN</t>
        </is>
      </c>
      <c r="G391" t="inlineStr">
        <is>
          <t>EKSJÖ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46279</v>
      </c>
      <c r="F392" t="inlineStr">
        <is>
          <t>JÖNKÖPINGS LÄN</t>
        </is>
      </c>
      <c r="G392" t="inlineStr">
        <is>
          <t>EKSJÖ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46279</v>
      </c>
      <c r="F393" t="inlineStr">
        <is>
          <t>JÖNKÖPINGS LÄN</t>
        </is>
      </c>
      <c r="G393" t="inlineStr">
        <is>
          <t>EKSJÖ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46279</v>
      </c>
      <c r="F394" t="inlineStr">
        <is>
          <t>JÖNKÖPINGS LÄN</t>
        </is>
      </c>
      <c r="G394" t="inlineStr">
        <is>
          <t>EKSJÖ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46279</v>
      </c>
      <c r="F395" t="inlineStr">
        <is>
          <t>JÖNKÖPINGS LÄN</t>
        </is>
      </c>
      <c r="G395" t="inlineStr">
        <is>
          <t>EKSJÖ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46279</v>
      </c>
      <c r="F396" t="inlineStr">
        <is>
          <t>JÖNKÖPINGS LÄN</t>
        </is>
      </c>
      <c r="G396" t="inlineStr">
        <is>
          <t>EKSJÖ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46279</v>
      </c>
      <c r="F397" t="inlineStr">
        <is>
          <t>JÖNKÖPINGS LÄN</t>
        </is>
      </c>
      <c r="G397" t="inlineStr">
        <is>
          <t>EKSJÖ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38659-2023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46279</v>
      </c>
      <c r="F398" t="inlineStr">
        <is>
          <t>JÖNKÖPINGS LÄN</t>
        </is>
      </c>
      <c r="G398" t="inlineStr">
        <is>
          <t>EKSJÖ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46279</v>
      </c>
      <c r="F399" t="inlineStr">
        <is>
          <t>JÖNKÖPINGS LÄN</t>
        </is>
      </c>
      <c r="G399" t="inlineStr">
        <is>
          <t>EKSJÖ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54292-2023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45232</v>
      </c>
      <c r="E400" s="1" t="n">
        <v>46279</v>
      </c>
      <c r="F400" t="inlineStr">
        <is>
          <t>JÖNKÖPINGS LÄN</t>
        </is>
      </c>
      <c r="G400" t="inlineStr">
        <is>
          <t>EKSJÖ</t>
        </is>
      </c>
      <c r="I400" t="n">
        <v>18.3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46279</v>
      </c>
      <c r="F401" t="inlineStr">
        <is>
          <t>JÖNKÖPINGS LÄN</t>
        </is>
      </c>
      <c r="G401" t="inlineStr">
        <is>
          <t>EKSJÖ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45420</v>
      </c>
      <c r="E402" s="1" t="n">
        <v>46279</v>
      </c>
      <c r="F402" t="inlineStr">
        <is>
          <t>JÖNKÖPINGS LÄN</t>
        </is>
      </c>
      <c r="G402" t="inlineStr">
        <is>
          <t>EKSJÖ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46279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45223</v>
      </c>
      <c r="E404" s="1" t="n">
        <v>46279</v>
      </c>
      <c r="F404" t="inlineStr">
        <is>
          <t>JÖNKÖPINGS LÄN</t>
        </is>
      </c>
      <c r="G404" t="inlineStr">
        <is>
          <t>EKSJÖ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46279</v>
      </c>
      <c r="F405" t="inlineStr">
        <is>
          <t>JÖNKÖPINGS LÄN</t>
        </is>
      </c>
      <c r="G405" t="inlineStr">
        <is>
          <t>EKSJÖ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45523</v>
      </c>
      <c r="E406" s="1" t="n">
        <v>46279</v>
      </c>
      <c r="F406" t="inlineStr">
        <is>
          <t>JÖNKÖPINGS LÄN</t>
        </is>
      </c>
      <c r="G406" t="inlineStr">
        <is>
          <t>EKSJÖ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46279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45195</v>
      </c>
      <c r="E408" s="1" t="n">
        <v>46279</v>
      </c>
      <c r="F408" t="inlineStr">
        <is>
          <t>JÖNKÖPINGS LÄN</t>
        </is>
      </c>
      <c r="G408" t="inlineStr">
        <is>
          <t>EKSJÖ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46279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46279</v>
      </c>
      <c r="F410" t="inlineStr">
        <is>
          <t>JÖNKÖPINGS LÄN</t>
        </is>
      </c>
      <c r="G410" t="inlineStr">
        <is>
          <t>EKSJÖ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45680</v>
      </c>
      <c r="E411" s="1" t="n">
        <v>46279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46279</v>
      </c>
      <c r="F412" t="inlineStr">
        <is>
          <t>JÖNKÖPINGS LÄN</t>
        </is>
      </c>
      <c r="G412" t="inlineStr">
        <is>
          <t>EKSJÖ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46279</v>
      </c>
      <c r="F413" t="inlineStr">
        <is>
          <t>JÖNKÖPINGS LÄN</t>
        </is>
      </c>
      <c r="G413" t="inlineStr">
        <is>
          <t>EKSJÖ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44685</v>
      </c>
      <c r="E414" s="1" t="n">
        <v>46279</v>
      </c>
      <c r="F414" t="inlineStr">
        <is>
          <t>JÖNKÖPINGS LÄN</t>
        </is>
      </c>
      <c r="G414" t="inlineStr">
        <is>
          <t>EKSJÖ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54916-2023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45236</v>
      </c>
      <c r="E415" s="1" t="n">
        <v>46279</v>
      </c>
      <c r="F415" t="inlineStr">
        <is>
          <t>JÖNKÖPINGS LÄN</t>
        </is>
      </c>
      <c r="G415" t="inlineStr">
        <is>
          <t>EKSJÖ</t>
        </is>
      </c>
      <c r="H415" t="inlineStr">
        <is>
          <t>Övriga Aktiebolag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45707</v>
      </c>
      <c r="E416" s="1" t="n">
        <v>46279</v>
      </c>
      <c r="F416" t="inlineStr">
        <is>
          <t>JÖNKÖPINGS LÄN</t>
        </is>
      </c>
      <c r="G416" t="inlineStr">
        <is>
          <t>EKSJÖ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59905-2022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46279</v>
      </c>
      <c r="F417" t="inlineStr">
        <is>
          <t>JÖNKÖPINGS LÄN</t>
        </is>
      </c>
      <c r="G417" t="inlineStr">
        <is>
          <t>EKSJÖ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46279</v>
      </c>
      <c r="F418" t="inlineStr">
        <is>
          <t>JÖNKÖPINGS LÄN</t>
        </is>
      </c>
      <c r="G418" t="inlineStr">
        <is>
          <t>EKSJÖ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46279</v>
      </c>
      <c r="F419" t="inlineStr">
        <is>
          <t>JÖNKÖPINGS LÄN</t>
        </is>
      </c>
      <c r="G419" t="inlineStr">
        <is>
          <t>EKSJÖ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46279</v>
      </c>
      <c r="F420" t="inlineStr">
        <is>
          <t>JÖNKÖPINGS LÄN</t>
        </is>
      </c>
      <c r="G420" t="inlineStr">
        <is>
          <t>EKSJÖ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45315</v>
      </c>
      <c r="E421" s="1" t="n">
        <v>46279</v>
      </c>
      <c r="F421" t="inlineStr">
        <is>
          <t>JÖNKÖPINGS LÄN</t>
        </is>
      </c>
      <c r="G421" t="inlineStr">
        <is>
          <t>EKSJÖ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46178</v>
      </c>
      <c r="E422" s="1" t="n">
        <v>46279</v>
      </c>
      <c r="F422" t="inlineStr">
        <is>
          <t>JÖNKÖPINGS LÄN</t>
        </is>
      </c>
      <c r="G422" t="inlineStr">
        <is>
          <t>EKSJÖ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45314</v>
      </c>
      <c r="E423" s="1" t="n">
        <v>46279</v>
      </c>
      <c r="F423" t="inlineStr">
        <is>
          <t>JÖNKÖPINGS LÄN</t>
        </is>
      </c>
      <c r="G423" t="inlineStr">
        <is>
          <t>EKSJÖ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45314</v>
      </c>
      <c r="E424" s="1" t="n">
        <v>46279</v>
      </c>
      <c r="F424" t="inlineStr">
        <is>
          <t>JÖNKÖPINGS LÄN</t>
        </is>
      </c>
      <c r="G424" t="inlineStr">
        <is>
          <t>EKSJÖ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25613-2024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45463</v>
      </c>
      <c r="E425" s="1" t="n">
        <v>46279</v>
      </c>
      <c r="F425" t="inlineStr">
        <is>
          <t>JÖNKÖPINGS LÄN</t>
        </is>
      </c>
      <c r="G425" t="inlineStr">
        <is>
          <t>EKSJÖ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46279</v>
      </c>
      <c r="F426" t="inlineStr">
        <is>
          <t>JÖNKÖPINGS LÄN</t>
        </is>
      </c>
      <c r="G426" t="inlineStr">
        <is>
          <t>EKSJÖ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45328</v>
      </c>
      <c r="E427" s="1" t="n">
        <v>46279</v>
      </c>
      <c r="F427" t="inlineStr">
        <is>
          <t>JÖNKÖPINGS LÄN</t>
        </is>
      </c>
      <c r="G427" t="inlineStr">
        <is>
          <t>EKSJÖ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45758</v>
      </c>
      <c r="E428" s="1" t="n">
        <v>46279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46279</v>
      </c>
      <c r="F429" t="inlineStr">
        <is>
          <t>JÖNKÖPINGS LÄN</t>
        </is>
      </c>
      <c r="G429" t="inlineStr">
        <is>
          <t>EKSJÖ</t>
        </is>
      </c>
      <c r="H429" t="inlineStr">
        <is>
          <t>Kyrkan</t>
        </is>
      </c>
      <c r="I429" t="n">
        <v>15.2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46279</v>
      </c>
      <c r="F430" t="inlineStr">
        <is>
          <t>JÖNKÖPINGS LÄN</t>
        </is>
      </c>
      <c r="G430" t="inlineStr">
        <is>
          <t>EKSJÖ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46279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44746</v>
      </c>
      <c r="E432" s="1" t="n">
        <v>46279</v>
      </c>
      <c r="F432" t="inlineStr">
        <is>
          <t>JÖNKÖPINGS LÄN</t>
        </is>
      </c>
      <c r="G432" t="inlineStr">
        <is>
          <t>EKSJÖ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46279</v>
      </c>
      <c r="F433" t="inlineStr">
        <is>
          <t>JÖNKÖPINGS LÄN</t>
        </is>
      </c>
      <c r="G433" t="inlineStr">
        <is>
          <t>EKSJÖ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46279</v>
      </c>
      <c r="F434" t="inlineStr">
        <is>
          <t>JÖNKÖPINGS LÄN</t>
        </is>
      </c>
      <c r="G434" t="inlineStr">
        <is>
          <t>EKSJÖ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46279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44888</v>
      </c>
      <c r="E436" s="1" t="n">
        <v>46279</v>
      </c>
      <c r="F436" t="inlineStr">
        <is>
          <t>JÖNKÖPINGS LÄN</t>
        </is>
      </c>
      <c r="G436" t="inlineStr">
        <is>
          <t>EKSJÖ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46279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46279</v>
      </c>
      <c r="F438" t="inlineStr">
        <is>
          <t>JÖNKÖPINGS LÄN</t>
        </is>
      </c>
      <c r="G438" t="inlineStr">
        <is>
          <t>EKSJÖ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46279</v>
      </c>
      <c r="F439" t="inlineStr">
        <is>
          <t>JÖNKÖPINGS LÄN</t>
        </is>
      </c>
      <c r="G439" t="inlineStr">
        <is>
          <t>EKSJÖ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46279</v>
      </c>
      <c r="F440" t="inlineStr">
        <is>
          <t>JÖNKÖPINGS LÄN</t>
        </is>
      </c>
      <c r="G440" t="inlineStr">
        <is>
          <t>EKSJÖ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46279</v>
      </c>
      <c r="F441" t="inlineStr">
        <is>
          <t>JÖNKÖPINGS LÄN</t>
        </is>
      </c>
      <c r="G441" t="inlineStr">
        <is>
          <t>EKSJÖ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46013-2022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44846</v>
      </c>
      <c r="E442" s="1" t="n">
        <v>46279</v>
      </c>
      <c r="F442" t="inlineStr">
        <is>
          <t>JÖNKÖPINGS LÄN</t>
        </is>
      </c>
      <c r="G442" t="inlineStr">
        <is>
          <t>EKSJÖ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46014-2022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44846</v>
      </c>
      <c r="E443" s="1" t="n">
        <v>46279</v>
      </c>
      <c r="F443" t="inlineStr">
        <is>
          <t>JÖNKÖPINGS LÄN</t>
        </is>
      </c>
      <c r="G443" t="inlineStr">
        <is>
          <t>EKSJÖ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46279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46279</v>
      </c>
      <c r="F445" t="inlineStr">
        <is>
          <t>JÖNKÖPINGS LÄN</t>
        </is>
      </c>
      <c r="G445" t="inlineStr">
        <is>
          <t>EKSJÖ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11381-2022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44630</v>
      </c>
      <c r="E446" s="1" t="n">
        <v>46279</v>
      </c>
      <c r="F446" t="inlineStr">
        <is>
          <t>JÖNKÖPINGS LÄN</t>
        </is>
      </c>
      <c r="G446" t="inlineStr">
        <is>
          <t>EKSJÖ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45209</v>
      </c>
      <c r="E447" s="1" t="n">
        <v>46279</v>
      </c>
      <c r="F447" t="inlineStr">
        <is>
          <t>JÖNKÖPINGS LÄN</t>
        </is>
      </c>
      <c r="G447" t="inlineStr">
        <is>
          <t>EKSJÖ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47204-2022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44851</v>
      </c>
      <c r="E448" s="1" t="n">
        <v>46279</v>
      </c>
      <c r="F448" t="inlineStr">
        <is>
          <t>JÖNKÖPINGS LÄN</t>
        </is>
      </c>
      <c r="G448" t="inlineStr">
        <is>
          <t>EKSJÖ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45160</v>
      </c>
      <c r="E449" s="1" t="n">
        <v>46279</v>
      </c>
      <c r="F449" t="inlineStr">
        <is>
          <t>JÖNKÖPINGS LÄN</t>
        </is>
      </c>
      <c r="G449" t="inlineStr">
        <is>
          <t>EKSJÖ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45097</v>
      </c>
      <c r="E450" s="1" t="n">
        <v>46279</v>
      </c>
      <c r="F450" t="inlineStr">
        <is>
          <t>JÖNKÖPINGS LÄN</t>
        </is>
      </c>
      <c r="G450" t="inlineStr">
        <is>
          <t>EKSJÖ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46577-2022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44848</v>
      </c>
      <c r="E451" s="1" t="n">
        <v>46279</v>
      </c>
      <c r="F451" t="inlineStr">
        <is>
          <t>JÖNKÖPINGS LÄN</t>
        </is>
      </c>
      <c r="G451" t="inlineStr">
        <is>
          <t>EKSJÖ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45532</v>
      </c>
      <c r="E452" s="1" t="n">
        <v>46279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46279</v>
      </c>
      <c r="F453" t="inlineStr">
        <is>
          <t>JÖNKÖPINGS LÄN</t>
        </is>
      </c>
      <c r="G453" t="inlineStr">
        <is>
          <t>EKSJÖ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46279</v>
      </c>
      <c r="F454" t="inlineStr">
        <is>
          <t>JÖNKÖPINGS LÄN</t>
        </is>
      </c>
      <c r="G454" t="inlineStr">
        <is>
          <t>EKSJÖ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46279</v>
      </c>
      <c r="F455" t="inlineStr">
        <is>
          <t>JÖNKÖPINGS LÄN</t>
        </is>
      </c>
      <c r="G455" t="inlineStr">
        <is>
          <t>EKSJÖ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46279</v>
      </c>
      <c r="F456" t="inlineStr">
        <is>
          <t>JÖNKÖPINGS LÄN</t>
        </is>
      </c>
      <c r="G456" t="inlineStr">
        <is>
          <t>EKSJÖ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46279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45391</v>
      </c>
      <c r="E458" s="1" t="n">
        <v>46279</v>
      </c>
      <c r="F458" t="inlineStr">
        <is>
          <t>JÖNKÖPINGS LÄN</t>
        </is>
      </c>
      <c r="G458" t="inlineStr">
        <is>
          <t>EKSJÖ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50967-2021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44460</v>
      </c>
      <c r="E459" s="1" t="n">
        <v>46279</v>
      </c>
      <c r="F459" t="inlineStr">
        <is>
          <t>JÖNKÖPINGS LÄN</t>
        </is>
      </c>
      <c r="G459" t="inlineStr">
        <is>
          <t>EKSJÖ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49403-2021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44454</v>
      </c>
      <c r="E460" s="1" t="n">
        <v>46279</v>
      </c>
      <c r="F460" t="inlineStr">
        <is>
          <t>JÖNKÖPINGS LÄN</t>
        </is>
      </c>
      <c r="G460" t="inlineStr">
        <is>
          <t>EKSJÖ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46279</v>
      </c>
      <c r="F461" t="inlineStr">
        <is>
          <t>JÖNKÖPINGS LÄN</t>
        </is>
      </c>
      <c r="G461" t="inlineStr">
        <is>
          <t>EKSJÖ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45367-2024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45576</v>
      </c>
      <c r="E462" s="1" t="n">
        <v>46279</v>
      </c>
      <c r="F462" t="inlineStr">
        <is>
          <t>JÖNKÖPINGS LÄN</t>
        </is>
      </c>
      <c r="G462" t="inlineStr">
        <is>
          <t>EKSJÖ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26706-2022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46279</v>
      </c>
      <c r="F463" t="inlineStr">
        <is>
          <t>JÖNKÖPINGS LÄN</t>
        </is>
      </c>
      <c r="G463" t="inlineStr">
        <is>
          <t>EKSJÖ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29043-2026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46279</v>
      </c>
      <c r="F464" t="inlineStr">
        <is>
          <t>JÖNKÖPINGS LÄN</t>
        </is>
      </c>
      <c r="G464" t="inlineStr">
        <is>
          <t>EKSJÖ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10946-2026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46279</v>
      </c>
      <c r="F465" t="inlineStr">
        <is>
          <t>JÖNKÖPINGS LÄN</t>
        </is>
      </c>
      <c r="G465" t="inlineStr">
        <is>
          <t>EKSJÖ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71313-2021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46279</v>
      </c>
      <c r="F466" t="inlineStr">
        <is>
          <t>JÖNKÖPINGS LÄN</t>
        </is>
      </c>
      <c r="G466" t="inlineStr">
        <is>
          <t>EKSJÖ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44939</v>
      </c>
      <c r="E467" s="1" t="n">
        <v>46279</v>
      </c>
      <c r="F467" t="inlineStr">
        <is>
          <t>JÖNKÖPINGS LÄN</t>
        </is>
      </c>
      <c r="G467" t="inlineStr">
        <is>
          <t>EKSJÖ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46279</v>
      </c>
      <c r="F468" t="inlineStr">
        <is>
          <t>JÖNKÖPINGS LÄN</t>
        </is>
      </c>
      <c r="G468" t="inlineStr">
        <is>
          <t>EKSJÖ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45086</v>
      </c>
      <c r="E469" s="1" t="n">
        <v>46279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46247</v>
      </c>
      <c r="E470" s="1" t="n">
        <v>46279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45091</v>
      </c>
      <c r="E471" s="1" t="n">
        <v>46279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45051</v>
      </c>
      <c r="E472" s="1" t="n">
        <v>46279</v>
      </c>
      <c r="F472" t="inlineStr">
        <is>
          <t>JÖNKÖPINGS LÄN</t>
        </is>
      </c>
      <c r="G472" t="inlineStr">
        <is>
          <t>EKSJÖ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33644-2022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44789</v>
      </c>
      <c r="E473" s="1" t="n">
        <v>46279</v>
      </c>
      <c r="F473" t="inlineStr">
        <is>
          <t>JÖNKÖPINGS LÄN</t>
        </is>
      </c>
      <c r="G473" t="inlineStr">
        <is>
          <t>EKSJÖ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45411</v>
      </c>
      <c r="E474" s="1" t="n">
        <v>46279</v>
      </c>
      <c r="F474" t="inlineStr">
        <is>
          <t>JÖNKÖPINGS LÄN</t>
        </is>
      </c>
      <c r="G474" t="inlineStr">
        <is>
          <t>EKSJÖ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45082</v>
      </c>
      <c r="E475" s="1" t="n">
        <v>46279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25262-2023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45086</v>
      </c>
      <c r="E476" s="1" t="n">
        <v>46279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44925</v>
      </c>
      <c r="E477" s="1" t="n">
        <v>46279</v>
      </c>
      <c r="F477" t="inlineStr">
        <is>
          <t>JÖNKÖPINGS LÄN</t>
        </is>
      </c>
      <c r="G477" t="inlineStr">
        <is>
          <t>EKSJÖ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45078</v>
      </c>
      <c r="E478" s="1" t="n">
        <v>46279</v>
      </c>
      <c r="F478" t="inlineStr">
        <is>
          <t>JÖNKÖPINGS LÄN</t>
        </is>
      </c>
      <c r="G478" t="inlineStr">
        <is>
          <t>EKSJÖ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45154</v>
      </c>
      <c r="E479" s="1" t="n">
        <v>46279</v>
      </c>
      <c r="F479" t="inlineStr">
        <is>
          <t>JÖNKÖPINGS LÄN</t>
        </is>
      </c>
      <c r="G479" t="inlineStr">
        <is>
          <t>EKSJÖ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65554-2021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44516</v>
      </c>
      <c r="E480" s="1" t="n">
        <v>46279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46209</v>
      </c>
      <c r="E481" s="1" t="n">
        <v>46279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46279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44746</v>
      </c>
      <c r="E483" s="1" t="n">
        <v>46279</v>
      </c>
      <c r="F483" t="inlineStr">
        <is>
          <t>JÖNKÖPINGS LÄN</t>
        </is>
      </c>
      <c r="G483" t="inlineStr">
        <is>
          <t>EKSJÖ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32333-2022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44781</v>
      </c>
      <c r="E484" s="1" t="n">
        <v>46279</v>
      </c>
      <c r="F484" t="inlineStr">
        <is>
          <t>JÖNKÖPINGS LÄN</t>
        </is>
      </c>
      <c r="G484" t="inlineStr">
        <is>
          <t>EKSJÖ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32336-2022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44781</v>
      </c>
      <c r="E485" s="1" t="n">
        <v>46279</v>
      </c>
      <c r="F485" t="inlineStr">
        <is>
          <t>JÖNKÖPINGS LÄN</t>
        </is>
      </c>
      <c r="G485" t="inlineStr">
        <is>
          <t>EKSJÖ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46279</v>
      </c>
      <c r="F486" t="inlineStr">
        <is>
          <t>JÖNKÖPINGS LÄN</t>
        </is>
      </c>
      <c r="G486" t="inlineStr">
        <is>
          <t>EKSJÖ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46279</v>
      </c>
      <c r="F487" t="inlineStr">
        <is>
          <t>JÖNKÖPINGS LÄN</t>
        </is>
      </c>
      <c r="G487" t="inlineStr">
        <is>
          <t>EKSJÖ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46209</v>
      </c>
      <c r="E488" s="1" t="n">
        <v>46279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45337</v>
      </c>
      <c r="E489" s="1" t="n">
        <v>46279</v>
      </c>
      <c r="F489" t="inlineStr">
        <is>
          <t>JÖNKÖPINGS LÄN</t>
        </is>
      </c>
      <c r="G489" t="inlineStr">
        <is>
          <t>EKSJÖ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46279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46918-2023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45201</v>
      </c>
      <c r="E491" s="1" t="n">
        <v>46279</v>
      </c>
      <c r="F491" t="inlineStr">
        <is>
          <t>JÖNKÖPINGS LÄN</t>
        </is>
      </c>
      <c r="G491" t="inlineStr">
        <is>
          <t>EKSJÖ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46209</v>
      </c>
      <c r="E492" s="1" t="n">
        <v>46279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46212</v>
      </c>
      <c r="E493" s="1" t="n">
        <v>46279</v>
      </c>
      <c r="F493" t="inlineStr">
        <is>
          <t>JÖNKÖPINGS LÄN</t>
        </is>
      </c>
      <c r="G493" t="inlineStr">
        <is>
          <t>EKSJÖ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46279</v>
      </c>
      <c r="F494" t="inlineStr">
        <is>
          <t>JÖNKÖPINGS LÄN</t>
        </is>
      </c>
      <c r="G494" t="inlineStr">
        <is>
          <t>EKSJÖ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46279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30363-2026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46209</v>
      </c>
      <c r="E496" s="1" t="n">
        <v>46279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64541-2023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45281</v>
      </c>
      <c r="E497" s="1" t="n">
        <v>46279</v>
      </c>
      <c r="F497" t="inlineStr">
        <is>
          <t>JÖNKÖPINGS LÄN</t>
        </is>
      </c>
      <c r="G497" t="inlineStr">
        <is>
          <t>EKSJÖ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44949</v>
      </c>
      <c r="E498" s="1" t="n">
        <v>46279</v>
      </c>
      <c r="F498" t="inlineStr">
        <is>
          <t>JÖNKÖPINGS LÄN</t>
        </is>
      </c>
      <c r="G498" t="inlineStr">
        <is>
          <t>EKSJÖ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45713</v>
      </c>
      <c r="E499" s="1" t="n">
        <v>46279</v>
      </c>
      <c r="F499" t="inlineStr">
        <is>
          <t>JÖNKÖPINGS LÄN</t>
        </is>
      </c>
      <c r="G499" t="inlineStr">
        <is>
          <t>EKSJÖ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46279</v>
      </c>
      <c r="F500" t="inlineStr">
        <is>
          <t>JÖNKÖPINGS LÄN</t>
        </is>
      </c>
      <c r="G500" t="inlineStr">
        <is>
          <t>EKSJÖ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46279</v>
      </c>
      <c r="F501" t="inlineStr">
        <is>
          <t>JÖNKÖPINGS LÄN</t>
        </is>
      </c>
      <c r="G501" t="inlineStr">
        <is>
          <t>EKSJÖ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20485-2023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45057</v>
      </c>
      <c r="E502" s="1" t="n">
        <v>46279</v>
      </c>
      <c r="F502" t="inlineStr">
        <is>
          <t>JÖNKÖPINGS LÄN</t>
        </is>
      </c>
      <c r="G502" t="inlineStr">
        <is>
          <t>EKSJÖ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46279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46279</v>
      </c>
      <c r="F504" t="inlineStr">
        <is>
          <t>JÖNKÖPINGS LÄN</t>
        </is>
      </c>
      <c r="G504" t="inlineStr">
        <is>
          <t>EKSJÖ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46279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46279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64993-2023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45286</v>
      </c>
      <c r="E507" s="1" t="n">
        <v>46279</v>
      </c>
      <c r="F507" t="inlineStr">
        <is>
          <t>JÖNKÖPINGS LÄN</t>
        </is>
      </c>
      <c r="G507" t="inlineStr">
        <is>
          <t>EKSJÖ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46279</v>
      </c>
      <c r="F508" t="inlineStr">
        <is>
          <t>JÖNKÖPINGS LÄN</t>
        </is>
      </c>
      <c r="G508" t="inlineStr">
        <is>
          <t>EKSJÖ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46279</v>
      </c>
      <c r="F509" t="inlineStr">
        <is>
          <t>JÖNKÖPINGS LÄN</t>
        </is>
      </c>
      <c r="G509" t="inlineStr">
        <is>
          <t>EKSJÖ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45659</v>
      </c>
      <c r="E510" s="1" t="n">
        <v>46279</v>
      </c>
      <c r="F510" t="inlineStr">
        <is>
          <t>JÖNKÖPINGS LÄN</t>
        </is>
      </c>
      <c r="G510" t="inlineStr">
        <is>
          <t>EKSJÖ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18337-2025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46279</v>
      </c>
      <c r="F511" t="inlineStr">
        <is>
          <t>JÖNKÖPINGS LÄN</t>
        </is>
      </c>
      <c r="G511" t="inlineStr">
        <is>
          <t>EKSJÖ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45370</v>
      </c>
      <c r="E512" s="1" t="n">
        <v>46279</v>
      </c>
      <c r="F512" t="inlineStr">
        <is>
          <t>JÖNKÖPINGS LÄN</t>
        </is>
      </c>
      <c r="G512" t="inlineStr">
        <is>
          <t>EKSJÖ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35157-2026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46260</v>
      </c>
      <c r="E513" s="1" t="n">
        <v>46279</v>
      </c>
      <c r="F513" t="inlineStr">
        <is>
          <t>JÖNKÖPINGS LÄN</t>
        </is>
      </c>
      <c r="G513" t="inlineStr">
        <is>
          <t>EKSJÖ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45075</v>
      </c>
      <c r="E514" s="1" t="n">
        <v>46279</v>
      </c>
      <c r="F514" t="inlineStr">
        <is>
          <t>JÖNKÖPINGS LÄN</t>
        </is>
      </c>
      <c r="G514" t="inlineStr">
        <is>
          <t>EKSJÖ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19497-2025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45770</v>
      </c>
      <c r="E515" s="1" t="n">
        <v>46279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46279</v>
      </c>
      <c r="F516" t="inlineStr">
        <is>
          <t>JÖNKÖPINGS LÄN</t>
        </is>
      </c>
      <c r="G516" t="inlineStr">
        <is>
          <t>EKSJÖ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46260</v>
      </c>
      <c r="E517" s="1" t="n">
        <v>46279</v>
      </c>
      <c r="F517" t="inlineStr">
        <is>
          <t>JÖNKÖPINGS LÄN</t>
        </is>
      </c>
      <c r="G517" t="inlineStr">
        <is>
          <t>EKSJÖ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46279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53053-2021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44467</v>
      </c>
      <c r="E519" s="1" t="n">
        <v>46279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44925</v>
      </c>
      <c r="E520" s="1" t="n">
        <v>46279</v>
      </c>
      <c r="F520" t="inlineStr">
        <is>
          <t>JÖNKÖPINGS LÄN</t>
        </is>
      </c>
      <c r="G520" t="inlineStr">
        <is>
          <t>EKSJÖ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46279</v>
      </c>
      <c r="F521" t="inlineStr">
        <is>
          <t>JÖNKÖPINGS LÄN</t>
        </is>
      </c>
      <c r="G521" t="inlineStr">
        <is>
          <t>EKSJÖ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44940</v>
      </c>
      <c r="E522" s="1" t="n">
        <v>46279</v>
      </c>
      <c r="F522" t="inlineStr">
        <is>
          <t>JÖNKÖPINGS LÄN</t>
        </is>
      </c>
      <c r="G522" t="inlineStr">
        <is>
          <t>EKSJÖ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44941</v>
      </c>
      <c r="E523" s="1" t="n">
        <v>46279</v>
      </c>
      <c r="F523" t="inlineStr">
        <is>
          <t>JÖNKÖPINGS LÄN</t>
        </is>
      </c>
      <c r="G523" t="inlineStr">
        <is>
          <t>EKSJÖ</t>
        </is>
      </c>
      <c r="H523" t="inlineStr">
        <is>
          <t>Övriga Aktiebolag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46279</v>
      </c>
      <c r="F524" t="inlineStr">
        <is>
          <t>JÖNKÖPINGS LÄN</t>
        </is>
      </c>
      <c r="G524" t="inlineStr">
        <is>
          <t>EKSJÖ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45214</v>
      </c>
      <c r="E525" s="1" t="n">
        <v>46279</v>
      </c>
      <c r="F525" t="inlineStr">
        <is>
          <t>JÖNKÖPINGS LÄN</t>
        </is>
      </c>
      <c r="G525" t="inlineStr">
        <is>
          <t>EKSJÖ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46279</v>
      </c>
      <c r="F526" t="inlineStr">
        <is>
          <t>JÖNKÖPINGS LÄN</t>
        </is>
      </c>
      <c r="G526" t="inlineStr">
        <is>
          <t>EKSJÖ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46247</v>
      </c>
      <c r="E527" s="1" t="n">
        <v>46279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49681-2023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45212</v>
      </c>
      <c r="E528" s="1" t="n">
        <v>46279</v>
      </c>
      <c r="F528" t="inlineStr">
        <is>
          <t>JÖNKÖPINGS LÄN</t>
        </is>
      </c>
      <c r="G528" t="inlineStr">
        <is>
          <t>EKSJÖ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61850-2024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45649</v>
      </c>
      <c r="E529" s="1" t="n">
        <v>46279</v>
      </c>
      <c r="F529" t="inlineStr">
        <is>
          <t>JÖNKÖPINGS LÄN</t>
        </is>
      </c>
      <c r="G529" t="inlineStr">
        <is>
          <t>EKSJÖ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34772-2023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45141</v>
      </c>
      <c r="E530" s="1" t="n">
        <v>46279</v>
      </c>
      <c r="F530" t="inlineStr">
        <is>
          <t>JÖNKÖPINGS LÄN</t>
        </is>
      </c>
      <c r="G530" t="inlineStr">
        <is>
          <t>EKSJÖ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20068-2023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45054</v>
      </c>
      <c r="E531" s="1" t="n">
        <v>46279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46019-2022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44846</v>
      </c>
      <c r="E532" s="1" t="n">
        <v>46279</v>
      </c>
      <c r="F532" t="inlineStr">
        <is>
          <t>JÖNKÖPINGS LÄN</t>
        </is>
      </c>
      <c r="G532" t="inlineStr">
        <is>
          <t>EKSJÖ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45493-2022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44845</v>
      </c>
      <c r="E533" s="1" t="n">
        <v>46279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46279</v>
      </c>
      <c r="F534" t="inlineStr">
        <is>
          <t>JÖNKÖPINGS LÄN</t>
        </is>
      </c>
      <c r="G534" t="inlineStr">
        <is>
          <t>EKSJÖ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46279</v>
      </c>
      <c r="F535" t="inlineStr">
        <is>
          <t>JÖNKÖPINGS LÄN</t>
        </is>
      </c>
      <c r="G535" t="inlineStr">
        <is>
          <t>EKSJÖ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46279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29878-2023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45107</v>
      </c>
      <c r="E537" s="1" t="n">
        <v>46279</v>
      </c>
      <c r="F537" t="inlineStr">
        <is>
          <t>JÖNKÖPINGS LÄN</t>
        </is>
      </c>
      <c r="G537" t="inlineStr">
        <is>
          <t>EKSJÖ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44925</v>
      </c>
      <c r="E538" s="1" t="n">
        <v>46279</v>
      </c>
      <c r="F538" t="inlineStr">
        <is>
          <t>JÖNKÖPINGS LÄN</t>
        </is>
      </c>
      <c r="G538" t="inlineStr">
        <is>
          <t>EKSJÖ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11723-2024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45373</v>
      </c>
      <c r="E539" s="1" t="n">
        <v>46279</v>
      </c>
      <c r="F539" t="inlineStr">
        <is>
          <t>JÖNKÖPINGS LÄN</t>
        </is>
      </c>
      <c r="G539" t="inlineStr">
        <is>
          <t>EKSJÖ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36700-2026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46279</v>
      </c>
      <c r="F540" t="inlineStr">
        <is>
          <t>JÖNKÖPINGS LÄN</t>
        </is>
      </c>
      <c r="G540" t="inlineStr">
        <is>
          <t>EKSJÖ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46279</v>
      </c>
      <c r="F541" t="inlineStr">
        <is>
          <t>JÖNKÖPINGS LÄN</t>
        </is>
      </c>
      <c r="G541" t="inlineStr">
        <is>
          <t>EKSJÖ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45601</v>
      </c>
      <c r="E542" s="1" t="n">
        <v>46279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45308</v>
      </c>
      <c r="E543" s="1" t="n">
        <v>46279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45334</v>
      </c>
      <c r="E544" s="1" t="n">
        <v>46279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25608-2024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45463</v>
      </c>
      <c r="E545" s="1" t="n">
        <v>46279</v>
      </c>
      <c r="F545" t="inlineStr">
        <is>
          <t>JÖNKÖPINGS LÄN</t>
        </is>
      </c>
      <c r="G545" t="inlineStr">
        <is>
          <t>EKSJÖ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45161</v>
      </c>
      <c r="E546" s="1" t="n">
        <v>46279</v>
      </c>
      <c r="F546" t="inlineStr">
        <is>
          <t>JÖNKÖPINGS LÄN</t>
        </is>
      </c>
      <c r="G546" t="inlineStr">
        <is>
          <t>EKSJÖ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54470-2024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45617</v>
      </c>
      <c r="E547" s="1" t="n">
        <v>46279</v>
      </c>
      <c r="F547" t="inlineStr">
        <is>
          <t>JÖNKÖPINGS LÄN</t>
        </is>
      </c>
      <c r="G547" t="inlineStr">
        <is>
          <t>EKSJÖ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46273</v>
      </c>
      <c r="E548" s="1" t="n">
        <v>46279</v>
      </c>
      <c r="F548" t="inlineStr">
        <is>
          <t>JÖNKÖPINGS LÄN</t>
        </is>
      </c>
      <c r="G548" t="inlineStr">
        <is>
          <t>EKSJÖ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44580</v>
      </c>
      <c r="E549" s="1" t="n">
        <v>46279</v>
      </c>
      <c r="F549" t="inlineStr">
        <is>
          <t>JÖNKÖPINGS LÄN</t>
        </is>
      </c>
      <c r="G549" t="inlineStr">
        <is>
          <t>EKSJÖ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27775-2024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46279</v>
      </c>
      <c r="F550" t="inlineStr">
        <is>
          <t>JÖNKÖPINGS LÄN</t>
        </is>
      </c>
      <c r="G550" t="inlineStr">
        <is>
          <t>EKSJÖ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45715</v>
      </c>
      <c r="E551" s="1" t="n">
        <v>46279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45677</v>
      </c>
      <c r="E552" s="1" t="n">
        <v>46279</v>
      </c>
      <c r="F552" t="inlineStr">
        <is>
          <t>JÖNKÖPINGS LÄN</t>
        </is>
      </c>
      <c r="G552" t="inlineStr">
        <is>
          <t>EKSJÖ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10972-2025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46279</v>
      </c>
      <c r="F553" t="inlineStr">
        <is>
          <t>JÖNKÖPINGS LÄN</t>
        </is>
      </c>
      <c r="G553" t="inlineStr">
        <is>
          <t>EKSJÖ</t>
        </is>
      </c>
      <c r="I553" t="n">
        <v>8.6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37270-2026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46274</v>
      </c>
      <c r="E554" s="1" t="n">
        <v>46279</v>
      </c>
      <c r="F554" t="inlineStr">
        <is>
          <t>JÖNKÖPINGS LÄN</t>
        </is>
      </c>
      <c r="G554" t="inlineStr">
        <is>
          <t>EKSJÖ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46279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46279</v>
      </c>
      <c r="F556" t="inlineStr">
        <is>
          <t>JÖNKÖPINGS LÄN</t>
        </is>
      </c>
      <c r="G556" t="inlineStr">
        <is>
          <t>EKSJÖ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46279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50287-2024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45600</v>
      </c>
      <c r="E558" s="1" t="n">
        <v>46279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19469-2025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45770</v>
      </c>
      <c r="E559" s="1" t="n">
        <v>46279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46279</v>
      </c>
      <c r="F560" t="inlineStr">
        <is>
          <t>JÖNKÖPINGS LÄN</t>
        </is>
      </c>
      <c r="G560" t="inlineStr">
        <is>
          <t>EKSJÖ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46279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46279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46279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46279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46279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46279</v>
      </c>
      <c r="F566" t="inlineStr">
        <is>
          <t>JÖNKÖPINGS LÄN</t>
        </is>
      </c>
      <c r="G566" t="inlineStr">
        <is>
          <t>EKSJÖ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46279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22987-2025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45790</v>
      </c>
      <c r="E568" s="1" t="n">
        <v>46279</v>
      </c>
      <c r="F568" t="inlineStr">
        <is>
          <t>JÖNKÖPINGS LÄN</t>
        </is>
      </c>
      <c r="G568" t="inlineStr">
        <is>
          <t>EKSJÖ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46279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46279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46279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46279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46279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46279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46279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46279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46279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14382-2025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45741</v>
      </c>
      <c r="E578" s="1" t="n">
        <v>46279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46279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46279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46279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46279</v>
      </c>
      <c r="F582" t="inlineStr">
        <is>
          <t>JÖNKÖPINGS LÄN</t>
        </is>
      </c>
      <c r="G582" t="inlineStr">
        <is>
          <t>EKSJÖ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46279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46279</v>
      </c>
      <c r="F584" t="inlineStr">
        <is>
          <t>JÖNKÖPINGS LÄN</t>
        </is>
      </c>
      <c r="G584" t="inlineStr">
        <is>
          <t>EKSJÖ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34173-2024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45524</v>
      </c>
      <c r="E585" s="1" t="n">
        <v>46279</v>
      </c>
      <c r="F585" t="inlineStr">
        <is>
          <t>JÖNKÖPINGS LÄN</t>
        </is>
      </c>
      <c r="G585" t="inlineStr">
        <is>
          <t>EKSJÖ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26306-2023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45091</v>
      </c>
      <c r="E586" s="1" t="n">
        <v>46279</v>
      </c>
      <c r="F586" t="inlineStr">
        <is>
          <t>JÖNKÖPINGS LÄN</t>
        </is>
      </c>
      <c r="G586" t="inlineStr">
        <is>
          <t>EKSJÖ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46279</v>
      </c>
      <c r="F587" t="inlineStr">
        <is>
          <t>JÖNKÖPINGS LÄN</t>
        </is>
      </c>
      <c r="G587" t="inlineStr">
        <is>
          <t>EKSJÖ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45811</v>
      </c>
      <c r="E588" s="1" t="n">
        <v>46279</v>
      </c>
      <c r="F588" t="inlineStr">
        <is>
          <t>JÖNKÖPINGS LÄN</t>
        </is>
      </c>
      <c r="G588" t="inlineStr">
        <is>
          <t>EKSJÖ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46279</v>
      </c>
      <c r="F589" t="inlineStr">
        <is>
          <t>JÖNKÖPINGS LÄN</t>
        </is>
      </c>
      <c r="G589" t="inlineStr">
        <is>
          <t>EKSJÖ</t>
        </is>
      </c>
      <c r="I589" t="n">
        <v>40.5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538-2024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46279</v>
      </c>
      <c r="F590" t="inlineStr">
        <is>
          <t>JÖNKÖPINGS LÄN</t>
        </is>
      </c>
      <c r="G590" t="inlineStr">
        <is>
          <t>EKSJÖ</t>
        </is>
      </c>
      <c r="I590" t="n">
        <v>25.6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544-2024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46279</v>
      </c>
      <c r="F591" t="inlineStr">
        <is>
          <t>JÖNKÖPINGS LÄN</t>
        </is>
      </c>
      <c r="G591" t="inlineStr">
        <is>
          <t>EKSJÖ</t>
        </is>
      </c>
      <c r="I591" t="n">
        <v>37.3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46279</v>
      </c>
      <c r="F592" t="inlineStr">
        <is>
          <t>JÖNKÖPINGS LÄN</t>
        </is>
      </c>
      <c r="G592" t="inlineStr">
        <is>
          <t>EKSJÖ</t>
        </is>
      </c>
      <c r="I592" t="n">
        <v>30.9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2245-2023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46279</v>
      </c>
      <c r="F593" t="inlineStr">
        <is>
          <t>JÖNKÖPINGS LÄN</t>
        </is>
      </c>
      <c r="G593" t="inlineStr">
        <is>
          <t>EKSJÖ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46279</v>
      </c>
      <c r="F594" t="inlineStr">
        <is>
          <t>JÖNKÖPINGS LÄN</t>
        </is>
      </c>
      <c r="G594" t="inlineStr">
        <is>
          <t>EKSJÖ</t>
        </is>
      </c>
      <c r="I594" t="n">
        <v>22.7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541-2024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46279</v>
      </c>
      <c r="F595" t="inlineStr">
        <is>
          <t>JÖNKÖPINGS LÄN</t>
        </is>
      </c>
      <c r="G595" t="inlineStr">
        <is>
          <t>EKSJÖ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2270-2023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45103</v>
      </c>
      <c r="E596" s="1" t="n">
        <v>46279</v>
      </c>
      <c r="F596" t="inlineStr">
        <is>
          <t>JÖNKÖPINGS LÄN</t>
        </is>
      </c>
      <c r="G596" t="inlineStr">
        <is>
          <t>EKSJÖ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4938-2024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45628</v>
      </c>
      <c r="E597" s="1" t="n">
        <v>46279</v>
      </c>
      <c r="F597" t="inlineStr">
        <is>
          <t>JÖNKÖPINGS LÄN</t>
        </is>
      </c>
      <c r="G597" t="inlineStr">
        <is>
          <t>EKSJÖ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546-2024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46279</v>
      </c>
      <c r="F598" t="inlineStr">
        <is>
          <t>JÖNKÖPINGS LÄN</t>
        </is>
      </c>
      <c r="G598" t="inlineStr">
        <is>
          <t>EKSJÖ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540-2024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46279</v>
      </c>
      <c r="F599" t="inlineStr">
        <is>
          <t>JÖNKÖPINGS LÄN</t>
        </is>
      </c>
      <c r="G599" t="inlineStr">
        <is>
          <t>EKSJÖ</t>
        </is>
      </c>
      <c r="I599" t="n">
        <v>25.9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543-2024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46279</v>
      </c>
      <c r="F600" t="inlineStr">
        <is>
          <t>JÖNKÖPINGS LÄN</t>
        </is>
      </c>
      <c r="G600" t="inlineStr">
        <is>
          <t>EKSJÖ</t>
        </is>
      </c>
      <c r="I600" t="n">
        <v>21.4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1407-2023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45042</v>
      </c>
      <c r="E601" s="1" t="n">
        <v>46279</v>
      </c>
      <c r="F601" t="inlineStr">
        <is>
          <t>JÖNKÖPINGS LÄN</t>
        </is>
      </c>
      <c r="G601" t="inlineStr">
        <is>
          <t>EKSJÖ</t>
        </is>
      </c>
      <c r="I601" t="n">
        <v>60.7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539-2024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46279</v>
      </c>
      <c r="F602" t="inlineStr">
        <is>
          <t>JÖNKÖPINGS LÄN</t>
        </is>
      </c>
      <c r="G602" t="inlineStr">
        <is>
          <t>EKSJÖ</t>
        </is>
      </c>
      <c r="I602" t="n">
        <v>41.7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2244-2023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45100</v>
      </c>
      <c r="E603" s="1" t="n">
        <v>46279</v>
      </c>
      <c r="F603" t="inlineStr">
        <is>
          <t>JÖNKÖPINGS LÄN</t>
        </is>
      </c>
      <c r="G603" t="inlineStr">
        <is>
          <t>EKSJÖ</t>
        </is>
      </c>
      <c r="I603" t="n">
        <v>26.1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2704-2023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45155</v>
      </c>
      <c r="E604" s="1" t="n">
        <v>46279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1298-2025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45770</v>
      </c>
      <c r="E605" s="1" t="n">
        <v>46279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949-2025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45741</v>
      </c>
      <c r="E606" s="1" t="n">
        <v>46279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583-2025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45712</v>
      </c>
      <c r="E607" s="1" t="n">
        <v>46279</v>
      </c>
      <c r="F607" t="inlineStr">
        <is>
          <t>JÖNKÖPINGS LÄN</t>
        </is>
      </c>
      <c r="G607" t="inlineStr">
        <is>
          <t>EKSJÖ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524-2025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45707</v>
      </c>
      <c r="E608" s="1" t="n">
        <v>46279</v>
      </c>
      <c r="F608" t="inlineStr">
        <is>
          <t>JÖNKÖPINGS LÄN</t>
        </is>
      </c>
      <c r="G608" t="inlineStr">
        <is>
          <t>EKSJÖ</t>
        </is>
      </c>
      <c r="I608" t="n">
        <v>114.6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1670-2025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45804</v>
      </c>
      <c r="E609" s="1" t="n">
        <v>46279</v>
      </c>
      <c r="F609" t="inlineStr">
        <is>
          <t>JÖNKÖPINGS LÄN</t>
        </is>
      </c>
      <c r="G609" t="inlineStr">
        <is>
          <t>EKSJÖ</t>
        </is>
      </c>
      <c r="I609" t="n">
        <v>21.5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2606-2025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45916</v>
      </c>
      <c r="E610" s="1" t="n">
        <v>46279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2834-2025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45940</v>
      </c>
      <c r="E611" s="1" t="n">
        <v>46279</v>
      </c>
      <c r="F611" t="inlineStr">
        <is>
          <t>JÖNKÖPINGS LÄN</t>
        </is>
      </c>
      <c r="G611" t="inlineStr">
        <is>
          <t>EKSJÖ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1004-2026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46121</v>
      </c>
      <c r="E612" s="1" t="n">
        <v>46279</v>
      </c>
      <c r="F612" t="inlineStr">
        <is>
          <t>JÖNKÖPINGS LÄN</t>
        </is>
      </c>
      <c r="G612" t="inlineStr">
        <is>
          <t>EKSJÖ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1412-2026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46154</v>
      </c>
      <c r="E613" s="1" t="n">
        <v>46279</v>
      </c>
      <c r="F613" t="inlineStr">
        <is>
          <t>JÖNKÖPINGS LÄN</t>
        </is>
      </c>
      <c r="G613" t="inlineStr">
        <is>
          <t>EKSJÖ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46279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1826-2026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46279</v>
      </c>
      <c r="F615" t="inlineStr">
        <is>
          <t>JÖNKÖPINGS LÄN</t>
        </is>
      </c>
      <c r="G615" t="inlineStr">
        <is>
          <t>EKSJÖ</t>
        </is>
      </c>
      <c r="I615" t="n">
        <v>117.5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1825-2026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46190</v>
      </c>
      <c r="E616" s="1" t="n">
        <v>46279</v>
      </c>
      <c r="F616" t="inlineStr">
        <is>
          <t>JÖNKÖPINGS LÄN</t>
        </is>
      </c>
      <c r="G616" t="inlineStr">
        <is>
          <t>EKSJÖ</t>
        </is>
      </c>
      <c r="I616" t="n">
        <v>14.8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1842-2026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46153</v>
      </c>
      <c r="E617" s="1" t="n">
        <v>46279</v>
      </c>
      <c r="F617" t="inlineStr">
        <is>
          <t>JÖNKÖPINGS LÄN</t>
        </is>
      </c>
      <c r="G617" t="inlineStr">
        <is>
          <t>EKSJÖ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1973-2026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46210</v>
      </c>
      <c r="E618" s="1" t="n">
        <v>46279</v>
      </c>
      <c r="F618" t="inlineStr">
        <is>
          <t>JÖNKÖPINGS LÄN</t>
        </is>
      </c>
      <c r="G618" t="inlineStr">
        <is>
          <t>EKSJÖ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2026-09-14T02:17:57Z</dcterms:created>
  <dcterms:modified xmlns:dcterms="http://purl.org/dc/terms/" xmlns:xsi="http://www.w3.org/2001/XMLSchema-instance" xsi:type="dcterms:W3CDTF">2026-09-14T02:17:57Z</dcterms:modified>
</cp:coreProperties>
</file>