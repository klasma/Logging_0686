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46295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46295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46295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46295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46295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46295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46295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46295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46295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46295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46295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46295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46295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46295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46295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46295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46295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46295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46295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46295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46295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46295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46295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46295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46295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Spindelblomster</t>
        </is>
      </c>
      <c r="W36">
        <f>HYPERLINK("https://klasma.github.io/Logging_0686/artfynd/A 32830-2025 artfynd.xlsx", "A 32830-2025")</f>
        <v/>
      </c>
      <c r="X36">
        <f>HYPERLINK("https://klasma.github.io/Logging_0686/kartor/A 32830-2025 karta.png", "A 32830-2025")</f>
        <v/>
      </c>
      <c r="Y36">
        <f>HYPERLINK("https://klasma.github.io/Logging_0686/kartor_geotiff/A 32830-2025 georefererad karta.tif", "A 32830-2025")</f>
        <v/>
      </c>
      <c r="AA36">
        <f>HYPERLINK("https://klasma.github.io/Logging_0686/klagomål/A 32830-2025 FSC-klagomål.docx", "A 32830-2025")</f>
        <v/>
      </c>
      <c r="AB36">
        <f>HYPERLINK("https://klasma.github.io/Logging_0686/klagomålsmail/A 32830-2025 FSC-klagomål mail.docx", "A 32830-2025")</f>
        <v/>
      </c>
      <c r="AC36">
        <f>HYPERLINK("https://klasma.github.io/Logging_0686/tillsyn/A 32830-2025 tillsynsbegäran.docx", "A 32830-2025")</f>
        <v/>
      </c>
      <c r="AD36">
        <f>HYPERLINK("https://klasma.github.io/Logging_0686/tillsynsmail/A 32830-2025 tillsynsbegäran mail.docx", "A 32830-2025")</f>
        <v/>
      </c>
    </row>
    <row r="37" ht="15" customHeight="1">
      <c r="A37" t="inlineStr">
        <is>
          <t>A 18327-2024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45422</v>
      </c>
      <c r="E37" s="1" t="n">
        <v>46295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Dvärgbägarlav</t>
        </is>
      </c>
      <c r="W37">
        <f>HYPERLINK("https://klasma.github.io/Logging_0686/artfynd/A 18327-2024 artfynd.xlsx", "A 18327-2024")</f>
        <v/>
      </c>
      <c r="X37">
        <f>HYPERLINK("https://klasma.github.io/Logging_0686/kartor/A 18327-2024 karta.png", "A 18327-2024")</f>
        <v/>
      </c>
      <c r="Y37">
        <f>HYPERLINK("https://klasma.github.io/Logging_0686/kartor_geotiff/A 18327-2024 georefererad karta.tif", "A 18327-2024")</f>
        <v/>
      </c>
      <c r="AA37">
        <f>HYPERLINK("https://klasma.github.io/Logging_0686/klagomål/A 18327-2024 FSC-klagomål.docx", "A 18327-2024")</f>
        <v/>
      </c>
      <c r="AB37">
        <f>HYPERLINK("https://klasma.github.io/Logging_0686/klagomålsmail/A 18327-2024 FSC-klagomål mail.docx", "A 18327-2024")</f>
        <v/>
      </c>
      <c r="AC37">
        <f>HYPERLINK("https://klasma.github.io/Logging_0686/tillsyn/A 18327-2024 tillsynsbegäran.docx", "A 18327-2024")</f>
        <v/>
      </c>
      <c r="AD37">
        <f>HYPERLINK("https://klasma.github.io/Logging_0686/tillsynsmail/A 18327-2024 tillsynsbegäran mail.docx", "A 18327-2024")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46295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46295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4446-2023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44956</v>
      </c>
      <c r="E40" s="1" t="n">
        <v>46295</v>
      </c>
      <c r="F40" t="inlineStr">
        <is>
          <t>JÖNKÖPINGS LÄN</t>
        </is>
      </c>
      <c r="G40" t="inlineStr">
        <is>
          <t>EKSJÖ</t>
        </is>
      </c>
      <c r="I40" t="n">
        <v>0.3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HYPERLINK("https://klasma.github.io/Logging_0686/artfynd/A 4446-2023 artfynd.xlsx", "A 4446-2023")</f>
        <v/>
      </c>
      <c r="X40">
        <f>HYPERLINK("https://klasma.github.io/Logging_0686/kartor/A 4446-2023 karta.png", "A 4446-2023")</f>
        <v/>
      </c>
      <c r="Y40">
        <f>HYPERLINK("https://klasma.github.io/Logging_0686/kartor_geotiff/A 4446-2023 georefererad karta.tif", "A 4446-2023")</f>
        <v/>
      </c>
      <c r="AA40">
        <f>HYPERLINK("https://klasma.github.io/Logging_0686/klagomål/A 4446-2023 FSC-klagomål.docx", "A 4446-2023")</f>
        <v/>
      </c>
      <c r="AB40">
        <f>HYPERLINK("https://klasma.github.io/Logging_0686/klagomålsmail/A 4446-2023 FSC-klagomål mail.docx", "A 4446-2023")</f>
        <v/>
      </c>
      <c r="AC40">
        <f>HYPERLINK("https://klasma.github.io/Logging_0686/tillsyn/A 4446-2023 tillsynsbegäran.docx", "A 4446-2023")</f>
        <v/>
      </c>
      <c r="AD40">
        <f>HYPERLINK("https://klasma.github.io/Logging_0686/tillsynsmail/A 4446-2023 tillsynsbegäran mail.docx", "A 4446-2023")</f>
        <v/>
      </c>
    </row>
    <row r="41" ht="15" customHeight="1">
      <c r="A41" t="inlineStr">
        <is>
          <t>A 41746-2023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45176</v>
      </c>
      <c r="E41" s="1" t="n">
        <v>46295</v>
      </c>
      <c r="F41" t="inlineStr">
        <is>
          <t>JÖNKÖPINGS LÄN</t>
        </is>
      </c>
      <c r="G41" t="inlineStr">
        <is>
          <t>EKSJÖ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vattensalamander</t>
        </is>
      </c>
      <c r="W41">
        <f>HYPERLINK("https://klasma.github.io/Logging_0686/artfynd/A 41746-2023 artfynd.xlsx", "A 41746-2023")</f>
        <v/>
      </c>
      <c r="X41">
        <f>HYPERLINK("https://klasma.github.io/Logging_0686/kartor/A 41746-2023 karta.png", "A 41746-2023")</f>
        <v/>
      </c>
      <c r="Y41">
        <f>HYPERLINK("https://klasma.github.io/Logging_0686/kartor_geotiff/A 41746-2023 georefererad karta.tif", "A 41746-2023")</f>
        <v/>
      </c>
      <c r="AA41">
        <f>HYPERLINK("https://klasma.github.io/Logging_0686/klagomål/A 41746-2023 FSC-klagomål.docx", "A 41746-2023")</f>
        <v/>
      </c>
      <c r="AB41">
        <f>HYPERLINK("https://klasma.github.io/Logging_0686/klagomålsmail/A 41746-2023 FSC-klagomål mail.docx", "A 41746-2023")</f>
        <v/>
      </c>
      <c r="AC41">
        <f>HYPERLINK("https://klasma.github.io/Logging_0686/tillsyn/A 41746-2023 tillsynsbegäran.docx", "A 41746-2023")</f>
        <v/>
      </c>
      <c r="AD41">
        <f>HYPERLINK("https://klasma.github.io/Logging_0686/tillsynsmail/A 41746-2023 tillsynsbegäran mail.docx", "A 41746-2023")</f>
        <v/>
      </c>
    </row>
    <row r="42" ht="15" customHeight="1">
      <c r="A42" t="inlineStr">
        <is>
          <t>A 38224-2023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46295</v>
      </c>
      <c r="F42" t="inlineStr">
        <is>
          <t>JÖNKÖPINGS LÄN</t>
        </is>
      </c>
      <c r="G42" t="inlineStr">
        <is>
          <t>EKSJÖ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Ask</t>
        </is>
      </c>
      <c r="W42">
        <f>HYPERLINK("https://klasma.github.io/Logging_0686/artfynd/A 38224-2023 artfynd.xlsx", "A 38224-2023")</f>
        <v/>
      </c>
      <c r="X42">
        <f>HYPERLINK("https://klasma.github.io/Logging_0686/kartor/A 38224-2023 karta.png", "A 38224-2023")</f>
        <v/>
      </c>
      <c r="Y42">
        <f>HYPERLINK("https://klasma.github.io/Logging_0686/kartor_geotiff/A 38224-2023 georefererad karta.tif", "A 38224-2023")</f>
        <v/>
      </c>
      <c r="AA42">
        <f>HYPERLINK("https://klasma.github.io/Logging_0686/klagomål/A 38224-2023 FSC-klagomål.docx", "A 38224-2023")</f>
        <v/>
      </c>
      <c r="AB42">
        <f>HYPERLINK("https://klasma.github.io/Logging_0686/klagomålsmail/A 38224-2023 FSC-klagomål mail.docx", "A 38224-2023")</f>
        <v/>
      </c>
      <c r="AC42">
        <f>HYPERLINK("https://klasma.github.io/Logging_0686/tillsyn/A 38224-2023 tillsynsbegäran.docx", "A 38224-2023")</f>
        <v/>
      </c>
      <c r="AD42">
        <f>HYPERLINK("https://klasma.github.io/Logging_0686/tillsynsmail/A 38224-2023 tillsynsbegäran mail.docx", "A 38224-2023")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46295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t="n">
        <v>0</v>
      </c>
      <c r="V43" s="2" t="inlineStr">
        <is>
          <t>Ask</t>
        </is>
      </c>
      <c r="W43">
        <f>HYPERLINK("https://klasma.github.io/Logging_0686/artfynd/A 48033-2023 artfynd.xlsx", "A 48033-2023")</f>
        <v/>
      </c>
      <c r="X43">
        <f>HYPERLINK("https://klasma.github.io/Logging_0686/kartor/A 48033-2023 karta.png", "A 48033-2023")</f>
        <v/>
      </c>
      <c r="Y43">
        <f>HYPERLINK("https://klasma.github.io/Logging_0686/kartor_geotiff/A 48033-2023 georefererad karta.tif", "A 48033-2023")</f>
        <v/>
      </c>
      <c r="AA43">
        <f>HYPERLINK("https://klasma.github.io/Logging_0686/klagomål/A 48033-2023 FSC-klagomål.docx", "A 48033-2023")</f>
        <v/>
      </c>
      <c r="AB43">
        <f>HYPERLINK("https://klasma.github.io/Logging_0686/klagomålsmail/A 48033-2023 FSC-klagomål mail.docx", "A 48033-2023")</f>
        <v/>
      </c>
      <c r="AC43">
        <f>HYPERLINK("https://klasma.github.io/Logging_0686/tillsyn/A 48033-2023 tillsynsbegäran.docx", "A 48033-2023")</f>
        <v/>
      </c>
      <c r="AD43">
        <f>HYPERLINK("https://klasma.github.io/Logging_0686/tillsynsmail/A 48033-2023 tillsynsbegäran mail.docx", "A 48033-2023")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46295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46295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HYPERLINK("https://klasma.github.io/Logging_0686/artfynd/A 29121-2026 artfynd.xlsx", "A 29121-2026")</f>
        <v/>
      </c>
      <c r="X45">
        <f>HYPERLINK("https://klasma.github.io/Logging_0686/kartor/A 29121-2026 karta.png", "A 29121-2026")</f>
        <v/>
      </c>
      <c r="Y45">
        <f>HYPERLINK("https://klasma.github.io/Logging_0686/kartor_geotiff/A 29121-2026 georefererad karta.tif", "A 29121-2026")</f>
        <v/>
      </c>
      <c r="AA45">
        <f>HYPERLINK("https://klasma.github.io/Logging_0686/klagomål/A 29121-2026 FSC-klagomål.docx", "A 29121-2026")</f>
        <v/>
      </c>
      <c r="AB45">
        <f>HYPERLINK("https://klasma.github.io/Logging_0686/klagomålsmail/A 29121-2026 FSC-klagomål mail.docx", "A 29121-2026")</f>
        <v/>
      </c>
      <c r="AC45">
        <f>HYPERLINK("https://klasma.github.io/Logging_0686/tillsyn/A 29121-2026 tillsynsbegäran.docx", "A 29121-2026")</f>
        <v/>
      </c>
      <c r="AD45">
        <f>HYPERLINK("https://klasma.github.io/Logging_0686/tillsynsmail/A 29121-2026 tillsynsbegäran mail.docx", "A 29121-2026")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46295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46295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46295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46295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46295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46295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46295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46295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46295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46295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46295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46295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46295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46295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46295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46295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46295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46295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46295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46295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46295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46295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46295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46295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46295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46295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46295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46295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46295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46295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46295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46295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46295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46295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46295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46295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46295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46295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46295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46295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46295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46295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46295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46295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46295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55710-2021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46295</v>
      </c>
      <c r="F91" t="inlineStr">
        <is>
          <t>JÖNKÖPINGS LÄN</t>
        </is>
      </c>
      <c r="G91" t="inlineStr">
        <is>
          <t>EKSJÖ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46295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46295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46295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46295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46295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46295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46295</v>
      </c>
      <c r="F98" t="inlineStr">
        <is>
          <t>JÖNKÖPINGS LÄN</t>
        </is>
      </c>
      <c r="G98" t="inlineStr">
        <is>
          <t>EKSJÖ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46295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46295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46295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46295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46295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46295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46295</v>
      </c>
      <c r="F105" t="inlineStr">
        <is>
          <t>JÖNKÖPINGS LÄN</t>
        </is>
      </c>
      <c r="G105" t="inlineStr">
        <is>
          <t>EKSJÖ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46295</v>
      </c>
      <c r="F106" t="inlineStr">
        <is>
          <t>JÖNKÖPINGS LÄN</t>
        </is>
      </c>
      <c r="G106" t="inlineStr">
        <is>
          <t>EKSJÖ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46295</v>
      </c>
      <c r="F107" t="inlineStr">
        <is>
          <t>JÖNKÖPINGS LÄN</t>
        </is>
      </c>
      <c r="G107" t="inlineStr">
        <is>
          <t>EKSJÖ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46295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45334</v>
      </c>
      <c r="E109" s="1" t="n">
        <v>46295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43411-2022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44834</v>
      </c>
      <c r="E110" s="1" t="n">
        <v>46295</v>
      </c>
      <c r="F110" t="inlineStr">
        <is>
          <t>JÖNKÖPINGS LÄN</t>
        </is>
      </c>
      <c r="G110" t="inlineStr">
        <is>
          <t>EKSJÖ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46295</v>
      </c>
      <c r="F111" t="inlineStr">
        <is>
          <t>JÖNKÖPINGS LÄN</t>
        </is>
      </c>
      <c r="G111" t="inlineStr">
        <is>
          <t>EKSJÖ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45512</v>
      </c>
      <c r="E112" s="1" t="n">
        <v>46295</v>
      </c>
      <c r="F112" t="inlineStr">
        <is>
          <t>JÖNKÖPINGS LÄN</t>
        </is>
      </c>
      <c r="G112" t="inlineStr">
        <is>
          <t>EKSJÖ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46295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46295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45076</v>
      </c>
      <c r="E115" s="1" t="n">
        <v>46295</v>
      </c>
      <c r="F115" t="inlineStr">
        <is>
          <t>JÖNKÖPINGS LÄN</t>
        </is>
      </c>
      <c r="G115" t="inlineStr">
        <is>
          <t>EKSJÖ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46295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46295</v>
      </c>
      <c r="F117" t="inlineStr">
        <is>
          <t>JÖNKÖPINGS LÄN</t>
        </is>
      </c>
      <c r="G117" t="inlineStr">
        <is>
          <t>EKSJÖ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46295</v>
      </c>
      <c r="F118" t="inlineStr">
        <is>
          <t>JÖNKÖPINGS LÄN</t>
        </is>
      </c>
      <c r="G118" t="inlineStr">
        <is>
          <t>EKSJÖ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46295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45300</v>
      </c>
      <c r="E120" s="1" t="n">
        <v>46295</v>
      </c>
      <c r="F120" t="inlineStr">
        <is>
          <t>JÖNKÖPINGS LÄN</t>
        </is>
      </c>
      <c r="G120" t="inlineStr">
        <is>
          <t>EKSJÖ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56689-2021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44481</v>
      </c>
      <c r="E121" s="1" t="n">
        <v>46295</v>
      </c>
      <c r="F121" t="inlineStr">
        <is>
          <t>JÖNKÖPINGS LÄN</t>
        </is>
      </c>
      <c r="G121" t="inlineStr">
        <is>
          <t>EKSJÖ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46295</v>
      </c>
      <c r="F122" t="inlineStr">
        <is>
          <t>JÖNKÖPINGS LÄN</t>
        </is>
      </c>
      <c r="G122" t="inlineStr">
        <is>
          <t>EKSJÖ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46295</v>
      </c>
      <c r="F123" t="inlineStr">
        <is>
          <t>JÖNKÖPINGS LÄN</t>
        </is>
      </c>
      <c r="G123" t="inlineStr">
        <is>
          <t>EKSJÖ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46295</v>
      </c>
      <c r="F124" t="inlineStr">
        <is>
          <t>JÖNKÖPINGS LÄN</t>
        </is>
      </c>
      <c r="G124" t="inlineStr">
        <is>
          <t>EKSJÖ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46012-2022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44846</v>
      </c>
      <c r="E125" s="1" t="n">
        <v>46295</v>
      </c>
      <c r="F125" t="inlineStr">
        <is>
          <t>JÖNKÖPINGS LÄN</t>
        </is>
      </c>
      <c r="G125" t="inlineStr">
        <is>
          <t>EKSJÖ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46295</v>
      </c>
      <c r="F126" t="inlineStr">
        <is>
          <t>JÖNKÖPINGS LÄN</t>
        </is>
      </c>
      <c r="G126" t="inlineStr">
        <is>
          <t>EKSJÖ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45370</v>
      </c>
      <c r="E127" s="1" t="n">
        <v>46295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46295</v>
      </c>
      <c r="F128" t="inlineStr">
        <is>
          <t>JÖNKÖPINGS LÄN</t>
        </is>
      </c>
      <c r="G128" t="inlineStr">
        <is>
          <t>EKSJÖ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46295</v>
      </c>
      <c r="F129" t="inlineStr">
        <is>
          <t>JÖNKÖPINGS LÄN</t>
        </is>
      </c>
      <c r="G129" t="inlineStr">
        <is>
          <t>EKSJÖ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44974</v>
      </c>
      <c r="E130" s="1" t="n">
        <v>46295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46295</v>
      </c>
      <c r="F131" t="inlineStr">
        <is>
          <t>JÖNKÖPINGS LÄN</t>
        </is>
      </c>
      <c r="G131" t="inlineStr">
        <is>
          <t>EKSJÖ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46295</v>
      </c>
      <c r="F132" t="inlineStr">
        <is>
          <t>JÖNKÖPINGS LÄN</t>
        </is>
      </c>
      <c r="G132" t="inlineStr">
        <is>
          <t>EKSJÖ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45579</v>
      </c>
      <c r="E133" s="1" t="n">
        <v>46295</v>
      </c>
      <c r="F133" t="inlineStr">
        <is>
          <t>JÖNKÖPINGS LÄN</t>
        </is>
      </c>
      <c r="G133" t="inlineStr">
        <is>
          <t>EKSJÖ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46295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46295</v>
      </c>
      <c r="F135" t="inlineStr">
        <is>
          <t>JÖNKÖPINGS LÄN</t>
        </is>
      </c>
      <c r="G135" t="inlineStr">
        <is>
          <t>EKSJÖ</t>
        </is>
      </c>
      <c r="H135" t="inlineStr">
        <is>
          <t>Övriga Aktiebolag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46295</v>
      </c>
      <c r="F136" t="inlineStr">
        <is>
          <t>JÖNKÖPINGS LÄN</t>
        </is>
      </c>
      <c r="G136" t="inlineStr">
        <is>
          <t>EKSJÖ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46295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46295</v>
      </c>
      <c r="F138" t="inlineStr">
        <is>
          <t>JÖNKÖPINGS LÄN</t>
        </is>
      </c>
      <c r="G138" t="inlineStr">
        <is>
          <t>EKSJÖ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45728</v>
      </c>
      <c r="E139" s="1" t="n">
        <v>46295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45727</v>
      </c>
      <c r="E140" s="1" t="n">
        <v>46295</v>
      </c>
      <c r="F140" t="inlineStr">
        <is>
          <t>JÖNKÖPINGS LÄN</t>
        </is>
      </c>
      <c r="G140" t="inlineStr">
        <is>
          <t>EKSJÖ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46295</v>
      </c>
      <c r="F141" t="inlineStr">
        <is>
          <t>JÖNKÖPINGS LÄN</t>
        </is>
      </c>
      <c r="G141" t="inlineStr">
        <is>
          <t>EKSJÖ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14382-2025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45741</v>
      </c>
      <c r="E142" s="1" t="n">
        <v>46295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45837</v>
      </c>
      <c r="E143" s="1" t="n">
        <v>46295</v>
      </c>
      <c r="F143" t="inlineStr">
        <is>
          <t>JÖNKÖPINGS LÄN</t>
        </is>
      </c>
      <c r="G143" t="inlineStr">
        <is>
          <t>EKSJÖ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46295</v>
      </c>
      <c r="F144" t="inlineStr">
        <is>
          <t>JÖNKÖPINGS LÄN</t>
        </is>
      </c>
      <c r="G144" t="inlineStr">
        <is>
          <t>EKSJÖ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30931-2023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45113</v>
      </c>
      <c r="E145" s="1" t="n">
        <v>46295</v>
      </c>
      <c r="F145" t="inlineStr">
        <is>
          <t>JÖNKÖPINGS LÄN</t>
        </is>
      </c>
      <c r="G145" t="inlineStr">
        <is>
          <t>EKSJÖ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44477</v>
      </c>
      <c r="E146" s="1" t="n">
        <v>46295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46295</v>
      </c>
      <c r="F147" t="inlineStr">
        <is>
          <t>JÖNKÖPINGS LÄN</t>
        </is>
      </c>
      <c r="G147" t="inlineStr">
        <is>
          <t>EKSJÖ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46295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46295</v>
      </c>
      <c r="F149" t="inlineStr">
        <is>
          <t>JÖNKÖPINGS LÄN</t>
        </is>
      </c>
      <c r="G149" t="inlineStr">
        <is>
          <t>EKSJÖ</t>
        </is>
      </c>
      <c r="H149" t="inlineStr">
        <is>
          <t>Kommuner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46295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46295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45741</v>
      </c>
      <c r="E152" s="1" t="n">
        <v>46295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46295</v>
      </c>
      <c r="F153" t="inlineStr">
        <is>
          <t>JÖNKÖPINGS LÄN</t>
        </is>
      </c>
      <c r="G153" t="inlineStr">
        <is>
          <t>EKSJÖ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46295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46295</v>
      </c>
      <c r="F155" t="inlineStr">
        <is>
          <t>JÖNKÖPINGS LÄN</t>
        </is>
      </c>
      <c r="G155" t="inlineStr">
        <is>
          <t>EKSJÖ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46295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46295</v>
      </c>
      <c r="F157" t="inlineStr">
        <is>
          <t>JÖNKÖPINGS LÄN</t>
        </is>
      </c>
      <c r="G157" t="inlineStr">
        <is>
          <t>EKSJÖ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46295</v>
      </c>
      <c r="F158" t="inlineStr">
        <is>
          <t>JÖNKÖPINGS LÄN</t>
        </is>
      </c>
      <c r="G158" t="inlineStr">
        <is>
          <t>EKSJÖ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46295</v>
      </c>
      <c r="F159" t="inlineStr">
        <is>
          <t>JÖNKÖPINGS LÄN</t>
        </is>
      </c>
      <c r="G159" t="inlineStr">
        <is>
          <t>EKSJÖ</t>
        </is>
      </c>
      <c r="H159" t="inlineStr">
        <is>
          <t>Övriga Aktiebolag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46295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46295</v>
      </c>
      <c r="F161" t="inlineStr">
        <is>
          <t>JÖNKÖPINGS LÄN</t>
        </is>
      </c>
      <c r="G161" t="inlineStr">
        <is>
          <t>EKSJÖ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46295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45195</v>
      </c>
      <c r="E163" s="1" t="n">
        <v>46295</v>
      </c>
      <c r="F163" t="inlineStr">
        <is>
          <t>JÖNKÖPINGS LÄN</t>
        </is>
      </c>
      <c r="G163" t="inlineStr">
        <is>
          <t>EKSJÖ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46295</v>
      </c>
      <c r="F164" t="inlineStr">
        <is>
          <t>JÖNKÖPINGS LÄN</t>
        </is>
      </c>
      <c r="G164" t="inlineStr">
        <is>
          <t>EKSJÖ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45837</v>
      </c>
      <c r="E165" s="1" t="n">
        <v>46295</v>
      </c>
      <c r="F165" t="inlineStr">
        <is>
          <t>JÖNKÖPINGS LÄN</t>
        </is>
      </c>
      <c r="G165" t="inlineStr">
        <is>
          <t>EKSJÖ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46295</v>
      </c>
      <c r="F166" t="inlineStr">
        <is>
          <t>JÖNKÖPINGS LÄN</t>
        </is>
      </c>
      <c r="G166" t="inlineStr">
        <is>
          <t>EKSJÖ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46295</v>
      </c>
      <c r="F167" t="inlineStr">
        <is>
          <t>JÖNKÖPINGS LÄN</t>
        </is>
      </c>
      <c r="G167" t="inlineStr">
        <is>
          <t>EKSJÖ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46295</v>
      </c>
      <c r="F168" t="inlineStr">
        <is>
          <t>JÖNKÖPINGS LÄN</t>
        </is>
      </c>
      <c r="G168" t="inlineStr">
        <is>
          <t>EKSJÖ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45533</v>
      </c>
      <c r="E169" s="1" t="n">
        <v>46295</v>
      </c>
      <c r="F169" t="inlineStr">
        <is>
          <t>JÖNKÖPINGS LÄN</t>
        </is>
      </c>
      <c r="G169" t="inlineStr">
        <is>
          <t>EKSJÖ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46295</v>
      </c>
      <c r="F170" t="inlineStr">
        <is>
          <t>JÖNKÖPINGS LÄN</t>
        </is>
      </c>
      <c r="G170" t="inlineStr">
        <is>
          <t>EKSJÖ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46295</v>
      </c>
      <c r="F171" t="inlineStr">
        <is>
          <t>JÖNKÖPINGS LÄN</t>
        </is>
      </c>
      <c r="G171" t="inlineStr">
        <is>
          <t>EKSJÖ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46295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46295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44600</v>
      </c>
      <c r="E174" s="1" t="n">
        <v>46295</v>
      </c>
      <c r="F174" t="inlineStr">
        <is>
          <t>JÖNKÖPINGS LÄN</t>
        </is>
      </c>
      <c r="G174" t="inlineStr">
        <is>
          <t>EKSJÖ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46295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46295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46295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46295</v>
      </c>
      <c r="F178" t="inlineStr">
        <is>
          <t>JÖNKÖPINGS LÄN</t>
        </is>
      </c>
      <c r="G178" t="inlineStr">
        <is>
          <t>EKSJÖ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46295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46295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46295</v>
      </c>
      <c r="F181" t="inlineStr">
        <is>
          <t>JÖNKÖPINGS LÄN</t>
        </is>
      </c>
      <c r="G181" t="inlineStr">
        <is>
          <t>EKSJÖ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46295</v>
      </c>
      <c r="F182" t="inlineStr">
        <is>
          <t>JÖNKÖPINGS LÄN</t>
        </is>
      </c>
      <c r="G182" t="inlineStr">
        <is>
          <t>EKSJÖ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44490</v>
      </c>
      <c r="E183" s="1" t="n">
        <v>46295</v>
      </c>
      <c r="F183" t="inlineStr">
        <is>
          <t>JÖNKÖPINGS LÄN</t>
        </is>
      </c>
      <c r="G183" t="inlineStr">
        <is>
          <t>EKSJÖ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46295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46295</v>
      </c>
      <c r="F185" t="inlineStr">
        <is>
          <t>JÖNKÖPINGS LÄN</t>
        </is>
      </c>
      <c r="G185" t="inlineStr">
        <is>
          <t>EKSJÖ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46295</v>
      </c>
      <c r="F186" t="inlineStr">
        <is>
          <t>JÖNKÖPINGS LÄN</t>
        </is>
      </c>
      <c r="G186" t="inlineStr">
        <is>
          <t>EKSJÖ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46295</v>
      </c>
      <c r="F187" t="inlineStr">
        <is>
          <t>JÖNKÖPINGS LÄN</t>
        </is>
      </c>
      <c r="G187" t="inlineStr">
        <is>
          <t>EKSJÖ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46295</v>
      </c>
      <c r="F188" t="inlineStr">
        <is>
          <t>JÖNKÖPINGS LÄN</t>
        </is>
      </c>
      <c r="G188" t="inlineStr">
        <is>
          <t>EKSJÖ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46295</v>
      </c>
      <c r="F189" t="inlineStr">
        <is>
          <t>JÖNKÖPINGS LÄN</t>
        </is>
      </c>
      <c r="G189" t="inlineStr">
        <is>
          <t>EKSJÖ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46295</v>
      </c>
      <c r="F190" t="inlineStr">
        <is>
          <t>JÖNKÖPINGS LÄN</t>
        </is>
      </c>
      <c r="G190" t="inlineStr">
        <is>
          <t>EKSJÖ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46295</v>
      </c>
      <c r="F191" t="inlineStr">
        <is>
          <t>JÖNKÖPINGS LÄN</t>
        </is>
      </c>
      <c r="G191" t="inlineStr">
        <is>
          <t>EKSJÖ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46295</v>
      </c>
      <c r="F192" t="inlineStr">
        <is>
          <t>JÖNKÖPINGS LÄN</t>
        </is>
      </c>
      <c r="G192" t="inlineStr">
        <is>
          <t>EKSJÖ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46295</v>
      </c>
      <c r="F193" t="inlineStr">
        <is>
          <t>JÖNKÖPINGS LÄN</t>
        </is>
      </c>
      <c r="G193" t="inlineStr">
        <is>
          <t>EKSJÖ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44574</v>
      </c>
      <c r="E194" s="1" t="n">
        <v>46295</v>
      </c>
      <c r="F194" t="inlineStr">
        <is>
          <t>JÖNKÖPINGS LÄN</t>
        </is>
      </c>
      <c r="G194" t="inlineStr">
        <is>
          <t>EKSJÖ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46295</v>
      </c>
      <c r="F195" t="inlineStr">
        <is>
          <t>JÖNKÖPINGS LÄN</t>
        </is>
      </c>
      <c r="G195" t="inlineStr">
        <is>
          <t>EKSJÖ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46295</v>
      </c>
      <c r="F196" t="inlineStr">
        <is>
          <t>JÖNKÖPINGS LÄN</t>
        </is>
      </c>
      <c r="G196" t="inlineStr">
        <is>
          <t>EKSJÖ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46295</v>
      </c>
      <c r="F197" t="inlineStr">
        <is>
          <t>JÖNKÖPINGS LÄN</t>
        </is>
      </c>
      <c r="G197" t="inlineStr">
        <is>
          <t>EKSJÖ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46295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44526-2025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45916</v>
      </c>
      <c r="E199" s="1" t="n">
        <v>46295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46295</v>
      </c>
      <c r="F200" t="inlineStr">
        <is>
          <t>JÖNKÖPINGS LÄN</t>
        </is>
      </c>
      <c r="G200" t="inlineStr">
        <is>
          <t>EKSJÖ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46295</v>
      </c>
      <c r="F201" t="inlineStr">
        <is>
          <t>JÖNKÖPINGS LÄN</t>
        </is>
      </c>
      <c r="G201" t="inlineStr">
        <is>
          <t>EKSJÖ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45513</v>
      </c>
      <c r="E202" s="1" t="n">
        <v>46295</v>
      </c>
      <c r="F202" t="inlineStr">
        <is>
          <t>JÖNKÖPINGS LÄN</t>
        </is>
      </c>
      <c r="G202" t="inlineStr">
        <is>
          <t>EKSJÖ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46295</v>
      </c>
      <c r="F203" t="inlineStr">
        <is>
          <t>JÖNKÖPINGS LÄN</t>
        </is>
      </c>
      <c r="G203" t="inlineStr">
        <is>
          <t>EKSJÖ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46295</v>
      </c>
      <c r="F204" t="inlineStr">
        <is>
          <t>JÖNKÖPINGS LÄN</t>
        </is>
      </c>
      <c r="G204" t="inlineStr">
        <is>
          <t>EKSJÖ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45560</v>
      </c>
      <c r="E205" s="1" t="n">
        <v>46295</v>
      </c>
      <c r="F205" t="inlineStr">
        <is>
          <t>JÖNKÖPINGS LÄN</t>
        </is>
      </c>
      <c r="G205" t="inlineStr">
        <is>
          <t>EKSJÖ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44888</v>
      </c>
      <c r="E206" s="1" t="n">
        <v>46295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46295</v>
      </c>
      <c r="F207" t="inlineStr">
        <is>
          <t>JÖNKÖPINGS LÄN</t>
        </is>
      </c>
      <c r="G207" t="inlineStr">
        <is>
          <t>EKSJÖ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46295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46295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46295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46295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46295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46295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46295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46295</v>
      </c>
      <c r="F215" t="inlineStr">
        <is>
          <t>JÖNKÖPINGS LÄN</t>
        </is>
      </c>
      <c r="G215" t="inlineStr">
        <is>
          <t>EKSJÖ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46295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10345-2022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44623</v>
      </c>
      <c r="E217" s="1" t="n">
        <v>46295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46295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46295</v>
      </c>
      <c r="F219" t="inlineStr">
        <is>
          <t>JÖNKÖPINGS LÄN</t>
        </is>
      </c>
      <c r="G219" t="inlineStr">
        <is>
          <t>EKSJÖ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12821-2024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45384</v>
      </c>
      <c r="E220" s="1" t="n">
        <v>46295</v>
      </c>
      <c r="F220" t="inlineStr">
        <is>
          <t>JÖNKÖPINGS LÄN</t>
        </is>
      </c>
      <c r="G220" t="inlineStr">
        <is>
          <t>EKSJÖ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46295</v>
      </c>
      <c r="F221" t="inlineStr">
        <is>
          <t>JÖNKÖPINGS LÄN</t>
        </is>
      </c>
      <c r="G221" t="inlineStr">
        <is>
          <t>EKSJÖ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45785</v>
      </c>
      <c r="E222" s="1" t="n">
        <v>46295</v>
      </c>
      <c r="F222" t="inlineStr">
        <is>
          <t>JÖNKÖPINGS LÄN</t>
        </is>
      </c>
      <c r="G222" t="inlineStr">
        <is>
          <t>EKSJÖ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46295</v>
      </c>
      <c r="F223" t="inlineStr">
        <is>
          <t>JÖNKÖPINGS LÄN</t>
        </is>
      </c>
      <c r="G223" t="inlineStr">
        <is>
          <t>EKSJÖ</t>
        </is>
      </c>
      <c r="H223" t="inlineStr">
        <is>
          <t>Övriga Aktiebolag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46295</v>
      </c>
      <c r="F224" t="inlineStr">
        <is>
          <t>JÖNKÖPINGS LÄN</t>
        </is>
      </c>
      <c r="G224" t="inlineStr">
        <is>
          <t>EKSJÖ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46295</v>
      </c>
      <c r="F225" t="inlineStr">
        <is>
          <t>JÖNKÖPINGS LÄN</t>
        </is>
      </c>
      <c r="G225" t="inlineStr">
        <is>
          <t>EKSJÖ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46295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44928</v>
      </c>
      <c r="E227" s="1" t="n">
        <v>46295</v>
      </c>
      <c r="F227" t="inlineStr">
        <is>
          <t>JÖNKÖPINGS LÄN</t>
        </is>
      </c>
      <c r="G227" t="inlineStr">
        <is>
          <t>EKSJÖ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45461</v>
      </c>
      <c r="E228" s="1" t="n">
        <v>46295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46295</v>
      </c>
      <c r="F229" t="inlineStr">
        <is>
          <t>JÖNKÖPINGS LÄN</t>
        </is>
      </c>
      <c r="G229" t="inlineStr">
        <is>
          <t>EKSJÖ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45860</v>
      </c>
      <c r="E230" s="1" t="n">
        <v>46295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45860</v>
      </c>
      <c r="E231" s="1" t="n">
        <v>46295</v>
      </c>
      <c r="F231" t="inlineStr">
        <is>
          <t>JÖNKÖPINGS LÄN</t>
        </is>
      </c>
      <c r="G231" t="inlineStr">
        <is>
          <t>EKSJÖ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46295</v>
      </c>
      <c r="F232" t="inlineStr">
        <is>
          <t>JÖNKÖPINGS LÄN</t>
        </is>
      </c>
      <c r="G232" t="inlineStr">
        <is>
          <t>EKSJÖ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46295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46295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46295</v>
      </c>
      <c r="F235" t="inlineStr">
        <is>
          <t>JÖNKÖPINGS LÄN</t>
        </is>
      </c>
      <c r="G235" t="inlineStr">
        <is>
          <t>EKSJÖ</t>
        </is>
      </c>
      <c r="H235" t="inlineStr">
        <is>
          <t>Övriga Aktiebolag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46295</v>
      </c>
      <c r="F236" t="inlineStr">
        <is>
          <t>JÖNKÖPINGS LÄN</t>
        </is>
      </c>
      <c r="G236" t="inlineStr">
        <is>
          <t>EKSJÖ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46295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46049</v>
      </c>
      <c r="E238" s="1" t="n">
        <v>46295</v>
      </c>
      <c r="F238" t="inlineStr">
        <is>
          <t>JÖNKÖPINGS LÄN</t>
        </is>
      </c>
      <c r="G238" t="inlineStr">
        <is>
          <t>EKSJÖ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46295</v>
      </c>
      <c r="F239" t="inlineStr">
        <is>
          <t>JÖNKÖPINGS LÄN</t>
        </is>
      </c>
      <c r="G239" t="inlineStr">
        <is>
          <t>EKSJÖ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46295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22456-2022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44713</v>
      </c>
      <c r="E241" s="1" t="n">
        <v>46295</v>
      </c>
      <c r="F241" t="inlineStr">
        <is>
          <t>JÖNKÖPINGS LÄN</t>
        </is>
      </c>
      <c r="G241" t="inlineStr">
        <is>
          <t>EKSJÖ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46295</v>
      </c>
      <c r="F242" t="inlineStr">
        <is>
          <t>JÖNKÖPINGS LÄN</t>
        </is>
      </c>
      <c r="G242" t="inlineStr">
        <is>
          <t>EKSJÖ</t>
        </is>
      </c>
      <c r="H242" t="inlineStr">
        <is>
          <t>Övriga Aktiebolag</t>
        </is>
      </c>
      <c r="I242" t="n">
        <v>17.5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45874</v>
      </c>
      <c r="E243" s="1" t="n">
        <v>46295</v>
      </c>
      <c r="F243" t="inlineStr">
        <is>
          <t>JÖNKÖPINGS LÄN</t>
        </is>
      </c>
      <c r="G243" t="inlineStr">
        <is>
          <t>EKSJÖ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46295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46295</v>
      </c>
      <c r="F245" t="inlineStr">
        <is>
          <t>JÖNKÖPINGS LÄN</t>
        </is>
      </c>
      <c r="G245" t="inlineStr">
        <is>
          <t>EKSJÖ</t>
        </is>
      </c>
      <c r="H245" t="inlineStr">
        <is>
          <t>Kyrkan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46295</v>
      </c>
      <c r="F246" t="inlineStr">
        <is>
          <t>JÖNKÖPINGS LÄN</t>
        </is>
      </c>
      <c r="G246" t="inlineStr">
        <is>
          <t>EKSJÖ</t>
        </is>
      </c>
      <c r="H246" t="inlineStr">
        <is>
          <t>Kyrkan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46295</v>
      </c>
      <c r="F247" t="inlineStr">
        <is>
          <t>JÖNKÖPINGS LÄN</t>
        </is>
      </c>
      <c r="G247" t="inlineStr">
        <is>
          <t>EKSJÖ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45875</v>
      </c>
      <c r="E248" s="1" t="n">
        <v>46295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45875</v>
      </c>
      <c r="E249" s="1" t="n">
        <v>46295</v>
      </c>
      <c r="F249" t="inlineStr">
        <is>
          <t>JÖNKÖPINGS LÄN</t>
        </is>
      </c>
      <c r="G249" t="inlineStr">
        <is>
          <t>EKSJÖ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45076</v>
      </c>
      <c r="E250" s="1" t="n">
        <v>46295</v>
      </c>
      <c r="F250" t="inlineStr">
        <is>
          <t>JÖNKÖPINGS LÄN</t>
        </is>
      </c>
      <c r="G250" t="inlineStr">
        <is>
          <t>EKSJÖ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52566-2025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45954</v>
      </c>
      <c r="E251" s="1" t="n">
        <v>46295</v>
      </c>
      <c r="F251" t="inlineStr">
        <is>
          <t>JÖNKÖPINGS LÄN</t>
        </is>
      </c>
      <c r="G251" t="inlineStr">
        <is>
          <t>EKSJÖ</t>
        </is>
      </c>
      <c r="H251" t="inlineStr">
        <is>
          <t>Kyrkan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45877</v>
      </c>
      <c r="E252" s="1" t="n">
        <v>46295</v>
      </c>
      <c r="F252" t="inlineStr">
        <is>
          <t>JÖNKÖPINGS LÄN</t>
        </is>
      </c>
      <c r="G252" t="inlineStr">
        <is>
          <t>EKSJÖ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46295</v>
      </c>
      <c r="F253" t="inlineStr">
        <is>
          <t>JÖNKÖPINGS LÄN</t>
        </is>
      </c>
      <c r="G253" t="inlineStr">
        <is>
          <t>EKSJÖ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44803</v>
      </c>
      <c r="E254" s="1" t="n">
        <v>46295</v>
      </c>
      <c r="F254" t="inlineStr">
        <is>
          <t>JÖNKÖPINGS LÄN</t>
        </is>
      </c>
      <c r="G254" t="inlineStr">
        <is>
          <t>EKSJÖ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33971-2025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46295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46295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59955-2022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46295</v>
      </c>
      <c r="F257" t="inlineStr">
        <is>
          <t>JÖNKÖPINGS LÄN</t>
        </is>
      </c>
      <c r="G257" t="inlineStr">
        <is>
          <t>EKSJÖ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46295</v>
      </c>
      <c r="F258" t="inlineStr">
        <is>
          <t>JÖNKÖPINGS LÄN</t>
        </is>
      </c>
      <c r="G258" t="inlineStr">
        <is>
          <t>EKSJÖ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45628</v>
      </c>
      <c r="E259" s="1" t="n">
        <v>46295</v>
      </c>
      <c r="F259" t="inlineStr">
        <is>
          <t>JÖNKÖPINGS LÄN</t>
        </is>
      </c>
      <c r="G259" t="inlineStr">
        <is>
          <t>EKSJÖ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46295</v>
      </c>
      <c r="F260" t="inlineStr">
        <is>
          <t>JÖNKÖPINGS LÄN</t>
        </is>
      </c>
      <c r="G260" t="inlineStr">
        <is>
          <t>EKSJÖ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46295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46295</v>
      </c>
      <c r="F262" t="inlineStr">
        <is>
          <t>JÖNKÖPINGS LÄN</t>
        </is>
      </c>
      <c r="G262" t="inlineStr">
        <is>
          <t>EKSJÖ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46295</v>
      </c>
      <c r="F263" t="inlineStr">
        <is>
          <t>JÖNKÖPINGS LÄN</t>
        </is>
      </c>
      <c r="G263" t="inlineStr">
        <is>
          <t>EKSJÖ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54292-2023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45232</v>
      </c>
      <c r="E264" s="1" t="n">
        <v>46295</v>
      </c>
      <c r="F264" t="inlineStr">
        <is>
          <t>JÖNKÖPINGS LÄN</t>
        </is>
      </c>
      <c r="G264" t="inlineStr">
        <is>
          <t>EKSJÖ</t>
        </is>
      </c>
      <c r="I264" t="n">
        <v>18.3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46295</v>
      </c>
      <c r="F265" t="inlineStr">
        <is>
          <t>JÖNKÖPINGS LÄN</t>
        </is>
      </c>
      <c r="G265" t="inlineStr">
        <is>
          <t>EKSJÖ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46295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13273-2023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45003</v>
      </c>
      <c r="E267" s="1" t="n">
        <v>46295</v>
      </c>
      <c r="F267" t="inlineStr">
        <is>
          <t>JÖNKÖPINGS LÄN</t>
        </is>
      </c>
      <c r="G267" t="inlineStr">
        <is>
          <t>EKSJÖ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46295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46295</v>
      </c>
      <c r="F269" t="inlineStr">
        <is>
          <t>JÖNKÖPINGS LÄN</t>
        </is>
      </c>
      <c r="G269" t="inlineStr">
        <is>
          <t>EKSJÖ</t>
        </is>
      </c>
      <c r="H269" t="inlineStr">
        <is>
          <t>Kyrkan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44719</v>
      </c>
      <c r="E270" s="1" t="n">
        <v>46295</v>
      </c>
      <c r="F270" t="inlineStr">
        <is>
          <t>JÖNKÖPINGS LÄN</t>
        </is>
      </c>
      <c r="G270" t="inlineStr">
        <is>
          <t>EKSJÖ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45036</v>
      </c>
      <c r="E271" s="1" t="n">
        <v>46295</v>
      </c>
      <c r="F271" t="inlineStr">
        <is>
          <t>JÖNKÖPINGS LÄN</t>
        </is>
      </c>
      <c r="G271" t="inlineStr">
        <is>
          <t>EKSJÖ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46295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46295</v>
      </c>
      <c r="F273" t="inlineStr">
        <is>
          <t>JÖNKÖPINGS LÄN</t>
        </is>
      </c>
      <c r="G273" t="inlineStr">
        <is>
          <t>EKSJÖ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46295</v>
      </c>
      <c r="F274" t="inlineStr">
        <is>
          <t>JÖNKÖPINGS LÄN</t>
        </is>
      </c>
      <c r="G274" t="inlineStr">
        <is>
          <t>EKSJÖ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46295</v>
      </c>
      <c r="F275" t="inlineStr">
        <is>
          <t>JÖNKÖPINGS LÄN</t>
        </is>
      </c>
      <c r="G275" t="inlineStr">
        <is>
          <t>EKSJÖ</t>
        </is>
      </c>
      <c r="H275" t="inlineStr">
        <is>
          <t>Kommuner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46295</v>
      </c>
      <c r="F276" t="inlineStr">
        <is>
          <t>JÖNKÖPINGS LÄN</t>
        </is>
      </c>
      <c r="G276" t="inlineStr">
        <is>
          <t>EKSJÖ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46295</v>
      </c>
      <c r="F277" t="inlineStr">
        <is>
          <t>JÖNKÖPINGS LÄN</t>
        </is>
      </c>
      <c r="G277" t="inlineStr">
        <is>
          <t>EKSJÖ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46295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46295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57868-2024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45631</v>
      </c>
      <c r="E280" s="1" t="n">
        <v>46295</v>
      </c>
      <c r="F280" t="inlineStr">
        <is>
          <t>JÖNKÖPINGS LÄN</t>
        </is>
      </c>
      <c r="G280" t="inlineStr">
        <is>
          <t>EKSJÖ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46295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46295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46295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45991</v>
      </c>
      <c r="E284" s="1" t="n">
        <v>46295</v>
      </c>
      <c r="F284" t="inlineStr">
        <is>
          <t>JÖNKÖPINGS LÄN</t>
        </is>
      </c>
      <c r="G284" t="inlineStr">
        <is>
          <t>EKSJÖ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32623-2022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44783</v>
      </c>
      <c r="E285" s="1" t="n">
        <v>46295</v>
      </c>
      <c r="F285" t="inlineStr">
        <is>
          <t>JÖNKÖPINGS LÄN</t>
        </is>
      </c>
      <c r="G285" t="inlineStr">
        <is>
          <t>EKSJÖ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47390-2022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44853</v>
      </c>
      <c r="E286" s="1" t="n">
        <v>46295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46295</v>
      </c>
      <c r="F287" t="inlineStr">
        <is>
          <t>JÖNKÖPINGS LÄN</t>
        </is>
      </c>
      <c r="G287" t="inlineStr">
        <is>
          <t>EKSJÖ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46295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29754-2024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45485</v>
      </c>
      <c r="E289" s="1" t="n">
        <v>46295</v>
      </c>
      <c r="F289" t="inlineStr">
        <is>
          <t>JÖNKÖPINGS LÄN</t>
        </is>
      </c>
      <c r="G289" t="inlineStr">
        <is>
          <t>EKSJÖ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46295</v>
      </c>
      <c r="F290" t="inlineStr">
        <is>
          <t>JÖNKÖPINGS LÄN</t>
        </is>
      </c>
      <c r="G290" t="inlineStr">
        <is>
          <t>EKSJÖ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46295</v>
      </c>
      <c r="F291" t="inlineStr">
        <is>
          <t>JÖNKÖPINGS LÄN</t>
        </is>
      </c>
      <c r="G291" t="inlineStr">
        <is>
          <t>EKSJÖ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46295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62892-2025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46295</v>
      </c>
      <c r="F293" t="inlineStr">
        <is>
          <t>JÖNKÖPINGS LÄN</t>
        </is>
      </c>
      <c r="G293" t="inlineStr">
        <is>
          <t>EKSJÖ</t>
        </is>
      </c>
      <c r="H293" t="inlineStr">
        <is>
          <t>Kommuner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46295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46295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46295</v>
      </c>
      <c r="F296" t="inlineStr">
        <is>
          <t>JÖNKÖPINGS LÄN</t>
        </is>
      </c>
      <c r="G296" t="inlineStr">
        <is>
          <t>EKSJÖ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46014</v>
      </c>
      <c r="E297" s="1" t="n">
        <v>46295</v>
      </c>
      <c r="F297" t="inlineStr">
        <is>
          <t>JÖNKÖPINGS LÄN</t>
        </is>
      </c>
      <c r="G297" t="inlineStr">
        <is>
          <t>EKSJÖ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46013</v>
      </c>
      <c r="E298" s="1" t="n">
        <v>46295</v>
      </c>
      <c r="F298" t="inlineStr">
        <is>
          <t>JÖNKÖPINGS LÄN</t>
        </is>
      </c>
      <c r="G298" t="inlineStr">
        <is>
          <t>EKSJÖ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44813</v>
      </c>
      <c r="E299" s="1" t="n">
        <v>46295</v>
      </c>
      <c r="F299" t="inlineStr">
        <is>
          <t>JÖNKÖPINGS LÄN</t>
        </is>
      </c>
      <c r="G299" t="inlineStr">
        <is>
          <t>EKSJÖ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45224</v>
      </c>
      <c r="E300" s="1" t="n">
        <v>46295</v>
      </c>
      <c r="F300" t="inlineStr">
        <is>
          <t>JÖNKÖPINGS LÄN</t>
        </is>
      </c>
      <c r="G300" t="inlineStr">
        <is>
          <t>EKSJÖ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45715</v>
      </c>
      <c r="E301" s="1" t="n">
        <v>46295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45715</v>
      </c>
      <c r="E302" s="1" t="n">
        <v>46295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46295</v>
      </c>
      <c r="F303" t="inlineStr">
        <is>
          <t>JÖNKÖPINGS LÄN</t>
        </is>
      </c>
      <c r="G303" t="inlineStr">
        <is>
          <t>EKSJÖ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46295</v>
      </c>
      <c r="F304" t="inlineStr">
        <is>
          <t>JÖNKÖPINGS LÄN</t>
        </is>
      </c>
      <c r="G304" t="inlineStr">
        <is>
          <t>EKSJÖ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46295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46295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46295</v>
      </c>
      <c r="F307" t="inlineStr">
        <is>
          <t>JÖNKÖPINGS LÄN</t>
        </is>
      </c>
      <c r="G307" t="inlineStr">
        <is>
          <t>EKSJÖ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44945</v>
      </c>
      <c r="E308" s="1" t="n">
        <v>46295</v>
      </c>
      <c r="F308" t="inlineStr">
        <is>
          <t>JÖNKÖPINGS LÄN</t>
        </is>
      </c>
      <c r="G308" t="inlineStr">
        <is>
          <t>EKSJÖ</t>
        </is>
      </c>
      <c r="H308" t="inlineStr">
        <is>
          <t>Övriga Aktiebolag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46295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46295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46295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15763-2026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46295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45671</v>
      </c>
      <c r="E313" s="1" t="n">
        <v>46295</v>
      </c>
      <c r="F313" t="inlineStr">
        <is>
          <t>JÖNKÖPINGS LÄN</t>
        </is>
      </c>
      <c r="G313" t="inlineStr">
        <is>
          <t>EKSJÖ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46295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46295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46107</v>
      </c>
      <c r="E316" s="1" t="n">
        <v>46295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46295</v>
      </c>
      <c r="F317" t="inlineStr">
        <is>
          <t>JÖNKÖPINGS LÄN</t>
        </is>
      </c>
      <c r="G317" t="inlineStr">
        <is>
          <t>EKSJÖ</t>
        </is>
      </c>
      <c r="H317" t="inlineStr">
        <is>
          <t>Kommuner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46295</v>
      </c>
      <c r="F318" t="inlineStr">
        <is>
          <t>JÖNKÖPINGS LÄN</t>
        </is>
      </c>
      <c r="G318" t="inlineStr">
        <is>
          <t>EKSJÖ</t>
        </is>
      </c>
      <c r="H318" t="inlineStr">
        <is>
          <t>Kommuner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46295</v>
      </c>
      <c r="F319" t="inlineStr">
        <is>
          <t>JÖNKÖPINGS LÄN</t>
        </is>
      </c>
      <c r="G319" t="inlineStr">
        <is>
          <t>EKSJÖ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41016-2023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45173</v>
      </c>
      <c r="E320" s="1" t="n">
        <v>46295</v>
      </c>
      <c r="F320" t="inlineStr">
        <is>
          <t>JÖNKÖPINGS LÄN</t>
        </is>
      </c>
      <c r="G320" t="inlineStr">
        <is>
          <t>EKSJÖ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46295</v>
      </c>
      <c r="F321" t="inlineStr">
        <is>
          <t>JÖNKÖPINGS LÄN</t>
        </is>
      </c>
      <c r="G321" t="inlineStr">
        <is>
          <t>EKSJÖ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45072</v>
      </c>
      <c r="E322" s="1" t="n">
        <v>46295</v>
      </c>
      <c r="F322" t="inlineStr">
        <is>
          <t>JÖNKÖPINGS LÄN</t>
        </is>
      </c>
      <c r="G322" t="inlineStr">
        <is>
          <t>EKSJÖ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45418</v>
      </c>
      <c r="E323" s="1" t="n">
        <v>46295</v>
      </c>
      <c r="F323" t="inlineStr">
        <is>
          <t>JÖNKÖPINGS LÄN</t>
        </is>
      </c>
      <c r="G323" t="inlineStr">
        <is>
          <t>EKSJÖ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46112</v>
      </c>
      <c r="E324" s="1" t="n">
        <v>46295</v>
      </c>
      <c r="F324" t="inlineStr">
        <is>
          <t>JÖNKÖPINGS LÄN</t>
        </is>
      </c>
      <c r="G324" t="inlineStr">
        <is>
          <t>EKSJÖ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45068</v>
      </c>
      <c r="E325" s="1" t="n">
        <v>46295</v>
      </c>
      <c r="F325" t="inlineStr">
        <is>
          <t>JÖNKÖPINGS LÄN</t>
        </is>
      </c>
      <c r="G325" t="inlineStr">
        <is>
          <t>EKSJÖ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46113</v>
      </c>
      <c r="E326" s="1" t="n">
        <v>46295</v>
      </c>
      <c r="F326" t="inlineStr">
        <is>
          <t>JÖNKÖPINGS LÄN</t>
        </is>
      </c>
      <c r="G326" t="inlineStr">
        <is>
          <t>EKSJÖ</t>
        </is>
      </c>
      <c r="H326" t="inlineStr">
        <is>
          <t>Övriga Aktiebolag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46295</v>
      </c>
      <c r="F327" t="inlineStr">
        <is>
          <t>JÖNKÖPINGS LÄN</t>
        </is>
      </c>
      <c r="G327" t="inlineStr">
        <is>
          <t>EKSJÖ</t>
        </is>
      </c>
      <c r="H327" t="inlineStr">
        <is>
          <t>Övriga Aktiebolag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46113</v>
      </c>
      <c r="E328" s="1" t="n">
        <v>46295</v>
      </c>
      <c r="F328" t="inlineStr">
        <is>
          <t>JÖNKÖPINGS LÄN</t>
        </is>
      </c>
      <c r="G328" t="inlineStr">
        <is>
          <t>EKSJÖ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45741</v>
      </c>
      <c r="E329" s="1" t="n">
        <v>46295</v>
      </c>
      <c r="F329" t="inlineStr">
        <is>
          <t>JÖNKÖPINGS LÄN</t>
        </is>
      </c>
      <c r="G329" t="inlineStr">
        <is>
          <t>EKSJÖ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22670-2023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45071</v>
      </c>
      <c r="E330" s="1" t="n">
        <v>46295</v>
      </c>
      <c r="F330" t="inlineStr">
        <is>
          <t>JÖNKÖPINGS LÄN</t>
        </is>
      </c>
      <c r="G330" t="inlineStr">
        <is>
          <t>EKSJÖ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46295</v>
      </c>
      <c r="F331" t="inlineStr">
        <is>
          <t>JÖNKÖPINGS LÄN</t>
        </is>
      </c>
      <c r="G331" t="inlineStr">
        <is>
          <t>EKSJÖ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59852-2022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44908</v>
      </c>
      <c r="E332" s="1" t="n">
        <v>46295</v>
      </c>
      <c r="F332" t="inlineStr">
        <is>
          <t>JÖNKÖPINGS LÄN</t>
        </is>
      </c>
      <c r="G332" t="inlineStr">
        <is>
          <t>EKSJÖ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45741</v>
      </c>
      <c r="E333" s="1" t="n">
        <v>46295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56469-2021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44480</v>
      </c>
      <c r="E334" s="1" t="n">
        <v>46295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45757</v>
      </c>
      <c r="E335" s="1" t="n">
        <v>46295</v>
      </c>
      <c r="F335" t="inlineStr">
        <is>
          <t>JÖNKÖPINGS LÄN</t>
        </is>
      </c>
      <c r="G335" t="inlineStr">
        <is>
          <t>EKSJÖ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46295</v>
      </c>
      <c r="F336" t="inlineStr">
        <is>
          <t>JÖNKÖPINGS LÄN</t>
        </is>
      </c>
      <c r="G336" t="inlineStr">
        <is>
          <t>EKSJÖ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46295</v>
      </c>
      <c r="F337" t="inlineStr">
        <is>
          <t>JÖNKÖPINGS LÄN</t>
        </is>
      </c>
      <c r="G337" t="inlineStr">
        <is>
          <t>EKSJÖ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46295</v>
      </c>
      <c r="F338" t="inlineStr">
        <is>
          <t>JÖNKÖPINGS LÄN</t>
        </is>
      </c>
      <c r="G338" t="inlineStr">
        <is>
          <t>EKSJÖ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46295</v>
      </c>
      <c r="F339" t="inlineStr">
        <is>
          <t>JÖNKÖPINGS LÄN</t>
        </is>
      </c>
      <c r="G339" t="inlineStr">
        <is>
          <t>EKSJÖ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46295</v>
      </c>
      <c r="F340" t="inlineStr">
        <is>
          <t>JÖNKÖPINGS LÄN</t>
        </is>
      </c>
      <c r="G340" t="inlineStr">
        <is>
          <t>EKSJÖ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26419-2023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45092</v>
      </c>
      <c r="E341" s="1" t="n">
        <v>46295</v>
      </c>
      <c r="F341" t="inlineStr">
        <is>
          <t>JÖNKÖPINGS LÄN</t>
        </is>
      </c>
      <c r="G341" t="inlineStr">
        <is>
          <t>EKSJÖ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46295</v>
      </c>
      <c r="F342" t="inlineStr">
        <is>
          <t>JÖNKÖPINGS LÄN</t>
        </is>
      </c>
      <c r="G342" t="inlineStr">
        <is>
          <t>EKSJÖ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46295</v>
      </c>
      <c r="F343" t="inlineStr">
        <is>
          <t>JÖNKÖPINGS LÄN</t>
        </is>
      </c>
      <c r="G343" t="inlineStr">
        <is>
          <t>EKSJÖ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46295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46295</v>
      </c>
      <c r="F345" t="inlineStr">
        <is>
          <t>JÖNKÖPINGS LÄN</t>
        </is>
      </c>
      <c r="G345" t="inlineStr">
        <is>
          <t>EKSJÖ</t>
        </is>
      </c>
      <c r="H345" t="inlineStr">
        <is>
          <t>Kyrkan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46295</v>
      </c>
      <c r="F346" t="inlineStr">
        <is>
          <t>JÖNKÖPINGS LÄN</t>
        </is>
      </c>
      <c r="G346" t="inlineStr">
        <is>
          <t>EKSJÖ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13833-2024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45391</v>
      </c>
      <c r="E347" s="1" t="n">
        <v>46295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46295</v>
      </c>
      <c r="F348" t="inlineStr">
        <is>
          <t>JÖNKÖPINGS LÄN</t>
        </is>
      </c>
      <c r="G348" t="inlineStr">
        <is>
          <t>EKSJÖ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46295</v>
      </c>
      <c r="F349" t="inlineStr">
        <is>
          <t>JÖNKÖPINGS LÄN</t>
        </is>
      </c>
      <c r="G349" t="inlineStr">
        <is>
          <t>EKSJÖ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45561</v>
      </c>
      <c r="E350" s="1" t="n">
        <v>46295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46295</v>
      </c>
      <c r="F351" t="inlineStr">
        <is>
          <t>JÖNKÖPINGS LÄN</t>
        </is>
      </c>
      <c r="G351" t="inlineStr">
        <is>
          <t>EKSJÖ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61913-2022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46295</v>
      </c>
      <c r="F352" t="inlineStr">
        <is>
          <t>JÖNKÖPINGS LÄN</t>
        </is>
      </c>
      <c r="G352" t="inlineStr">
        <is>
          <t>EKSJÖ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45537</v>
      </c>
      <c r="E353" s="1" t="n">
        <v>46295</v>
      </c>
      <c r="F353" t="inlineStr">
        <is>
          <t>JÖNKÖPINGS LÄN</t>
        </is>
      </c>
      <c r="G353" t="inlineStr">
        <is>
          <t>EKSJÖ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45251</v>
      </c>
      <c r="E354" s="1" t="n">
        <v>46295</v>
      </c>
      <c r="F354" t="inlineStr">
        <is>
          <t>JÖNKÖPINGS LÄN</t>
        </is>
      </c>
      <c r="G354" t="inlineStr">
        <is>
          <t>EKSJÖ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46295</v>
      </c>
      <c r="F355" t="inlineStr">
        <is>
          <t>JÖNKÖPINGS LÄN</t>
        </is>
      </c>
      <c r="G355" t="inlineStr">
        <is>
          <t>EKSJÖ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46295</v>
      </c>
      <c r="F356" t="inlineStr">
        <is>
          <t>JÖNKÖPINGS LÄN</t>
        </is>
      </c>
      <c r="G356" t="inlineStr">
        <is>
          <t>EKSJÖ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45560</v>
      </c>
      <c r="E357" s="1" t="n">
        <v>46295</v>
      </c>
      <c r="F357" t="inlineStr">
        <is>
          <t>JÖNKÖPINGS LÄN</t>
        </is>
      </c>
      <c r="G357" t="inlineStr">
        <is>
          <t>EKSJÖ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64419-2021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44511</v>
      </c>
      <c r="E358" s="1" t="n">
        <v>46295</v>
      </c>
      <c r="F358" t="inlineStr">
        <is>
          <t>JÖNKÖPINGS LÄN</t>
        </is>
      </c>
      <c r="G358" t="inlineStr">
        <is>
          <t>EKSJÖ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46295</v>
      </c>
      <c r="F359" t="inlineStr">
        <is>
          <t>JÖNKÖPINGS LÄN</t>
        </is>
      </c>
      <c r="G359" t="inlineStr">
        <is>
          <t>EKSJÖ</t>
        </is>
      </c>
      <c r="H359" t="inlineStr">
        <is>
          <t>Övriga Aktiebolag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46295</v>
      </c>
      <c r="F360" t="inlineStr">
        <is>
          <t>JÖNKÖPINGS LÄN</t>
        </is>
      </c>
      <c r="G360" t="inlineStr">
        <is>
          <t>EKSJÖ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45315</v>
      </c>
      <c r="E361" s="1" t="n">
        <v>46295</v>
      </c>
      <c r="F361" t="inlineStr">
        <is>
          <t>JÖNKÖPINGS LÄN</t>
        </is>
      </c>
      <c r="G361" t="inlineStr">
        <is>
          <t>EKSJÖ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46295</v>
      </c>
      <c r="F362" t="inlineStr">
        <is>
          <t>JÖNKÖPINGS LÄN</t>
        </is>
      </c>
      <c r="G362" t="inlineStr">
        <is>
          <t>EKSJÖ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46295</v>
      </c>
      <c r="F363" t="inlineStr">
        <is>
          <t>JÖNKÖPINGS LÄN</t>
        </is>
      </c>
      <c r="G363" t="inlineStr">
        <is>
          <t>EKSJÖ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8165-2022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44609</v>
      </c>
      <c r="E364" s="1" t="n">
        <v>46295</v>
      </c>
      <c r="F364" t="inlineStr">
        <is>
          <t>JÖNKÖPINGS LÄN</t>
        </is>
      </c>
      <c r="G364" t="inlineStr">
        <is>
          <t>EKSJÖ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58607-2023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45251</v>
      </c>
      <c r="E365" s="1" t="n">
        <v>46295</v>
      </c>
      <c r="F365" t="inlineStr">
        <is>
          <t>JÖNKÖPINGS LÄN</t>
        </is>
      </c>
      <c r="G365" t="inlineStr">
        <is>
          <t>EKSJÖ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45161</v>
      </c>
      <c r="E366" s="1" t="n">
        <v>46295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45344</v>
      </c>
      <c r="E367" s="1" t="n">
        <v>46295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45402</v>
      </c>
      <c r="E368" s="1" t="n">
        <v>46295</v>
      </c>
      <c r="F368" t="inlineStr">
        <is>
          <t>JÖNKÖPINGS LÄN</t>
        </is>
      </c>
      <c r="G368" t="inlineStr">
        <is>
          <t>EKSJÖ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45635</v>
      </c>
      <c r="E369" s="1" t="n">
        <v>46295</v>
      </c>
      <c r="F369" t="inlineStr">
        <is>
          <t>JÖNKÖPINGS LÄN</t>
        </is>
      </c>
      <c r="G369" t="inlineStr">
        <is>
          <t>EKSJÖ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46295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45523</v>
      </c>
      <c r="E371" s="1" t="n">
        <v>46295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44991</v>
      </c>
      <c r="E372" s="1" t="n">
        <v>46295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44999</v>
      </c>
      <c r="E373" s="1" t="n">
        <v>46295</v>
      </c>
      <c r="F373" t="inlineStr">
        <is>
          <t>JÖNKÖPINGS LÄN</t>
        </is>
      </c>
      <c r="G373" t="inlineStr">
        <is>
          <t>EKSJÖ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44999</v>
      </c>
      <c r="E374" s="1" t="n">
        <v>46295</v>
      </c>
      <c r="F374" t="inlineStr">
        <is>
          <t>JÖNKÖPINGS LÄN</t>
        </is>
      </c>
      <c r="G374" t="inlineStr">
        <is>
          <t>EKSJÖ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46295</v>
      </c>
      <c r="F375" t="inlineStr">
        <is>
          <t>JÖNKÖPINGS LÄN</t>
        </is>
      </c>
      <c r="G375" t="inlineStr">
        <is>
          <t>EKSJÖ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46295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21073-2026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46295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45706</v>
      </c>
      <c r="E378" s="1" t="n">
        <v>46295</v>
      </c>
      <c r="F378" t="inlineStr">
        <is>
          <t>JÖNKÖPINGS LÄN</t>
        </is>
      </c>
      <c r="G378" t="inlineStr">
        <is>
          <t>EKSJÖ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9283-2025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46295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46295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46295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46295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45345</v>
      </c>
      <c r="E383" s="1" t="n">
        <v>46295</v>
      </c>
      <c r="F383" t="inlineStr">
        <is>
          <t>JÖNKÖPINGS LÄN</t>
        </is>
      </c>
      <c r="G383" t="inlineStr">
        <is>
          <t>EKSJÖ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44581</v>
      </c>
      <c r="E384" s="1" t="n">
        <v>46295</v>
      </c>
      <c r="F384" t="inlineStr">
        <is>
          <t>JÖNKÖPINGS LÄN</t>
        </is>
      </c>
      <c r="G384" t="inlineStr">
        <is>
          <t>EKSJÖ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9058-2022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44615</v>
      </c>
      <c r="E385" s="1" t="n">
        <v>46295</v>
      </c>
      <c r="F385" t="inlineStr">
        <is>
          <t>JÖNKÖPINGS LÄN</t>
        </is>
      </c>
      <c r="G385" t="inlineStr">
        <is>
          <t>EKSJÖ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41030-2023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45173</v>
      </c>
      <c r="E386" s="1" t="n">
        <v>46295</v>
      </c>
      <c r="F386" t="inlineStr">
        <is>
          <t>JÖNKÖPINGS LÄN</t>
        </is>
      </c>
      <c r="G386" t="inlineStr">
        <is>
          <t>EKSJÖ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45078</v>
      </c>
      <c r="E387" s="1" t="n">
        <v>46295</v>
      </c>
      <c r="F387" t="inlineStr">
        <is>
          <t>JÖNKÖPINGS LÄN</t>
        </is>
      </c>
      <c r="G387" t="inlineStr">
        <is>
          <t>EKSJÖ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46295</v>
      </c>
      <c r="F388" t="inlineStr">
        <is>
          <t>JÖNKÖPINGS LÄN</t>
        </is>
      </c>
      <c r="G388" t="inlineStr">
        <is>
          <t>EKSJÖ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46295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46295</v>
      </c>
      <c r="F390" t="inlineStr">
        <is>
          <t>JÖNKÖPINGS LÄN</t>
        </is>
      </c>
      <c r="G390" t="inlineStr">
        <is>
          <t>EKSJÖ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46295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60920-2025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45996</v>
      </c>
      <c r="E392" s="1" t="n">
        <v>46295</v>
      </c>
      <c r="F392" t="inlineStr">
        <is>
          <t>JÖNKÖPINGS LÄN</t>
        </is>
      </c>
      <c r="G392" t="inlineStr">
        <is>
          <t>EKSJÖ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45677</v>
      </c>
      <c r="E393" s="1" t="n">
        <v>46295</v>
      </c>
      <c r="F393" t="inlineStr">
        <is>
          <t>JÖNKÖPINGS LÄN</t>
        </is>
      </c>
      <c r="G393" t="inlineStr">
        <is>
          <t>EKSJÖ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41739-2023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45176</v>
      </c>
      <c r="E394" s="1" t="n">
        <v>46295</v>
      </c>
      <c r="F394" t="inlineStr">
        <is>
          <t>JÖNKÖPINGS LÄN</t>
        </is>
      </c>
      <c r="G394" t="inlineStr">
        <is>
          <t>EKSJÖ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46295</v>
      </c>
      <c r="F395" t="inlineStr">
        <is>
          <t>JÖNKÖPINGS LÄN</t>
        </is>
      </c>
      <c r="G395" t="inlineStr">
        <is>
          <t>EKSJÖ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53987-2023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45231</v>
      </c>
      <c r="E396" s="1" t="n">
        <v>46295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46295</v>
      </c>
      <c r="F397" t="inlineStr">
        <is>
          <t>JÖNKÖPINGS LÄN</t>
        </is>
      </c>
      <c r="G397" t="inlineStr">
        <is>
          <t>EKSJÖ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46295</v>
      </c>
      <c r="F398" t="inlineStr">
        <is>
          <t>JÖNKÖPINGS LÄN</t>
        </is>
      </c>
      <c r="G398" t="inlineStr">
        <is>
          <t>EKSJÖ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46295</v>
      </c>
      <c r="F399" t="inlineStr">
        <is>
          <t>JÖNKÖPINGS LÄN</t>
        </is>
      </c>
      <c r="G399" t="inlineStr">
        <is>
          <t>EKSJÖ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46295</v>
      </c>
      <c r="F400" t="inlineStr">
        <is>
          <t>JÖNKÖPINGS LÄN</t>
        </is>
      </c>
      <c r="G400" t="inlineStr">
        <is>
          <t>EKSJÖ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46295</v>
      </c>
      <c r="F401" t="inlineStr">
        <is>
          <t>JÖNKÖPINGS LÄN</t>
        </is>
      </c>
      <c r="G401" t="inlineStr">
        <is>
          <t>EKSJÖ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46295</v>
      </c>
      <c r="F402" t="inlineStr">
        <is>
          <t>JÖNKÖPINGS LÄN</t>
        </is>
      </c>
      <c r="G402" t="inlineStr">
        <is>
          <t>EKSJÖ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54292-2023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45232</v>
      </c>
      <c r="E403" s="1" t="n">
        <v>46295</v>
      </c>
      <c r="F403" t="inlineStr">
        <is>
          <t>JÖNKÖPINGS LÄN</t>
        </is>
      </c>
      <c r="G403" t="inlineStr">
        <is>
          <t>EKSJÖ</t>
        </is>
      </c>
      <c r="I403" t="n">
        <v>18.3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46295</v>
      </c>
      <c r="F404" t="inlineStr">
        <is>
          <t>JÖNKÖPINGS LÄN</t>
        </is>
      </c>
      <c r="G404" t="inlineStr">
        <is>
          <t>EKSJÖ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46295</v>
      </c>
      <c r="F405" t="inlineStr">
        <is>
          <t>JÖNKÖPINGS LÄN</t>
        </is>
      </c>
      <c r="G405" t="inlineStr">
        <is>
          <t>EKSJÖ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46295</v>
      </c>
      <c r="F406" t="inlineStr">
        <is>
          <t>JÖNKÖPINGS LÄN</t>
        </is>
      </c>
      <c r="G406" t="inlineStr">
        <is>
          <t>EKSJÖ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45420</v>
      </c>
      <c r="E407" s="1" t="n">
        <v>46295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46295</v>
      </c>
      <c r="F408" t="inlineStr">
        <is>
          <t>JÖNKÖPINGS LÄN</t>
        </is>
      </c>
      <c r="G408" t="inlineStr">
        <is>
          <t>EKSJÖ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46295</v>
      </c>
      <c r="F409" t="inlineStr">
        <is>
          <t>JÖNKÖPINGS LÄN</t>
        </is>
      </c>
      <c r="G409" t="inlineStr">
        <is>
          <t>EKSJÖ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45666</v>
      </c>
      <c r="E410" s="1" t="n">
        <v>46295</v>
      </c>
      <c r="F410" t="inlineStr">
        <is>
          <t>JÖNKÖPINGS LÄN</t>
        </is>
      </c>
      <c r="G410" t="inlineStr">
        <is>
          <t>EKSJÖ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44293-2025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46295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46295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45523</v>
      </c>
      <c r="E413" s="1" t="n">
        <v>46295</v>
      </c>
      <c r="F413" t="inlineStr">
        <is>
          <t>JÖNKÖPINGS LÄN</t>
        </is>
      </c>
      <c r="G413" t="inlineStr">
        <is>
          <t>EKSJÖ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46295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45195</v>
      </c>
      <c r="E415" s="1" t="n">
        <v>46295</v>
      </c>
      <c r="F415" t="inlineStr">
        <is>
          <t>JÖNKÖPINGS LÄN</t>
        </is>
      </c>
      <c r="G415" t="inlineStr">
        <is>
          <t>EKSJÖ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46295</v>
      </c>
      <c r="F416" t="inlineStr">
        <is>
          <t>JÖNKÖPINGS LÄN</t>
        </is>
      </c>
      <c r="G416" t="inlineStr">
        <is>
          <t>EKSJÖ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46295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44685</v>
      </c>
      <c r="E418" s="1" t="n">
        <v>46295</v>
      </c>
      <c r="F418" t="inlineStr">
        <is>
          <t>JÖNKÖPINGS LÄN</t>
        </is>
      </c>
      <c r="G418" t="inlineStr">
        <is>
          <t>EKSJÖ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54916-2023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45236</v>
      </c>
      <c r="E419" s="1" t="n">
        <v>46295</v>
      </c>
      <c r="F419" t="inlineStr">
        <is>
          <t>JÖNKÖPINGS LÄN</t>
        </is>
      </c>
      <c r="G419" t="inlineStr">
        <is>
          <t>EKSJÖ</t>
        </is>
      </c>
      <c r="H419" t="inlineStr">
        <is>
          <t>Övriga Aktiebolag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45707</v>
      </c>
      <c r="E420" s="1" t="n">
        <v>46295</v>
      </c>
      <c r="F420" t="inlineStr">
        <is>
          <t>JÖNKÖPINGS LÄN</t>
        </is>
      </c>
      <c r="G420" t="inlineStr">
        <is>
          <t>EKSJÖ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59905-2022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44908</v>
      </c>
      <c r="E421" s="1" t="n">
        <v>46295</v>
      </c>
      <c r="F421" t="inlineStr">
        <is>
          <t>JÖNKÖPINGS LÄN</t>
        </is>
      </c>
      <c r="G421" t="inlineStr">
        <is>
          <t>EKSJÖ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46295</v>
      </c>
      <c r="F422" t="inlineStr">
        <is>
          <t>JÖNKÖPINGS LÄN</t>
        </is>
      </c>
      <c r="G422" t="inlineStr">
        <is>
          <t>EKSJÖ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46295</v>
      </c>
      <c r="F423" t="inlineStr">
        <is>
          <t>JÖNKÖPINGS LÄN</t>
        </is>
      </c>
      <c r="G423" t="inlineStr">
        <is>
          <t>EKSJÖ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46295</v>
      </c>
      <c r="F424" t="inlineStr">
        <is>
          <t>JÖNKÖPINGS LÄN</t>
        </is>
      </c>
      <c r="G424" t="inlineStr">
        <is>
          <t>EKSJÖ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45239</v>
      </c>
      <c r="E425" s="1" t="n">
        <v>46295</v>
      </c>
      <c r="F425" t="inlineStr">
        <is>
          <t>JÖNKÖPINGS LÄN</t>
        </is>
      </c>
      <c r="G425" t="inlineStr">
        <is>
          <t>EKSJÖ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45315</v>
      </c>
      <c r="E426" s="1" t="n">
        <v>46295</v>
      </c>
      <c r="F426" t="inlineStr">
        <is>
          <t>JÖNKÖPINGS LÄN</t>
        </is>
      </c>
      <c r="G426" t="inlineStr">
        <is>
          <t>EKSJÖ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46295</v>
      </c>
      <c r="F427" t="inlineStr">
        <is>
          <t>JÖNKÖPINGS LÄN</t>
        </is>
      </c>
      <c r="G427" t="inlineStr">
        <is>
          <t>EKSJÖ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46295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45314</v>
      </c>
      <c r="E429" s="1" t="n">
        <v>46295</v>
      </c>
      <c r="F429" t="inlineStr">
        <is>
          <t>JÖNKÖPINGS LÄN</t>
        </is>
      </c>
      <c r="G429" t="inlineStr">
        <is>
          <t>EKSJÖ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45463</v>
      </c>
      <c r="E430" s="1" t="n">
        <v>46295</v>
      </c>
      <c r="F430" t="inlineStr">
        <is>
          <t>JÖNKÖPINGS LÄN</t>
        </is>
      </c>
      <c r="G430" t="inlineStr">
        <is>
          <t>EKSJÖ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46295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46295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45758</v>
      </c>
      <c r="E433" s="1" t="n">
        <v>46295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46295</v>
      </c>
      <c r="F434" t="inlineStr">
        <is>
          <t>JÖNKÖPINGS LÄN</t>
        </is>
      </c>
      <c r="G434" t="inlineStr">
        <is>
          <t>EKSJÖ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46295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44746</v>
      </c>
      <c r="E436" s="1" t="n">
        <v>46295</v>
      </c>
      <c r="F436" t="inlineStr">
        <is>
          <t>JÖNKÖPINGS LÄN</t>
        </is>
      </c>
      <c r="G436" t="inlineStr">
        <is>
          <t>EKSJÖ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46295</v>
      </c>
      <c r="F437" t="inlineStr">
        <is>
          <t>JÖNKÖPINGS LÄN</t>
        </is>
      </c>
      <c r="G437" t="inlineStr">
        <is>
          <t>EKSJÖ</t>
        </is>
      </c>
      <c r="H437" t="inlineStr">
        <is>
          <t>Kyrkan</t>
        </is>
      </c>
      <c r="I437" t="n">
        <v>15.2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46295</v>
      </c>
      <c r="F438" t="inlineStr">
        <is>
          <t>JÖNKÖPINGS LÄN</t>
        </is>
      </c>
      <c r="G438" t="inlineStr">
        <is>
          <t>EKSJÖ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45176</v>
      </c>
      <c r="E439" s="1" t="n">
        <v>46295</v>
      </c>
      <c r="F439" t="inlineStr">
        <is>
          <t>JÖNKÖPINGS LÄN</t>
        </is>
      </c>
      <c r="G439" t="inlineStr">
        <is>
          <t>EKSJÖ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44888</v>
      </c>
      <c r="E440" s="1" t="n">
        <v>46295</v>
      </c>
      <c r="F440" t="inlineStr">
        <is>
          <t>JÖNKÖPINGS LÄN</t>
        </is>
      </c>
      <c r="G440" t="inlineStr">
        <is>
          <t>EKSJÖ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46295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46295</v>
      </c>
      <c r="F442" t="inlineStr">
        <is>
          <t>JÖNKÖPINGS LÄN</t>
        </is>
      </c>
      <c r="G442" t="inlineStr">
        <is>
          <t>EKSJÖ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46295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26648-2026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46295</v>
      </c>
      <c r="F444" t="inlineStr">
        <is>
          <t>JÖNKÖPINGS LÄN</t>
        </is>
      </c>
      <c r="G444" t="inlineStr">
        <is>
          <t>EKSJÖ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46295</v>
      </c>
      <c r="F445" t="inlineStr">
        <is>
          <t>JÖNKÖPINGS LÄN</t>
        </is>
      </c>
      <c r="G445" t="inlineStr">
        <is>
          <t>EKSJÖ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46295</v>
      </c>
      <c r="F446" t="inlineStr">
        <is>
          <t>JÖNKÖPINGS LÄN</t>
        </is>
      </c>
      <c r="G446" t="inlineStr">
        <is>
          <t>EKSJÖ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44908</v>
      </c>
      <c r="E447" s="1" t="n">
        <v>46295</v>
      </c>
      <c r="F447" t="inlineStr">
        <is>
          <t>JÖNKÖPINGS LÄN</t>
        </is>
      </c>
      <c r="G447" t="inlineStr">
        <is>
          <t>EKSJÖ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44846</v>
      </c>
      <c r="E448" s="1" t="n">
        <v>46295</v>
      </c>
      <c r="F448" t="inlineStr">
        <is>
          <t>JÖNKÖPINGS LÄN</t>
        </is>
      </c>
      <c r="G448" t="inlineStr">
        <is>
          <t>EKSJÖ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44846</v>
      </c>
      <c r="E449" s="1" t="n">
        <v>46295</v>
      </c>
      <c r="F449" t="inlineStr">
        <is>
          <t>JÖNKÖPINGS LÄN</t>
        </is>
      </c>
      <c r="G449" t="inlineStr">
        <is>
          <t>EKSJÖ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9188-2024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45358</v>
      </c>
      <c r="E450" s="1" t="n">
        <v>46295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56563-2023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46295</v>
      </c>
      <c r="F451" t="inlineStr">
        <is>
          <t>JÖNKÖPINGS LÄN</t>
        </is>
      </c>
      <c r="G451" t="inlineStr">
        <is>
          <t>EKSJÖ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11381-2022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44630</v>
      </c>
      <c r="E452" s="1" t="n">
        <v>46295</v>
      </c>
      <c r="F452" t="inlineStr">
        <is>
          <t>JÖNKÖPINGS LÄN</t>
        </is>
      </c>
      <c r="G452" t="inlineStr">
        <is>
          <t>EKSJÖ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46295</v>
      </c>
      <c r="F453" t="inlineStr">
        <is>
          <t>JÖNKÖPINGS LÄN</t>
        </is>
      </c>
      <c r="G453" t="inlineStr">
        <is>
          <t>EKSJÖ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46295</v>
      </c>
      <c r="F454" t="inlineStr">
        <is>
          <t>JÖNKÖPINGS LÄN</t>
        </is>
      </c>
      <c r="G454" t="inlineStr">
        <is>
          <t>EKSJÖ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46295</v>
      </c>
      <c r="F455" t="inlineStr">
        <is>
          <t>JÖNKÖPINGS LÄN</t>
        </is>
      </c>
      <c r="G455" t="inlineStr">
        <is>
          <t>EKSJÖ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47204-2022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44851</v>
      </c>
      <c r="E456" s="1" t="n">
        <v>46295</v>
      </c>
      <c r="F456" t="inlineStr">
        <is>
          <t>JÖNKÖPINGS LÄN</t>
        </is>
      </c>
      <c r="G456" t="inlineStr">
        <is>
          <t>EKSJÖ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46295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45160</v>
      </c>
      <c r="E458" s="1" t="n">
        <v>46295</v>
      </c>
      <c r="F458" t="inlineStr">
        <is>
          <t>JÖNKÖPINGS LÄN</t>
        </is>
      </c>
      <c r="G458" t="inlineStr">
        <is>
          <t>EKSJÖ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45097</v>
      </c>
      <c r="E459" s="1" t="n">
        <v>46295</v>
      </c>
      <c r="F459" t="inlineStr">
        <is>
          <t>JÖNKÖPINGS LÄN</t>
        </is>
      </c>
      <c r="G459" t="inlineStr">
        <is>
          <t>EKSJÖ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46577-2022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44848</v>
      </c>
      <c r="E460" s="1" t="n">
        <v>46295</v>
      </c>
      <c r="F460" t="inlineStr">
        <is>
          <t>JÖNKÖPINGS LÄN</t>
        </is>
      </c>
      <c r="G460" t="inlineStr">
        <is>
          <t>EKSJÖ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46295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46295</v>
      </c>
      <c r="F462" t="inlineStr">
        <is>
          <t>JÖNKÖPINGS LÄN</t>
        </is>
      </c>
      <c r="G462" t="inlineStr">
        <is>
          <t>EKSJÖ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45532</v>
      </c>
      <c r="E463" s="1" t="n">
        <v>46295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46295</v>
      </c>
      <c r="F464" t="inlineStr">
        <is>
          <t>JÖNKÖPINGS LÄN</t>
        </is>
      </c>
      <c r="G464" t="inlineStr">
        <is>
          <t>EKSJÖ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46295</v>
      </c>
      <c r="F465" t="inlineStr">
        <is>
          <t>JÖNKÖPINGS LÄN</t>
        </is>
      </c>
      <c r="G465" t="inlineStr">
        <is>
          <t>EKSJÖ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46295</v>
      </c>
      <c r="F466" t="inlineStr">
        <is>
          <t>JÖNKÖPINGS LÄN</t>
        </is>
      </c>
      <c r="G466" t="inlineStr">
        <is>
          <t>EKSJÖ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45367-2024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45576</v>
      </c>
      <c r="E467" s="1" t="n">
        <v>46295</v>
      </c>
      <c r="F467" t="inlineStr">
        <is>
          <t>JÖNKÖPINGS LÄN</t>
        </is>
      </c>
      <c r="G467" t="inlineStr">
        <is>
          <t>EKSJÖ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26706-2022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44739</v>
      </c>
      <c r="E468" s="1" t="n">
        <v>46295</v>
      </c>
      <c r="F468" t="inlineStr">
        <is>
          <t>JÖNKÖPINGS LÄN</t>
        </is>
      </c>
      <c r="G468" t="inlineStr">
        <is>
          <t>EKSJÖ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71313-2021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44539</v>
      </c>
      <c r="E469" s="1" t="n">
        <v>46295</v>
      </c>
      <c r="F469" t="inlineStr">
        <is>
          <t>JÖNKÖPINGS LÄN</t>
        </is>
      </c>
      <c r="G469" t="inlineStr">
        <is>
          <t>EKSJÖ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46295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44939</v>
      </c>
      <c r="E471" s="1" t="n">
        <v>46295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46252</v>
      </c>
      <c r="E472" s="1" t="n">
        <v>46295</v>
      </c>
      <c r="F472" t="inlineStr">
        <is>
          <t>JÖNKÖPINGS LÄN</t>
        </is>
      </c>
      <c r="G472" t="inlineStr">
        <is>
          <t>EKSJÖ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46295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31331-2026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46212</v>
      </c>
      <c r="E474" s="1" t="n">
        <v>46295</v>
      </c>
      <c r="F474" t="inlineStr">
        <is>
          <t>JÖNKÖPINGS LÄN</t>
        </is>
      </c>
      <c r="G474" t="inlineStr">
        <is>
          <t>EKSJÖ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46209</v>
      </c>
      <c r="E475" s="1" t="n">
        <v>46295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26054-2023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46295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46209</v>
      </c>
      <c r="E477" s="1" t="n">
        <v>46295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46295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46295</v>
      </c>
      <c r="F479" t="inlineStr">
        <is>
          <t>JÖNKÖPINGS LÄN</t>
        </is>
      </c>
      <c r="G479" t="inlineStr">
        <is>
          <t>EKSJÖ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46295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45051</v>
      </c>
      <c r="E481" s="1" t="n">
        <v>46295</v>
      </c>
      <c r="F481" t="inlineStr">
        <is>
          <t>JÖNKÖPINGS LÄN</t>
        </is>
      </c>
      <c r="G481" t="inlineStr">
        <is>
          <t>EKSJÖ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44789</v>
      </c>
      <c r="E482" s="1" t="n">
        <v>46295</v>
      </c>
      <c r="F482" t="inlineStr">
        <is>
          <t>JÖNKÖPINGS LÄN</t>
        </is>
      </c>
      <c r="G482" t="inlineStr">
        <is>
          <t>EKSJÖ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45411</v>
      </c>
      <c r="E483" s="1" t="n">
        <v>46295</v>
      </c>
      <c r="F483" t="inlineStr">
        <is>
          <t>JÖNKÖPINGS LÄN</t>
        </is>
      </c>
      <c r="G483" t="inlineStr">
        <is>
          <t>EKSJÖ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46295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46295</v>
      </c>
      <c r="F485" t="inlineStr">
        <is>
          <t>JÖNKÖPINGS LÄN</t>
        </is>
      </c>
      <c r="G485" t="inlineStr">
        <is>
          <t>EKSJÖ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45082</v>
      </c>
      <c r="E486" s="1" t="n">
        <v>46295</v>
      </c>
      <c r="F486" t="inlineStr">
        <is>
          <t>JÖNKÖPINGS LÄN</t>
        </is>
      </c>
      <c r="G486" t="inlineStr">
        <is>
          <t>EKSJÖ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45086</v>
      </c>
      <c r="E487" s="1" t="n">
        <v>46295</v>
      </c>
      <c r="F487" t="inlineStr">
        <is>
          <t>JÖNKÖPINGS LÄN</t>
        </is>
      </c>
      <c r="G487" t="inlineStr">
        <is>
          <t>EKSJÖ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44925</v>
      </c>
      <c r="E488" s="1" t="n">
        <v>46295</v>
      </c>
      <c r="F488" t="inlineStr">
        <is>
          <t>JÖNKÖPINGS LÄN</t>
        </is>
      </c>
      <c r="G488" t="inlineStr">
        <is>
          <t>EKSJÖ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46295</v>
      </c>
      <c r="F489" t="inlineStr">
        <is>
          <t>JÖNKÖPINGS LÄN</t>
        </is>
      </c>
      <c r="G489" t="inlineStr">
        <is>
          <t>EKSJÖ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46295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46295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46295</v>
      </c>
      <c r="F492" t="inlineStr">
        <is>
          <t>JÖNKÖPINGS LÄN</t>
        </is>
      </c>
      <c r="G492" t="inlineStr">
        <is>
          <t>EKSJÖ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46295</v>
      </c>
      <c r="F493" t="inlineStr">
        <is>
          <t>JÖNKÖPINGS LÄN</t>
        </is>
      </c>
      <c r="G493" t="inlineStr">
        <is>
          <t>EKSJÖ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45078</v>
      </c>
      <c r="E494" s="1" t="n">
        <v>46295</v>
      </c>
      <c r="F494" t="inlineStr">
        <is>
          <t>JÖNKÖPINGS LÄN</t>
        </is>
      </c>
      <c r="G494" t="inlineStr">
        <is>
          <t>EKSJÖ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45154</v>
      </c>
      <c r="E495" s="1" t="n">
        <v>46295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65554-2021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44516</v>
      </c>
      <c r="E496" s="1" t="n">
        <v>46295</v>
      </c>
      <c r="F496" t="inlineStr">
        <is>
          <t>JÖNKÖPINGS LÄN</t>
        </is>
      </c>
      <c r="G496" t="inlineStr">
        <is>
          <t>EKSJÖ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19497-2025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45770</v>
      </c>
      <c r="E497" s="1" t="n">
        <v>46295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63959-2023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46295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28024-2022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44746</v>
      </c>
      <c r="E499" s="1" t="n">
        <v>46295</v>
      </c>
      <c r="F499" t="inlineStr">
        <is>
          <t>JÖNKÖPINGS LÄN</t>
        </is>
      </c>
      <c r="G499" t="inlineStr">
        <is>
          <t>EKSJÖ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32333-2022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44781</v>
      </c>
      <c r="E500" s="1" t="n">
        <v>46295</v>
      </c>
      <c r="F500" t="inlineStr">
        <is>
          <t>JÖNKÖPINGS LÄN</t>
        </is>
      </c>
      <c r="G500" t="inlineStr">
        <is>
          <t>EKSJÖ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32336-2022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44781</v>
      </c>
      <c r="E501" s="1" t="n">
        <v>46295</v>
      </c>
      <c r="F501" t="inlineStr">
        <is>
          <t>JÖNKÖPINGS LÄN</t>
        </is>
      </c>
      <c r="G501" t="inlineStr">
        <is>
          <t>EKSJÖ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35021-2026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46295</v>
      </c>
      <c r="F502" t="inlineStr">
        <is>
          <t>JÖNKÖPINGS LÄN</t>
        </is>
      </c>
      <c r="G502" t="inlineStr">
        <is>
          <t>EKSJÖ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45337</v>
      </c>
      <c r="E503" s="1" t="n">
        <v>46295</v>
      </c>
      <c r="F503" t="inlineStr">
        <is>
          <t>JÖNKÖPINGS LÄN</t>
        </is>
      </c>
      <c r="G503" t="inlineStr">
        <is>
          <t>EKSJÖ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45680</v>
      </c>
      <c r="E504" s="1" t="n">
        <v>46295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46295</v>
      </c>
      <c r="F505" t="inlineStr">
        <is>
          <t>JÖNKÖPINGS LÄN</t>
        </is>
      </c>
      <c r="G505" t="inlineStr">
        <is>
          <t>EKSJÖ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46295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64541-2023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46295</v>
      </c>
      <c r="F507" t="inlineStr">
        <is>
          <t>JÖNKÖPINGS LÄN</t>
        </is>
      </c>
      <c r="G507" t="inlineStr">
        <is>
          <t>EKSJÖ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44949</v>
      </c>
      <c r="E508" s="1" t="n">
        <v>46295</v>
      </c>
      <c r="F508" t="inlineStr">
        <is>
          <t>JÖNKÖPINGS LÄN</t>
        </is>
      </c>
      <c r="G508" t="inlineStr">
        <is>
          <t>EKSJÖ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8923-2025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45713</v>
      </c>
      <c r="E509" s="1" t="n">
        <v>46295</v>
      </c>
      <c r="F509" t="inlineStr">
        <is>
          <t>JÖNKÖPINGS LÄN</t>
        </is>
      </c>
      <c r="G509" t="inlineStr">
        <is>
          <t>EKSJÖ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45057</v>
      </c>
      <c r="E510" s="1" t="n">
        <v>46295</v>
      </c>
      <c r="F510" t="inlineStr">
        <is>
          <t>JÖNKÖPINGS LÄN</t>
        </is>
      </c>
      <c r="G510" t="inlineStr">
        <is>
          <t>EKSJÖ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46295</v>
      </c>
      <c r="F511" t="inlineStr">
        <is>
          <t>JÖNKÖPINGS LÄN</t>
        </is>
      </c>
      <c r="G511" t="inlineStr">
        <is>
          <t>EKSJÖ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64993-2023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45286</v>
      </c>
      <c r="E512" s="1" t="n">
        <v>46295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45659</v>
      </c>
      <c r="E513" s="1" t="n">
        <v>46295</v>
      </c>
      <c r="F513" t="inlineStr">
        <is>
          <t>JÖNKÖPINGS LÄN</t>
        </is>
      </c>
      <c r="G513" t="inlineStr">
        <is>
          <t>EKSJÖ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18337-2025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45762</v>
      </c>
      <c r="E514" s="1" t="n">
        <v>46295</v>
      </c>
      <c r="F514" t="inlineStr">
        <is>
          <t>JÖNKÖPINGS LÄN</t>
        </is>
      </c>
      <c r="G514" t="inlineStr">
        <is>
          <t>EKSJÖ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46295</v>
      </c>
      <c r="F515" t="inlineStr">
        <is>
          <t>JÖNKÖPINGS LÄN</t>
        </is>
      </c>
      <c r="G515" t="inlineStr">
        <is>
          <t>EKSJÖ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46295</v>
      </c>
      <c r="F516" t="inlineStr">
        <is>
          <t>JÖNKÖPINGS LÄN</t>
        </is>
      </c>
      <c r="G516" t="inlineStr">
        <is>
          <t>EKSJÖ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27395-2023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46295</v>
      </c>
      <c r="F517" t="inlineStr">
        <is>
          <t>JÖNKÖPINGS LÄN</t>
        </is>
      </c>
      <c r="G517" t="inlineStr">
        <is>
          <t>EKSJÖ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46295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36700-2026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46272</v>
      </c>
      <c r="E519" s="1" t="n">
        <v>46295</v>
      </c>
      <c r="F519" t="inlineStr">
        <is>
          <t>JÖNKÖPINGS LÄN</t>
        </is>
      </c>
      <c r="G519" t="inlineStr">
        <is>
          <t>EKSJÖ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46295</v>
      </c>
      <c r="F520" t="inlineStr">
        <is>
          <t>JÖNKÖPINGS LÄN</t>
        </is>
      </c>
      <c r="G520" t="inlineStr">
        <is>
          <t>EKSJÖ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44940</v>
      </c>
      <c r="E521" s="1" t="n">
        <v>46295</v>
      </c>
      <c r="F521" t="inlineStr">
        <is>
          <t>JÖNKÖPINGS LÄN</t>
        </is>
      </c>
      <c r="G521" t="inlineStr">
        <is>
          <t>EKSJÖ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44941</v>
      </c>
      <c r="E522" s="1" t="n">
        <v>46295</v>
      </c>
      <c r="F522" t="inlineStr">
        <is>
          <t>JÖNKÖPINGS LÄN</t>
        </is>
      </c>
      <c r="G522" t="inlineStr">
        <is>
          <t>EKSJÖ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45214</v>
      </c>
      <c r="E523" s="1" t="n">
        <v>46295</v>
      </c>
      <c r="F523" t="inlineStr">
        <is>
          <t>JÖNKÖPINGS LÄN</t>
        </is>
      </c>
      <c r="G523" t="inlineStr">
        <is>
          <t>EKSJÖ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47806-2023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46295</v>
      </c>
      <c r="F524" t="inlineStr">
        <is>
          <t>JÖNKÖPINGS LÄN</t>
        </is>
      </c>
      <c r="G524" t="inlineStr">
        <is>
          <t>EKSJÖ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46295</v>
      </c>
      <c r="F525" t="inlineStr">
        <is>
          <t>JÖNKÖPINGS LÄN</t>
        </is>
      </c>
      <c r="G525" t="inlineStr">
        <is>
          <t>EKSJÖ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37270-2026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46295</v>
      </c>
      <c r="F526" t="inlineStr">
        <is>
          <t>JÖNKÖPINGS LÄN</t>
        </is>
      </c>
      <c r="G526" t="inlineStr">
        <is>
          <t>EKSJÖ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49681-2023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45212</v>
      </c>
      <c r="E527" s="1" t="n">
        <v>46295</v>
      </c>
      <c r="F527" t="inlineStr">
        <is>
          <t>JÖNKÖPINGS LÄN</t>
        </is>
      </c>
      <c r="G527" t="inlineStr">
        <is>
          <t>EKSJÖ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61850-2024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45649</v>
      </c>
      <c r="E528" s="1" t="n">
        <v>46295</v>
      </c>
      <c r="F528" t="inlineStr">
        <is>
          <t>JÖNKÖPINGS LÄN</t>
        </is>
      </c>
      <c r="G528" t="inlineStr">
        <is>
          <t>EKSJÖ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34772-2023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45141</v>
      </c>
      <c r="E529" s="1" t="n">
        <v>46295</v>
      </c>
      <c r="F529" t="inlineStr">
        <is>
          <t>JÖNKÖPINGS LÄN</t>
        </is>
      </c>
      <c r="G529" t="inlineStr">
        <is>
          <t>EKSJÖ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45054</v>
      </c>
      <c r="E530" s="1" t="n">
        <v>46295</v>
      </c>
      <c r="F530" t="inlineStr">
        <is>
          <t>JÖNKÖPINGS LÄN</t>
        </is>
      </c>
      <c r="G530" t="inlineStr">
        <is>
          <t>EKSJÖ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46019-2022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44846</v>
      </c>
      <c r="E531" s="1" t="n">
        <v>46295</v>
      </c>
      <c r="F531" t="inlineStr">
        <is>
          <t>JÖNKÖPINGS LÄN</t>
        </is>
      </c>
      <c r="G531" t="inlineStr">
        <is>
          <t>EKSJÖ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45493-2022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44845</v>
      </c>
      <c r="E532" s="1" t="n">
        <v>46295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46295</v>
      </c>
      <c r="F533" t="inlineStr">
        <is>
          <t>JÖNKÖPINGS LÄN</t>
        </is>
      </c>
      <c r="G533" t="inlineStr">
        <is>
          <t>EKSJÖ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36354-2022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44803</v>
      </c>
      <c r="E534" s="1" t="n">
        <v>46295</v>
      </c>
      <c r="F534" t="inlineStr">
        <is>
          <t>JÖNKÖPINGS LÄN</t>
        </is>
      </c>
      <c r="G534" t="inlineStr">
        <is>
          <t>EKSJÖ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46295</v>
      </c>
      <c r="F535" t="inlineStr">
        <is>
          <t>JÖNKÖPINGS LÄN</t>
        </is>
      </c>
      <c r="G535" t="inlineStr">
        <is>
          <t>EKSJÖ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29878-2023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45107</v>
      </c>
      <c r="E536" s="1" t="n">
        <v>46295</v>
      </c>
      <c r="F536" t="inlineStr">
        <is>
          <t>JÖNKÖPINGS LÄN</t>
        </is>
      </c>
      <c r="G536" t="inlineStr">
        <is>
          <t>EKSJÖ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44925</v>
      </c>
      <c r="E537" s="1" t="n">
        <v>46295</v>
      </c>
      <c r="F537" t="inlineStr">
        <is>
          <t>JÖNKÖPINGS LÄN</t>
        </is>
      </c>
      <c r="G537" t="inlineStr">
        <is>
          <t>EKSJÖ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45373</v>
      </c>
      <c r="E538" s="1" t="n">
        <v>46295</v>
      </c>
      <c r="F538" t="inlineStr">
        <is>
          <t>JÖNKÖPINGS LÄN</t>
        </is>
      </c>
      <c r="G538" t="inlineStr">
        <is>
          <t>EKSJÖ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46295</v>
      </c>
      <c r="F539" t="inlineStr">
        <is>
          <t>JÖNKÖPINGS LÄN</t>
        </is>
      </c>
      <c r="G539" t="inlineStr">
        <is>
          <t>EKSJÖ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38207-2026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46281</v>
      </c>
      <c r="E540" s="1" t="n">
        <v>46295</v>
      </c>
      <c r="F540" t="inlineStr">
        <is>
          <t>JÖNKÖPINGS LÄN</t>
        </is>
      </c>
      <c r="G540" t="inlineStr">
        <is>
          <t>EKSJÖ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46295</v>
      </c>
      <c r="F541" t="inlineStr">
        <is>
          <t>JÖNKÖPINGS LÄN</t>
        </is>
      </c>
      <c r="G541" t="inlineStr">
        <is>
          <t>EKSJÖ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46295</v>
      </c>
      <c r="F542" t="inlineStr">
        <is>
          <t>JÖNKÖPINGS LÄN</t>
        </is>
      </c>
      <c r="G542" t="inlineStr">
        <is>
          <t>EKSJÖ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45334</v>
      </c>
      <c r="E543" s="1" t="n">
        <v>46295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45463</v>
      </c>
      <c r="E544" s="1" t="n">
        <v>46295</v>
      </c>
      <c r="F544" t="inlineStr">
        <is>
          <t>JÖNKÖPINGS LÄN</t>
        </is>
      </c>
      <c r="G544" t="inlineStr">
        <is>
          <t>EKSJÖ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45161</v>
      </c>
      <c r="E545" s="1" t="n">
        <v>46295</v>
      </c>
      <c r="F545" t="inlineStr">
        <is>
          <t>JÖNKÖPINGS LÄN</t>
        </is>
      </c>
      <c r="G545" t="inlineStr">
        <is>
          <t>EKSJÖ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54470-2024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45617</v>
      </c>
      <c r="E546" s="1" t="n">
        <v>46295</v>
      </c>
      <c r="F546" t="inlineStr">
        <is>
          <t>JÖNKÖPINGS LÄN</t>
        </is>
      </c>
      <c r="G546" t="inlineStr">
        <is>
          <t>EKSJÖ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38707-2026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46281</v>
      </c>
      <c r="E547" s="1" t="n">
        <v>46295</v>
      </c>
      <c r="F547" t="inlineStr">
        <is>
          <t>JÖNKÖPINGS LÄN</t>
        </is>
      </c>
      <c r="G547" t="inlineStr">
        <is>
          <t>EKSJÖ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46283</v>
      </c>
      <c r="E548" s="1" t="n">
        <v>46295</v>
      </c>
      <c r="F548" t="inlineStr">
        <is>
          <t>JÖNKÖPINGS LÄN</t>
        </is>
      </c>
      <c r="G548" t="inlineStr">
        <is>
          <t>EKSJÖ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44580</v>
      </c>
      <c r="E549" s="1" t="n">
        <v>46295</v>
      </c>
      <c r="F549" t="inlineStr">
        <is>
          <t>JÖNKÖPINGS LÄN</t>
        </is>
      </c>
      <c r="G549" t="inlineStr">
        <is>
          <t>EKSJÖ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46295</v>
      </c>
      <c r="F550" t="inlineStr">
        <is>
          <t>JÖNKÖPINGS LÄN</t>
        </is>
      </c>
      <c r="G550" t="inlineStr">
        <is>
          <t>EKSJÖ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46295</v>
      </c>
      <c r="F551" t="inlineStr">
        <is>
          <t>JÖNKÖPINGS LÄN</t>
        </is>
      </c>
      <c r="G551" t="inlineStr">
        <is>
          <t>EKSJÖ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46295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45677</v>
      </c>
      <c r="E553" s="1" t="n">
        <v>46295</v>
      </c>
      <c r="F553" t="inlineStr">
        <is>
          <t>JÖNKÖPINGS LÄN</t>
        </is>
      </c>
      <c r="G553" t="inlineStr">
        <is>
          <t>EKSJÖ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46295</v>
      </c>
      <c r="F554" t="inlineStr">
        <is>
          <t>JÖNKÖPINGS LÄN</t>
        </is>
      </c>
      <c r="G554" t="inlineStr">
        <is>
          <t>EKSJÖ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46295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46295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46295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46295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46295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46295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46295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33453-2026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46295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46295</v>
      </c>
      <c r="F563" t="inlineStr">
        <is>
          <t>JÖNKÖPINGS LÄN</t>
        </is>
      </c>
      <c r="G563" t="inlineStr">
        <is>
          <t>EKSJÖ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46295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45777</v>
      </c>
      <c r="E565" s="1" t="n">
        <v>46295</v>
      </c>
      <c r="F565" t="inlineStr">
        <is>
          <t>JÖNKÖPINGS LÄN</t>
        </is>
      </c>
      <c r="G565" t="inlineStr">
        <is>
          <t>EKSJÖ</t>
        </is>
      </c>
      <c r="H565" t="inlineStr">
        <is>
          <t>Kommuner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45779</v>
      </c>
      <c r="E566" s="1" t="n">
        <v>46295</v>
      </c>
      <c r="F566" t="inlineStr">
        <is>
          <t>JÖNKÖPINGS LÄN</t>
        </is>
      </c>
      <c r="G566" t="inlineStr">
        <is>
          <t>EKSJÖ</t>
        </is>
      </c>
      <c r="H566" t="inlineStr">
        <is>
          <t>Kommuner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46295</v>
      </c>
      <c r="F567" t="inlineStr">
        <is>
          <t>JÖNKÖPINGS LÄN</t>
        </is>
      </c>
      <c r="G567" t="inlineStr">
        <is>
          <t>EKSJÖ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46247</v>
      </c>
      <c r="E568" s="1" t="n">
        <v>46295</v>
      </c>
      <c r="F568" t="inlineStr">
        <is>
          <t>JÖNKÖPINGS LÄN</t>
        </is>
      </c>
      <c r="G568" t="inlineStr">
        <is>
          <t>EKSJÖ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45175</v>
      </c>
      <c r="E569" s="1" t="n">
        <v>46295</v>
      </c>
      <c r="F569" t="inlineStr">
        <is>
          <t>JÖNKÖPINGS LÄN</t>
        </is>
      </c>
      <c r="G569" t="inlineStr">
        <is>
          <t>EKSJÖ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39606-2026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46289</v>
      </c>
      <c r="E570" s="1" t="n">
        <v>46295</v>
      </c>
      <c r="F570" t="inlineStr">
        <is>
          <t>JÖNKÖPINGS LÄN</t>
        </is>
      </c>
      <c r="G570" t="inlineStr">
        <is>
          <t>EKSJÖ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46295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46295</v>
      </c>
      <c r="F572" t="inlineStr">
        <is>
          <t>JÖNKÖPINGS LÄN</t>
        </is>
      </c>
      <c r="G572" t="inlineStr">
        <is>
          <t>EKSJÖ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45786</v>
      </c>
      <c r="E573" s="1" t="n">
        <v>46295</v>
      </c>
      <c r="F573" t="inlineStr">
        <is>
          <t>JÖNKÖPINGS LÄN</t>
        </is>
      </c>
      <c r="G573" t="inlineStr">
        <is>
          <t>EKSJÖ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39476-2026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46289</v>
      </c>
      <c r="E574" s="1" t="n">
        <v>46295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46295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46295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46295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46295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40413-2026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46294</v>
      </c>
      <c r="E579" s="1" t="n">
        <v>46295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545-2024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46295</v>
      </c>
      <c r="F580" t="inlineStr">
        <is>
          <t>JÖNKÖPINGS LÄN</t>
        </is>
      </c>
      <c r="G580" t="inlineStr">
        <is>
          <t>EKSJÖ</t>
        </is>
      </c>
      <c r="I580" t="n">
        <v>40.5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538-2024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46295</v>
      </c>
      <c r="F581" t="inlineStr">
        <is>
          <t>JÖNKÖPINGS LÄN</t>
        </is>
      </c>
      <c r="G581" t="inlineStr">
        <is>
          <t>EKSJÖ</t>
        </is>
      </c>
      <c r="I581" t="n">
        <v>25.6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544-2024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46295</v>
      </c>
      <c r="F582" t="inlineStr">
        <is>
          <t>JÖNKÖPINGS LÄN</t>
        </is>
      </c>
      <c r="G582" t="inlineStr">
        <is>
          <t>EKSJÖ</t>
        </is>
      </c>
      <c r="I582" t="n">
        <v>37.3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549-2024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46295</v>
      </c>
      <c r="F583" t="inlineStr">
        <is>
          <t>JÖNKÖPINGS LÄN</t>
        </is>
      </c>
      <c r="G583" t="inlineStr">
        <is>
          <t>EKSJÖ</t>
        </is>
      </c>
      <c r="I583" t="n">
        <v>30.9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2245-2023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45100</v>
      </c>
      <c r="E584" s="1" t="n">
        <v>46295</v>
      </c>
      <c r="F584" t="inlineStr">
        <is>
          <t>JÖNKÖPINGS LÄN</t>
        </is>
      </c>
      <c r="G584" t="inlineStr">
        <is>
          <t>EKSJÖ</t>
        </is>
      </c>
      <c r="I584" t="n">
        <v>33.4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46295</v>
      </c>
      <c r="F585" t="inlineStr">
        <is>
          <t>JÖNKÖPINGS LÄN</t>
        </is>
      </c>
      <c r="G585" t="inlineStr">
        <is>
          <t>EKSJÖ</t>
        </is>
      </c>
      <c r="I585" t="n">
        <v>22.7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541-2024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46295</v>
      </c>
      <c r="F586" t="inlineStr">
        <is>
          <t>JÖNKÖPINGS LÄN</t>
        </is>
      </c>
      <c r="G586" t="inlineStr">
        <is>
          <t>EKSJÖ</t>
        </is>
      </c>
      <c r="I586" t="n">
        <v>11.9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2270-2023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46295</v>
      </c>
      <c r="F587" t="inlineStr">
        <is>
          <t>JÖNKÖPINGS LÄN</t>
        </is>
      </c>
      <c r="G587" t="inlineStr">
        <is>
          <t>EKSJÖ</t>
        </is>
      </c>
      <c r="I587" t="n">
        <v>9.9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4938-2024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45628</v>
      </c>
      <c r="E588" s="1" t="n">
        <v>46295</v>
      </c>
      <c r="F588" t="inlineStr">
        <is>
          <t>JÖNKÖPINGS LÄN</t>
        </is>
      </c>
      <c r="G588" t="inlineStr">
        <is>
          <t>EKSJÖ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546-2024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46295</v>
      </c>
      <c r="F589" t="inlineStr">
        <is>
          <t>JÖNKÖPINGS LÄN</t>
        </is>
      </c>
      <c r="G589" t="inlineStr">
        <is>
          <t>EKSJÖ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46295</v>
      </c>
      <c r="F590" t="inlineStr">
        <is>
          <t>JÖNKÖPINGS LÄN</t>
        </is>
      </c>
      <c r="G590" t="inlineStr">
        <is>
          <t>EKSJÖ</t>
        </is>
      </c>
      <c r="I590" t="n">
        <v>25.9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543-2024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46295</v>
      </c>
      <c r="F591" t="inlineStr">
        <is>
          <t>JÖNKÖPINGS LÄN</t>
        </is>
      </c>
      <c r="G591" t="inlineStr">
        <is>
          <t>EKSJÖ</t>
        </is>
      </c>
      <c r="I591" t="n">
        <v>21.4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1407-2023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46295</v>
      </c>
      <c r="F592" t="inlineStr">
        <is>
          <t>JÖNKÖPINGS LÄN</t>
        </is>
      </c>
      <c r="G592" t="inlineStr">
        <is>
          <t>EKSJÖ</t>
        </is>
      </c>
      <c r="I592" t="n">
        <v>60.7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539-2024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46295</v>
      </c>
      <c r="F593" t="inlineStr">
        <is>
          <t>JÖNKÖPINGS LÄN</t>
        </is>
      </c>
      <c r="G593" t="inlineStr">
        <is>
          <t>EKSJÖ</t>
        </is>
      </c>
      <c r="I593" t="n">
        <v>41.7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2244-2023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46295</v>
      </c>
      <c r="F594" t="inlineStr">
        <is>
          <t>JÖNKÖPINGS LÄN</t>
        </is>
      </c>
      <c r="G594" t="inlineStr">
        <is>
          <t>EKSJÖ</t>
        </is>
      </c>
      <c r="I594" t="n">
        <v>26.1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2704-2023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45155</v>
      </c>
      <c r="E595" s="1" t="n">
        <v>46295</v>
      </c>
      <c r="F595" t="inlineStr">
        <is>
          <t>JÖNKÖPINGS LÄN</t>
        </is>
      </c>
      <c r="G595" t="inlineStr">
        <is>
          <t>EKSJÖ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1298-2025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45770</v>
      </c>
      <c r="E596" s="1" t="n">
        <v>46295</v>
      </c>
      <c r="F596" t="inlineStr">
        <is>
          <t>JÖNKÖPINGS LÄN</t>
        </is>
      </c>
      <c r="G596" t="inlineStr">
        <is>
          <t>EKSJÖ</t>
        </is>
      </c>
      <c r="H596" t="inlineStr">
        <is>
          <t>Sveaskog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949-2025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45741</v>
      </c>
      <c r="E597" s="1" t="n">
        <v>46295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583-2025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45712</v>
      </c>
      <c r="E598" s="1" t="n">
        <v>46295</v>
      </c>
      <c r="F598" t="inlineStr">
        <is>
          <t>JÖNKÖPINGS LÄN</t>
        </is>
      </c>
      <c r="G598" t="inlineStr">
        <is>
          <t>EKSJÖ</t>
        </is>
      </c>
      <c r="I598" t="n">
        <v>18.6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524-2025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45707</v>
      </c>
      <c r="E599" s="1" t="n">
        <v>46295</v>
      </c>
      <c r="F599" t="inlineStr">
        <is>
          <t>JÖNKÖPINGS LÄN</t>
        </is>
      </c>
      <c r="G599" t="inlineStr">
        <is>
          <t>EKSJÖ</t>
        </is>
      </c>
      <c r="I599" t="n">
        <v>114.6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1670-2025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45804</v>
      </c>
      <c r="E600" s="1" t="n">
        <v>46295</v>
      </c>
      <c r="F600" t="inlineStr">
        <is>
          <t>JÖNKÖPINGS LÄN</t>
        </is>
      </c>
      <c r="G600" t="inlineStr">
        <is>
          <t>EKSJÖ</t>
        </is>
      </c>
      <c r="I600" t="n">
        <v>21.5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2606-2025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45916</v>
      </c>
      <c r="E601" s="1" t="n">
        <v>46295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2834-2025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45940</v>
      </c>
      <c r="E602" s="1" t="n">
        <v>46295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1004-2026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46121</v>
      </c>
      <c r="E603" s="1" t="n">
        <v>46295</v>
      </c>
      <c r="F603" t="inlineStr">
        <is>
          <t>JÖNKÖPINGS LÄN</t>
        </is>
      </c>
      <c r="G603" t="inlineStr">
        <is>
          <t>EKSJÖ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1412-2026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46154</v>
      </c>
      <c r="E604" s="1" t="n">
        <v>46295</v>
      </c>
      <c r="F604" t="inlineStr">
        <is>
          <t>JÖNKÖPINGS LÄN</t>
        </is>
      </c>
      <c r="G604" t="inlineStr">
        <is>
          <t>EKSJÖ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1521-2026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46166</v>
      </c>
      <c r="E605" s="1" t="n">
        <v>46295</v>
      </c>
      <c r="F605" t="inlineStr">
        <is>
          <t>JÖNKÖPINGS LÄN</t>
        </is>
      </c>
      <c r="G605" t="inlineStr">
        <is>
          <t>EKSJÖ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1826-2026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46190</v>
      </c>
      <c r="E606" s="1" t="n">
        <v>46295</v>
      </c>
      <c r="F606" t="inlineStr">
        <is>
          <t>JÖNKÖPINGS LÄN</t>
        </is>
      </c>
      <c r="G606" t="inlineStr">
        <is>
          <t>EKSJÖ</t>
        </is>
      </c>
      <c r="I606" t="n">
        <v>117.5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1825-2026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46295</v>
      </c>
      <c r="F607" t="inlineStr">
        <is>
          <t>JÖNKÖPINGS LÄN</t>
        </is>
      </c>
      <c r="G607" t="inlineStr">
        <is>
          <t>EKSJÖ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1842-2026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46153</v>
      </c>
      <c r="E608" s="1" t="n">
        <v>46295</v>
      </c>
      <c r="F608" t="inlineStr">
        <is>
          <t>JÖNKÖPINGS LÄN</t>
        </is>
      </c>
      <c r="G608" t="inlineStr">
        <is>
          <t>EKSJÖ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1973-2026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46210</v>
      </c>
      <c r="E609" s="1" t="n">
        <v>46295</v>
      </c>
      <c r="F609" t="inlineStr">
        <is>
          <t>JÖNKÖPINGS LÄN</t>
        </is>
      </c>
      <c r="G609" t="inlineStr">
        <is>
          <t>EKSJÖ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2026-09-30T02:01:40Z</dcterms:created>
  <dcterms:modified xmlns:dcterms="http://purl.org/dc/terms/" xmlns:xsi="http://www.w3.org/2001/XMLSchema-instance" xsi:type="dcterms:W3CDTF">2026-09-30T02:01:41Z</dcterms:modified>
</cp:coreProperties>
</file>