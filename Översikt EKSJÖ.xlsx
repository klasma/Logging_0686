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46292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46292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46292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46292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46292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46292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46292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46292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46292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46292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46292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46292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46292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46292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46292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46292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46292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46292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46292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46292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46292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46292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46292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46292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38596-2026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46283</v>
      </c>
      <c r="E44" s="1" t="n">
        <v>46292</v>
      </c>
      <c r="F44" t="inlineStr">
        <is>
          <t>JÖNKÖPINGS LÄN</t>
        </is>
      </c>
      <c r="G44" t="inlineStr">
        <is>
          <t>EKSJÖ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HYPERLINK("https://klasma.github.io/Logging_0686/artfynd/A 38596-2026 artfynd.xlsx", "A 38596-2026")</f>
        <v/>
      </c>
      <c r="X44">
        <f>HYPERLINK("https://klasma.github.io/Logging_0686/kartor/A 38596-2026 karta.png", "A 38596-2026")</f>
        <v/>
      </c>
      <c r="Y44">
        <f>HYPERLINK("https://klasma.github.io/Logging_0686/kartor_geotiff/A 38596-2026 georefererad karta.tif", "A 38596-2026")</f>
        <v/>
      </c>
      <c r="AA44">
        <f>HYPERLINK("https://klasma.github.io/Logging_0686/klagomål/A 38596-2026 FSC-klagomål.docx", "A 38596-2026")</f>
        <v/>
      </c>
      <c r="AB44">
        <f>HYPERLINK("https://klasma.github.io/Logging_0686/klagomålsmail/A 38596-2026 FSC-klagomål mail.docx", "A 38596-2026")</f>
        <v/>
      </c>
      <c r="AC44">
        <f>HYPERLINK("https://klasma.github.io/Logging_0686/tillsyn/A 38596-2026 tillsynsbegäran.docx", "A 38596-2026")</f>
        <v/>
      </c>
      <c r="AD44">
        <f>HYPERLINK("https://klasma.github.io/Logging_0686/tillsynsmail/A 38596-2026 tillsynsbegäran mail.docx", "A 38596-2026")</f>
        <v/>
      </c>
    </row>
    <row r="45" ht="15" customHeight="1">
      <c r="A45" t="inlineStr">
        <is>
          <t>A 48033-2023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45204</v>
      </c>
      <c r="E45" s="1" t="n">
        <v>46292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48033-2023 artfynd.xlsx", "A 48033-2023")</f>
        <v/>
      </c>
      <c r="X45">
        <f>HYPERLINK("https://klasma.github.io/Logging_0686/kartor/A 48033-2023 karta.png", "A 48033-2023")</f>
        <v/>
      </c>
      <c r="Y45">
        <f>HYPERLINK("https://klasma.github.io/Logging_0686/kartor_geotiff/A 48033-2023 georefererad karta.tif", "A 48033-2023")</f>
        <v/>
      </c>
      <c r="AA45">
        <f>HYPERLINK("https://klasma.github.io/Logging_0686/klagomål/A 48033-2023 FSC-klagomål.docx", "A 48033-2023")</f>
        <v/>
      </c>
      <c r="AB45">
        <f>HYPERLINK("https://klasma.github.io/Logging_0686/klagomålsmail/A 48033-2023 FSC-klagomål mail.docx", "A 48033-2023")</f>
        <v/>
      </c>
      <c r="AC45">
        <f>HYPERLINK("https://klasma.github.io/Logging_0686/tillsyn/A 48033-2023 tillsynsbegäran.docx", "A 48033-2023")</f>
        <v/>
      </c>
      <c r="AD45">
        <f>HYPERLINK("https://klasma.github.io/Logging_0686/tillsynsmail/A 48033-2023 tillsynsbegäran mail.docx", "A 48033-2023")</f>
        <v/>
      </c>
    </row>
    <row r="46" ht="15" customHeight="1">
      <c r="A46" t="inlineStr">
        <is>
          <t>A 4964-2023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46292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HYPERLINK("https://klasma.github.io/Logging_0686/artfynd/A 4964-2023 artfynd.xlsx", "A 4964-2023")</f>
        <v/>
      </c>
      <c r="X46">
        <f>HYPERLINK("https://klasma.github.io/Logging_0686/kartor/A 4964-2023 karta.png", "A 4964-2023")</f>
        <v/>
      </c>
      <c r="Y46">
        <f>HYPERLINK("https://klasma.github.io/Logging_0686/kartor_geotiff/A 4964-2023 georefererad karta.tif", "A 4964-2023")</f>
        <v/>
      </c>
      <c r="AA46">
        <f>HYPERLINK("https://klasma.github.io/Logging_0686/klagomål/A 4964-2023 FSC-klagomål.docx", "A 4964-2023")</f>
        <v/>
      </c>
      <c r="AB46">
        <f>HYPERLINK("https://klasma.github.io/Logging_0686/klagomålsmail/A 4964-2023 FSC-klagomål mail.docx", "A 4964-2023")</f>
        <v/>
      </c>
      <c r="AC46">
        <f>HYPERLINK("https://klasma.github.io/Logging_0686/tillsyn/A 4964-2023 tillsynsbegäran.docx", "A 4964-2023")</f>
        <v/>
      </c>
      <c r="AD46">
        <f>HYPERLINK("https://klasma.github.io/Logging_0686/tillsynsmail/A 4964-2023 tillsynsbegäran mail.docx", "A 4964-2023")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46292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46292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46292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46292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46292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46292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46292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46292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46292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46292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46292</v>
      </c>
      <c r="F66" t="inlineStr">
        <is>
          <t>JÖNKÖPINGS LÄN</t>
        </is>
      </c>
      <c r="G66" t="inlineStr">
        <is>
          <t>EKSJÖ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46292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46292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46292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46292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46292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46292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46292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46292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46292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46292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46292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46292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46292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46292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46292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46292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46292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46292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46292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46292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46292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46292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46292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46292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46292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46292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46292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46292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46292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46292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46292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46292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46292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46292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46292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46292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46292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46292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46292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46292</v>
      </c>
      <c r="F106" t="inlineStr">
        <is>
          <t>JÖNKÖPINGS LÄN</t>
        </is>
      </c>
      <c r="G106" t="inlineStr">
        <is>
          <t>EKSJÖ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46292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46292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45334</v>
      </c>
      <c r="E109" s="1" t="n">
        <v>46292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46292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43411-2022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44834</v>
      </c>
      <c r="E111" s="1" t="n">
        <v>46292</v>
      </c>
      <c r="F111" t="inlineStr">
        <is>
          <t>JÖNKÖPINGS LÄN</t>
        </is>
      </c>
      <c r="G111" t="inlineStr">
        <is>
          <t>EKSJÖ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46292</v>
      </c>
      <c r="F112" t="inlineStr">
        <is>
          <t>JÖNKÖPINGS LÄN</t>
        </is>
      </c>
      <c r="G112" t="inlineStr">
        <is>
          <t>EKSJÖ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45512</v>
      </c>
      <c r="E113" s="1" t="n">
        <v>46292</v>
      </c>
      <c r="F113" t="inlineStr">
        <is>
          <t>JÖNKÖPINGS LÄN</t>
        </is>
      </c>
      <c r="G113" t="inlineStr">
        <is>
          <t>EKSJÖ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46292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46292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46292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46292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46292</v>
      </c>
      <c r="F118" t="inlineStr">
        <is>
          <t>JÖNKÖPINGS LÄN</t>
        </is>
      </c>
      <c r="G118" t="inlineStr">
        <is>
          <t>EKSJÖ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46292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46292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46292</v>
      </c>
      <c r="F121" t="inlineStr">
        <is>
          <t>JÖNKÖPINGS LÄN</t>
        </is>
      </c>
      <c r="G121" t="inlineStr">
        <is>
          <t>EKSJÖ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46292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46292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46292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45300</v>
      </c>
      <c r="E125" s="1" t="n">
        <v>46292</v>
      </c>
      <c r="F125" t="inlineStr">
        <is>
          <t>JÖNKÖPINGS LÄN</t>
        </is>
      </c>
      <c r="G125" t="inlineStr">
        <is>
          <t>EKSJÖ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46292</v>
      </c>
      <c r="F126" t="inlineStr">
        <is>
          <t>JÖNKÖPINGS LÄN</t>
        </is>
      </c>
      <c r="G126" t="inlineStr">
        <is>
          <t>EKSJÖ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46292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46292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46292</v>
      </c>
      <c r="F129" t="inlineStr">
        <is>
          <t>JÖNKÖPINGS LÄN</t>
        </is>
      </c>
      <c r="G129" t="inlineStr">
        <is>
          <t>EKSJÖ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46292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46292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46292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46292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45154</v>
      </c>
      <c r="E134" s="1" t="n">
        <v>46292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46292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46292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46292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30931-2023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45113</v>
      </c>
      <c r="E138" s="1" t="n">
        <v>46292</v>
      </c>
      <c r="F138" t="inlineStr">
        <is>
          <t>JÖNKÖPINGS LÄN</t>
        </is>
      </c>
      <c r="G138" t="inlineStr">
        <is>
          <t>EKSJÖ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46292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46292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14382-2025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45741</v>
      </c>
      <c r="E141" s="1" t="n">
        <v>46292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46292</v>
      </c>
      <c r="F142" t="inlineStr">
        <is>
          <t>JÖNKÖPINGS LÄN</t>
        </is>
      </c>
      <c r="G142" t="inlineStr">
        <is>
          <t>EKSJÖ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46292</v>
      </c>
      <c r="F143" t="inlineStr">
        <is>
          <t>JÖNKÖPINGS LÄN</t>
        </is>
      </c>
      <c r="G143" t="inlineStr">
        <is>
          <t>EKSJÖ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46292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46292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45741</v>
      </c>
      <c r="E146" s="1" t="n">
        <v>46292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46292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46292</v>
      </c>
      <c r="F148" t="inlineStr">
        <is>
          <t>JÖNKÖPINGS LÄN</t>
        </is>
      </c>
      <c r="G148" t="inlineStr">
        <is>
          <t>EKSJÖ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46292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46292</v>
      </c>
      <c r="F150" t="inlineStr">
        <is>
          <t>JÖNKÖPINGS LÄN</t>
        </is>
      </c>
      <c r="G150" t="inlineStr">
        <is>
          <t>EKSJÖ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46292</v>
      </c>
      <c r="F151" t="inlineStr">
        <is>
          <t>JÖNKÖPINGS LÄN</t>
        </is>
      </c>
      <c r="G151" t="inlineStr">
        <is>
          <t>EKSJÖ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46292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46292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46292</v>
      </c>
      <c r="F154" t="inlineStr">
        <is>
          <t>JÖNKÖPINGS LÄN</t>
        </is>
      </c>
      <c r="G154" t="inlineStr">
        <is>
          <t>EKSJÖ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45837</v>
      </c>
      <c r="E155" s="1" t="n">
        <v>46292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46292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44477</v>
      </c>
      <c r="E157" s="1" t="n">
        <v>46292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46292</v>
      </c>
      <c r="F158" t="inlineStr">
        <is>
          <t>JÖNKÖPINGS LÄN</t>
        </is>
      </c>
      <c r="G158" t="inlineStr">
        <is>
          <t>EKSJÖ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46292</v>
      </c>
      <c r="F159" t="inlineStr">
        <is>
          <t>JÖNKÖPINGS LÄN</t>
        </is>
      </c>
      <c r="G159" t="inlineStr">
        <is>
          <t>EKSJÖ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46292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45530</v>
      </c>
      <c r="E161" s="1" t="n">
        <v>46292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46292</v>
      </c>
      <c r="F162" t="inlineStr">
        <is>
          <t>JÖNKÖPINGS LÄN</t>
        </is>
      </c>
      <c r="G162" t="inlineStr">
        <is>
          <t>EKSJÖ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46292</v>
      </c>
      <c r="F163" t="inlineStr">
        <is>
          <t>JÖNKÖPINGS LÄN</t>
        </is>
      </c>
      <c r="G163" t="inlineStr">
        <is>
          <t>EKSJÖ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46292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46292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46292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46292</v>
      </c>
      <c r="F167" t="inlineStr">
        <is>
          <t>JÖNKÖPINGS LÄN</t>
        </is>
      </c>
      <c r="G167" t="inlineStr">
        <is>
          <t>EKSJÖ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46292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46292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46292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46292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46292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46292</v>
      </c>
      <c r="F173" t="inlineStr">
        <is>
          <t>JÖNKÖPINGS LÄN</t>
        </is>
      </c>
      <c r="G173" t="inlineStr">
        <is>
          <t>EKSJÖ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46292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46292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46292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46292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46292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46292</v>
      </c>
      <c r="F179" t="inlineStr">
        <is>
          <t>JÖNKÖPINGS LÄN</t>
        </is>
      </c>
      <c r="G179" t="inlineStr">
        <is>
          <t>EKSJÖ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46292</v>
      </c>
      <c r="F180" t="inlineStr">
        <is>
          <t>JÖNKÖPINGS LÄN</t>
        </is>
      </c>
      <c r="G180" t="inlineStr">
        <is>
          <t>EKSJÖ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46292</v>
      </c>
      <c r="F181" t="inlineStr">
        <is>
          <t>JÖNKÖPINGS LÄN</t>
        </is>
      </c>
      <c r="G181" t="inlineStr">
        <is>
          <t>EKSJÖ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46292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46292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46292</v>
      </c>
      <c r="F184" t="inlineStr">
        <is>
          <t>JÖNKÖPINGS LÄN</t>
        </is>
      </c>
      <c r="G184" t="inlineStr">
        <is>
          <t>EKSJÖ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46056</v>
      </c>
      <c r="E185" s="1" t="n">
        <v>46292</v>
      </c>
      <c r="F185" t="inlineStr">
        <is>
          <t>JÖNKÖPINGS LÄN</t>
        </is>
      </c>
      <c r="G185" t="inlineStr">
        <is>
          <t>EKSJÖ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46292</v>
      </c>
      <c r="F186" t="inlineStr">
        <is>
          <t>JÖNKÖPINGS LÄN</t>
        </is>
      </c>
      <c r="G186" t="inlineStr">
        <is>
          <t>EKSJÖ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46292</v>
      </c>
      <c r="F187" t="inlineStr">
        <is>
          <t>JÖNKÖPINGS LÄN</t>
        </is>
      </c>
      <c r="G187" t="inlineStr">
        <is>
          <t>EKSJÖ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46292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46292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46292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46292</v>
      </c>
      <c r="F191" t="inlineStr">
        <is>
          <t>JÖNKÖPINGS LÄN</t>
        </is>
      </c>
      <c r="G191" t="inlineStr">
        <is>
          <t>EKSJÖ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46292</v>
      </c>
      <c r="F192" t="inlineStr">
        <is>
          <t>JÖNKÖPINGS LÄN</t>
        </is>
      </c>
      <c r="G192" t="inlineStr">
        <is>
          <t>EKSJÖ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46292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46292</v>
      </c>
      <c r="F194" t="inlineStr">
        <is>
          <t>JÖNKÖPINGS LÄN</t>
        </is>
      </c>
      <c r="G194" t="inlineStr">
        <is>
          <t>EKSJÖ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44526-2025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45916</v>
      </c>
      <c r="E195" s="1" t="n">
        <v>46292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46292</v>
      </c>
      <c r="F196" t="inlineStr">
        <is>
          <t>JÖNKÖPINGS LÄN</t>
        </is>
      </c>
      <c r="G196" t="inlineStr">
        <is>
          <t>EKSJÖ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46292</v>
      </c>
      <c r="F197" t="inlineStr">
        <is>
          <t>JÖNKÖPINGS LÄN</t>
        </is>
      </c>
      <c r="G197" t="inlineStr">
        <is>
          <t>EKSJÖ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44574</v>
      </c>
      <c r="E198" s="1" t="n">
        <v>46292</v>
      </c>
      <c r="F198" t="inlineStr">
        <is>
          <t>JÖNKÖPINGS LÄN</t>
        </is>
      </c>
      <c r="G198" t="inlineStr">
        <is>
          <t>EKSJÖ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46292</v>
      </c>
      <c r="F199" t="inlineStr">
        <is>
          <t>JÖNKÖPINGS LÄN</t>
        </is>
      </c>
      <c r="G199" t="inlineStr">
        <is>
          <t>EKSJÖ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46292</v>
      </c>
      <c r="F200" t="inlineStr">
        <is>
          <t>JÖNKÖPINGS LÄN</t>
        </is>
      </c>
      <c r="G200" t="inlineStr">
        <is>
          <t>EKSJÖ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46292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46292</v>
      </c>
      <c r="F202" t="inlineStr">
        <is>
          <t>JÖNKÖPINGS LÄN</t>
        </is>
      </c>
      <c r="G202" t="inlineStr">
        <is>
          <t>EKSJÖ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46292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46292</v>
      </c>
      <c r="F204" t="inlineStr">
        <is>
          <t>JÖNKÖPINGS LÄN</t>
        </is>
      </c>
      <c r="G204" t="inlineStr">
        <is>
          <t>EKSJÖ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44888</v>
      </c>
      <c r="E205" s="1" t="n">
        <v>46292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46292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46292</v>
      </c>
      <c r="F207" t="inlineStr">
        <is>
          <t>JÖNKÖPINGS LÄN</t>
        </is>
      </c>
      <c r="G207" t="inlineStr">
        <is>
          <t>EKSJÖ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46292</v>
      </c>
      <c r="F208" t="inlineStr">
        <is>
          <t>JÖNKÖPINGS LÄN</t>
        </is>
      </c>
      <c r="G208" t="inlineStr">
        <is>
          <t>EKSJÖ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46292</v>
      </c>
      <c r="F209" t="inlineStr">
        <is>
          <t>JÖNKÖPINGS LÄN</t>
        </is>
      </c>
      <c r="G209" t="inlineStr">
        <is>
          <t>EKSJÖ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46292</v>
      </c>
      <c r="F210" t="inlineStr">
        <is>
          <t>JÖNKÖPINGS LÄN</t>
        </is>
      </c>
      <c r="G210" t="inlineStr">
        <is>
          <t>EKSJÖ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46292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44623</v>
      </c>
      <c r="E212" s="1" t="n">
        <v>46292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46292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12821-2024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45384</v>
      </c>
      <c r="E214" s="1" t="n">
        <v>46292</v>
      </c>
      <c r="F214" t="inlineStr">
        <is>
          <t>JÖNKÖPINGS LÄN</t>
        </is>
      </c>
      <c r="G214" t="inlineStr">
        <is>
          <t>EKSJÖ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46292</v>
      </c>
      <c r="F215" t="inlineStr">
        <is>
          <t>JÖNKÖPINGS LÄN</t>
        </is>
      </c>
      <c r="G215" t="inlineStr">
        <is>
          <t>EKSJÖ</t>
        </is>
      </c>
      <c r="H215" t="inlineStr">
        <is>
          <t>Övriga Aktiebolag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46292</v>
      </c>
      <c r="F216" t="inlineStr">
        <is>
          <t>JÖNKÖPINGS LÄN</t>
        </is>
      </c>
      <c r="G216" t="inlineStr">
        <is>
          <t>EKSJÖ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46292</v>
      </c>
      <c r="F217" t="inlineStr">
        <is>
          <t>JÖNKÖPINGS LÄN</t>
        </is>
      </c>
      <c r="G217" t="inlineStr">
        <is>
          <t>EKSJÖ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46292</v>
      </c>
      <c r="F218" t="inlineStr">
        <is>
          <t>JÖNKÖPINGS LÄN</t>
        </is>
      </c>
      <c r="G218" t="inlineStr">
        <is>
          <t>EKSJÖ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46292</v>
      </c>
      <c r="F219" t="inlineStr">
        <is>
          <t>JÖNKÖPINGS LÄN</t>
        </is>
      </c>
      <c r="G219" t="inlineStr">
        <is>
          <t>EKSJÖ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46292</v>
      </c>
      <c r="F220" t="inlineStr">
        <is>
          <t>JÖNKÖPINGS LÄN</t>
        </is>
      </c>
      <c r="G220" t="inlineStr">
        <is>
          <t>EKSJÖ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45364</v>
      </c>
      <c r="E221" s="1" t="n">
        <v>46292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46292</v>
      </c>
      <c r="F222" t="inlineStr">
        <is>
          <t>JÖNKÖPINGS LÄN</t>
        </is>
      </c>
      <c r="G222" t="inlineStr">
        <is>
          <t>EKSJÖ</t>
        </is>
      </c>
      <c r="H222" t="inlineStr">
        <is>
          <t>Övriga Aktiebolag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46292</v>
      </c>
      <c r="F223" t="inlineStr">
        <is>
          <t>JÖNKÖPINGS LÄN</t>
        </is>
      </c>
      <c r="G223" t="inlineStr">
        <is>
          <t>EKSJÖ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46292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44701</v>
      </c>
      <c r="E225" s="1" t="n">
        <v>46292</v>
      </c>
      <c r="F225" t="inlineStr">
        <is>
          <t>JÖNKÖPINGS LÄN</t>
        </is>
      </c>
      <c r="G225" t="inlineStr">
        <is>
          <t>EKSJÖ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45251</v>
      </c>
      <c r="E226" s="1" t="n">
        <v>46292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46292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46292</v>
      </c>
      <c r="F228" t="inlineStr">
        <is>
          <t>JÖNKÖPINGS LÄN</t>
        </is>
      </c>
      <c r="G228" t="inlineStr">
        <is>
          <t>EKSJÖ</t>
        </is>
      </c>
      <c r="H228" t="inlineStr">
        <is>
          <t>Övriga Aktiebolag</t>
        </is>
      </c>
      <c r="I228" t="n">
        <v>17.5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46292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46292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46292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46292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46292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46292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46292</v>
      </c>
      <c r="F235" t="inlineStr">
        <is>
          <t>JÖNKÖPINGS LÄN</t>
        </is>
      </c>
      <c r="G235" t="inlineStr">
        <is>
          <t>EKSJÖ</t>
        </is>
      </c>
      <c r="H235" t="inlineStr">
        <is>
          <t>Kommuner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46292</v>
      </c>
      <c r="F236" t="inlineStr">
        <is>
          <t>JÖNKÖPINGS LÄN</t>
        </is>
      </c>
      <c r="G236" t="inlineStr">
        <is>
          <t>EKSJÖ</t>
        </is>
      </c>
      <c r="H236" t="inlineStr">
        <is>
          <t>Kommuner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46292</v>
      </c>
      <c r="F237" t="inlineStr">
        <is>
          <t>JÖNKÖPINGS LÄN</t>
        </is>
      </c>
      <c r="G237" t="inlineStr">
        <is>
          <t>EKSJÖ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46292</v>
      </c>
      <c r="F238" t="inlineStr">
        <is>
          <t>JÖNKÖPINGS LÄN</t>
        </is>
      </c>
      <c r="G238" t="inlineStr">
        <is>
          <t>EKSJÖ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45076</v>
      </c>
      <c r="E239" s="1" t="n">
        <v>46292</v>
      </c>
      <c r="F239" t="inlineStr">
        <is>
          <t>JÖNKÖPINGS LÄN</t>
        </is>
      </c>
      <c r="G239" t="inlineStr">
        <is>
          <t>EKSJÖ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46292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46292</v>
      </c>
      <c r="F241" t="inlineStr">
        <is>
          <t>JÖNKÖPINGS LÄN</t>
        </is>
      </c>
      <c r="G241" t="inlineStr">
        <is>
          <t>EKSJÖ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46292</v>
      </c>
      <c r="F242" t="inlineStr">
        <is>
          <t>JÖNKÖPINGS LÄN</t>
        </is>
      </c>
      <c r="G242" t="inlineStr">
        <is>
          <t>EKSJÖ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46292</v>
      </c>
      <c r="F243" t="inlineStr">
        <is>
          <t>JÖNKÖPINGS LÄN</t>
        </is>
      </c>
      <c r="G243" t="inlineStr">
        <is>
          <t>EKSJÖ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46292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46292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46292</v>
      </c>
      <c r="F246" t="inlineStr">
        <is>
          <t>JÖNKÖPINGS LÄN</t>
        </is>
      </c>
      <c r="G246" t="inlineStr">
        <is>
          <t>EKSJÖ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46292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46292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46292</v>
      </c>
      <c r="F249" t="inlineStr">
        <is>
          <t>JÖNKÖPINGS LÄN</t>
        </is>
      </c>
      <c r="G249" t="inlineStr">
        <is>
          <t>EKSJÖ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45086</v>
      </c>
      <c r="E250" s="1" t="n">
        <v>46292</v>
      </c>
      <c r="F250" t="inlineStr">
        <is>
          <t>JÖNKÖPINGS LÄN</t>
        </is>
      </c>
      <c r="G250" t="inlineStr">
        <is>
          <t>EKSJÖ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46292</v>
      </c>
      <c r="F251" t="inlineStr">
        <is>
          <t>JÖNKÖPINGS LÄN</t>
        </is>
      </c>
      <c r="G251" t="inlineStr">
        <is>
          <t>EKSJÖ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46292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46292</v>
      </c>
      <c r="F253" t="inlineStr">
        <is>
          <t>JÖNKÖPINGS LÄN</t>
        </is>
      </c>
      <c r="G253" t="inlineStr">
        <is>
          <t>EKSJÖ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46292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13273-2023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45003</v>
      </c>
      <c r="E255" s="1" t="n">
        <v>46292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46292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46292</v>
      </c>
      <c r="F257" t="inlineStr">
        <is>
          <t>JÖNKÖPINGS LÄN</t>
        </is>
      </c>
      <c r="G257" t="inlineStr">
        <is>
          <t>EKSJÖ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46292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44719</v>
      </c>
      <c r="E259" s="1" t="n">
        <v>46292</v>
      </c>
      <c r="F259" t="inlineStr">
        <is>
          <t>JÖNKÖPINGS LÄN</t>
        </is>
      </c>
      <c r="G259" t="inlineStr">
        <is>
          <t>EKSJÖ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46292</v>
      </c>
      <c r="F260" t="inlineStr">
        <is>
          <t>JÖNKÖPINGS LÄN</t>
        </is>
      </c>
      <c r="G260" t="inlineStr">
        <is>
          <t>EKSJÖ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46292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46292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46292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46292</v>
      </c>
      <c r="F264" t="inlineStr">
        <is>
          <t>JÖNKÖPINGS LÄN</t>
        </is>
      </c>
      <c r="G264" t="inlineStr">
        <is>
          <t>EKSJÖ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46292</v>
      </c>
      <c r="F265" t="inlineStr">
        <is>
          <t>JÖNKÖPINGS LÄN</t>
        </is>
      </c>
      <c r="G265" t="inlineStr">
        <is>
          <t>EKSJÖ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46292</v>
      </c>
      <c r="F266" t="inlineStr">
        <is>
          <t>JÖNKÖPINGS LÄN</t>
        </is>
      </c>
      <c r="G266" t="inlineStr">
        <is>
          <t>EKSJÖ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46292</v>
      </c>
      <c r="F267" t="inlineStr">
        <is>
          <t>JÖNKÖPINGS LÄN</t>
        </is>
      </c>
      <c r="G267" t="inlineStr">
        <is>
          <t>EKSJÖ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46292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46292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46292</v>
      </c>
      <c r="F270" t="inlineStr">
        <is>
          <t>JÖNKÖPINGS LÄN</t>
        </is>
      </c>
      <c r="G270" t="inlineStr">
        <is>
          <t>EKSJÖ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46292</v>
      </c>
      <c r="F271" t="inlineStr">
        <is>
          <t>JÖNKÖPINGS LÄN</t>
        </is>
      </c>
      <c r="G271" t="inlineStr">
        <is>
          <t>EKSJÖ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46292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45631</v>
      </c>
      <c r="E273" s="1" t="n">
        <v>46292</v>
      </c>
      <c r="F273" t="inlineStr">
        <is>
          <t>JÖNKÖPINGS LÄN</t>
        </is>
      </c>
      <c r="G273" t="inlineStr">
        <is>
          <t>EKSJÖ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46292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46292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46292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45991</v>
      </c>
      <c r="E277" s="1" t="n">
        <v>46292</v>
      </c>
      <c r="F277" t="inlineStr">
        <is>
          <t>JÖNKÖPINGS LÄN</t>
        </is>
      </c>
      <c r="G277" t="inlineStr">
        <is>
          <t>EKSJÖ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46292</v>
      </c>
      <c r="F278" t="inlineStr">
        <is>
          <t>JÖNKÖPINGS LÄN</t>
        </is>
      </c>
      <c r="G278" t="inlineStr">
        <is>
          <t>EKSJÖ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44783</v>
      </c>
      <c r="E279" s="1" t="n">
        <v>46292</v>
      </c>
      <c r="F279" t="inlineStr">
        <is>
          <t>JÖNKÖPINGS LÄN</t>
        </is>
      </c>
      <c r="G279" t="inlineStr">
        <is>
          <t>EKSJÖ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47390-2022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44853</v>
      </c>
      <c r="E280" s="1" t="n">
        <v>46292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46292</v>
      </c>
      <c r="F281" t="inlineStr">
        <is>
          <t>JÖNKÖPINGS LÄN</t>
        </is>
      </c>
      <c r="G281" t="inlineStr">
        <is>
          <t>EKSJÖ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46292</v>
      </c>
      <c r="F282" t="inlineStr">
        <is>
          <t>JÖNKÖPINGS LÄN</t>
        </is>
      </c>
      <c r="G282" t="inlineStr">
        <is>
          <t>EKSJÖ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46292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46292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45485</v>
      </c>
      <c r="E285" s="1" t="n">
        <v>46292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46292</v>
      </c>
      <c r="F286" t="inlineStr">
        <is>
          <t>JÖNKÖPINGS LÄN</t>
        </is>
      </c>
      <c r="G286" t="inlineStr">
        <is>
          <t>EKSJÖ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46292</v>
      </c>
      <c r="F287" t="inlineStr">
        <is>
          <t>JÖNKÖPINGS LÄN</t>
        </is>
      </c>
      <c r="G287" t="inlineStr">
        <is>
          <t>EKSJÖ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46292</v>
      </c>
      <c r="F288" t="inlineStr">
        <is>
          <t>JÖNKÖPINGS LÄN</t>
        </is>
      </c>
      <c r="G288" t="inlineStr">
        <is>
          <t>EKSJÖ</t>
        </is>
      </c>
      <c r="H288" t="inlineStr">
        <is>
          <t>Övriga Aktiebolag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46292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46292</v>
      </c>
      <c r="F290" t="inlineStr">
        <is>
          <t>JÖNKÖPINGS LÄN</t>
        </is>
      </c>
      <c r="G290" t="inlineStr">
        <is>
          <t>EKSJÖ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44813</v>
      </c>
      <c r="E291" s="1" t="n">
        <v>46292</v>
      </c>
      <c r="F291" t="inlineStr">
        <is>
          <t>JÖNKÖPINGS LÄN</t>
        </is>
      </c>
      <c r="G291" t="inlineStr">
        <is>
          <t>EKSJÖ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46292</v>
      </c>
      <c r="F292" t="inlineStr">
        <is>
          <t>JÖNKÖPINGS LÄN</t>
        </is>
      </c>
      <c r="G292" t="inlineStr">
        <is>
          <t>EKSJÖ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45224</v>
      </c>
      <c r="E293" s="1" t="n">
        <v>46292</v>
      </c>
      <c r="F293" t="inlineStr">
        <is>
          <t>JÖNKÖPINGS LÄN</t>
        </is>
      </c>
      <c r="G293" t="inlineStr">
        <is>
          <t>EKSJÖ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46292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46292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46292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46292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46292</v>
      </c>
      <c r="F298" t="inlineStr">
        <is>
          <t>JÖNKÖPINGS LÄN</t>
        </is>
      </c>
      <c r="G298" t="inlineStr">
        <is>
          <t>EKSJÖ</t>
        </is>
      </c>
      <c r="H298" t="inlineStr">
        <is>
          <t>Kommuner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46292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46292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46292</v>
      </c>
      <c r="F301" t="inlineStr">
        <is>
          <t>JÖNKÖPINGS LÄN</t>
        </is>
      </c>
      <c r="G301" t="inlineStr">
        <is>
          <t>EKSJÖ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46292</v>
      </c>
      <c r="F302" t="inlineStr">
        <is>
          <t>JÖNKÖPINGS LÄN</t>
        </is>
      </c>
      <c r="G302" t="inlineStr">
        <is>
          <t>EKSJÖ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46292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46292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46292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46292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45882</v>
      </c>
      <c r="E307" s="1" t="n">
        <v>46292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45671</v>
      </c>
      <c r="E308" s="1" t="n">
        <v>46292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46292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46292</v>
      </c>
      <c r="F310" t="inlineStr">
        <is>
          <t>JÖNKÖPINGS LÄN</t>
        </is>
      </c>
      <c r="G310" t="inlineStr">
        <is>
          <t>EKSJÖ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46292</v>
      </c>
      <c r="F311" t="inlineStr">
        <is>
          <t>JÖNKÖPINGS LÄN</t>
        </is>
      </c>
      <c r="G311" t="inlineStr">
        <is>
          <t>EKSJÖ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46292</v>
      </c>
      <c r="F312" t="inlineStr">
        <is>
          <t>JÖNKÖPINGS LÄN</t>
        </is>
      </c>
      <c r="G312" t="inlineStr">
        <is>
          <t>EKSJÖ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46292</v>
      </c>
      <c r="F313" t="inlineStr">
        <is>
          <t>JÖNKÖPINGS LÄN</t>
        </is>
      </c>
      <c r="G313" t="inlineStr">
        <is>
          <t>EKSJÖ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46292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45418</v>
      </c>
      <c r="E315" s="1" t="n">
        <v>46292</v>
      </c>
      <c r="F315" t="inlineStr">
        <is>
          <t>JÖNKÖPINGS LÄN</t>
        </is>
      </c>
      <c r="G315" t="inlineStr">
        <is>
          <t>EKSJÖ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46292</v>
      </c>
      <c r="F316" t="inlineStr">
        <is>
          <t>JÖNKÖPINGS LÄN</t>
        </is>
      </c>
      <c r="G316" t="inlineStr">
        <is>
          <t>EKSJÖ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45741</v>
      </c>
      <c r="E317" s="1" t="n">
        <v>46292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46292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46292</v>
      </c>
      <c r="F319" t="inlineStr">
        <is>
          <t>JÖNKÖPINGS LÄN</t>
        </is>
      </c>
      <c r="G319" t="inlineStr">
        <is>
          <t>EKSJÖ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46292</v>
      </c>
      <c r="F320" t="inlineStr">
        <is>
          <t>JÖNKÖPINGS LÄN</t>
        </is>
      </c>
      <c r="G320" t="inlineStr">
        <is>
          <t>EKSJÖ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46292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59852-2022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46292</v>
      </c>
      <c r="F322" t="inlineStr">
        <is>
          <t>JÖNKÖPINGS LÄN</t>
        </is>
      </c>
      <c r="G322" t="inlineStr">
        <is>
          <t>EKSJÖ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46292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44480</v>
      </c>
      <c r="E324" s="1" t="n">
        <v>46292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46292</v>
      </c>
      <c r="F325" t="inlineStr">
        <is>
          <t>JÖNKÖPINGS LÄN</t>
        </is>
      </c>
      <c r="G325" t="inlineStr">
        <is>
          <t>EKSJÖ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46292</v>
      </c>
      <c r="F326" t="inlineStr">
        <is>
          <t>JÖNKÖPINGS LÄN</t>
        </is>
      </c>
      <c r="G326" t="inlineStr">
        <is>
          <t>EKSJÖ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45560</v>
      </c>
      <c r="E327" s="1" t="n">
        <v>46292</v>
      </c>
      <c r="F327" t="inlineStr">
        <is>
          <t>JÖNKÖPINGS LÄN</t>
        </is>
      </c>
      <c r="G327" t="inlineStr">
        <is>
          <t>EKSJÖ</t>
        </is>
      </c>
      <c r="H327" t="inlineStr">
        <is>
          <t>Kyrkan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46292</v>
      </c>
      <c r="F328" t="inlineStr">
        <is>
          <t>JÖNKÖPINGS LÄN</t>
        </is>
      </c>
      <c r="G328" t="inlineStr">
        <is>
          <t>EKSJÖ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46292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60920-2025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45996</v>
      </c>
      <c r="E330" s="1" t="n">
        <v>46292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46292</v>
      </c>
      <c r="F331" t="inlineStr">
        <is>
          <t>JÖNKÖPINGS LÄN</t>
        </is>
      </c>
      <c r="G331" t="inlineStr">
        <is>
          <t>EKSJÖ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46292</v>
      </c>
      <c r="F332" t="inlineStr">
        <is>
          <t>JÖNKÖPINGS LÄN</t>
        </is>
      </c>
      <c r="G332" t="inlineStr">
        <is>
          <t>EKSJÖ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45839</v>
      </c>
      <c r="E333" s="1" t="n">
        <v>46292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46292</v>
      </c>
      <c r="F334" t="inlineStr">
        <is>
          <t>JÖNKÖPINGS LÄN</t>
        </is>
      </c>
      <c r="G334" t="inlineStr">
        <is>
          <t>EKSJÖ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46292</v>
      </c>
      <c r="F335" t="inlineStr">
        <is>
          <t>JÖNKÖPINGS LÄN</t>
        </is>
      </c>
      <c r="G335" t="inlineStr">
        <is>
          <t>EKSJÖ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46292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46292</v>
      </c>
      <c r="F337" t="inlineStr">
        <is>
          <t>JÖNKÖPINGS LÄN</t>
        </is>
      </c>
      <c r="G337" t="inlineStr">
        <is>
          <t>EKSJÖ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46292</v>
      </c>
      <c r="F338" t="inlineStr">
        <is>
          <t>JÖNKÖPINGS LÄN</t>
        </is>
      </c>
      <c r="G338" t="inlineStr">
        <is>
          <t>EKSJÖ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45845</v>
      </c>
      <c r="E339" s="1" t="n">
        <v>46292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46292</v>
      </c>
      <c r="F340" t="inlineStr">
        <is>
          <t>JÖNKÖPINGS LÄN</t>
        </is>
      </c>
      <c r="G340" t="inlineStr">
        <is>
          <t>EKSJÖ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46292</v>
      </c>
      <c r="F341" t="inlineStr">
        <is>
          <t>JÖNKÖPINGS LÄN</t>
        </is>
      </c>
      <c r="G341" t="inlineStr">
        <is>
          <t>EKSJÖ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46292</v>
      </c>
      <c r="F342" t="inlineStr">
        <is>
          <t>JÖNKÖPINGS LÄN</t>
        </is>
      </c>
      <c r="G342" t="inlineStr">
        <is>
          <t>EKSJÖ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46292</v>
      </c>
      <c r="F343" t="inlineStr">
        <is>
          <t>JÖNKÖPINGS LÄN</t>
        </is>
      </c>
      <c r="G343" t="inlineStr">
        <is>
          <t>EKSJÖ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46292</v>
      </c>
      <c r="F344" t="inlineStr">
        <is>
          <t>JÖNKÖPINGS LÄN</t>
        </is>
      </c>
      <c r="G344" t="inlineStr">
        <is>
          <t>EKSJÖ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46292</v>
      </c>
      <c r="F345" t="inlineStr">
        <is>
          <t>JÖNKÖPINGS LÄN</t>
        </is>
      </c>
      <c r="G345" t="inlineStr">
        <is>
          <t>EKSJÖ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46292</v>
      </c>
      <c r="F346" t="inlineStr">
        <is>
          <t>JÖNKÖPINGS LÄN</t>
        </is>
      </c>
      <c r="G346" t="inlineStr">
        <is>
          <t>EKSJÖ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46292</v>
      </c>
      <c r="F347" t="inlineStr">
        <is>
          <t>JÖNKÖPINGS LÄN</t>
        </is>
      </c>
      <c r="G347" t="inlineStr">
        <is>
          <t>EKSJÖ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45391</v>
      </c>
      <c r="E348" s="1" t="n">
        <v>46292</v>
      </c>
      <c r="F348" t="inlineStr">
        <is>
          <t>JÖNKÖPINGS LÄN</t>
        </is>
      </c>
      <c r="G348" t="inlineStr">
        <is>
          <t>EKSJÖ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46292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46292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46292</v>
      </c>
      <c r="F351" t="inlineStr">
        <is>
          <t>JÖNKÖPINGS LÄN</t>
        </is>
      </c>
      <c r="G351" t="inlineStr">
        <is>
          <t>EKSJÖ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46292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46292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46292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41816-2024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46292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45461</v>
      </c>
      <c r="E356" s="1" t="n">
        <v>46292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45860</v>
      </c>
      <c r="E357" s="1" t="n">
        <v>46292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61913-2022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46292</v>
      </c>
      <c r="F358" t="inlineStr">
        <is>
          <t>JÖNKÖPINGS LÄN</t>
        </is>
      </c>
      <c r="G358" t="inlineStr">
        <is>
          <t>EKSJÖ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35785-2025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45860</v>
      </c>
      <c r="E359" s="1" t="n">
        <v>46292</v>
      </c>
      <c r="F359" t="inlineStr">
        <is>
          <t>JÖNKÖPINGS LÄN</t>
        </is>
      </c>
      <c r="G359" t="inlineStr">
        <is>
          <t>EKSJÖ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46292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46292</v>
      </c>
      <c r="F361" t="inlineStr">
        <is>
          <t>JÖNKÖPINGS LÄN</t>
        </is>
      </c>
      <c r="G361" t="inlineStr">
        <is>
          <t>EKSJÖ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46292</v>
      </c>
      <c r="F362" t="inlineStr">
        <is>
          <t>JÖNKÖPINGS LÄN</t>
        </is>
      </c>
      <c r="G362" t="inlineStr">
        <is>
          <t>EKSJÖ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46292</v>
      </c>
      <c r="F363" t="inlineStr">
        <is>
          <t>JÖNKÖPINGS LÄN</t>
        </is>
      </c>
      <c r="G363" t="inlineStr">
        <is>
          <t>EKSJÖ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46292</v>
      </c>
      <c r="F364" t="inlineStr">
        <is>
          <t>JÖNKÖPINGS LÄN</t>
        </is>
      </c>
      <c r="G364" t="inlineStr">
        <is>
          <t>EKSJÖ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46292</v>
      </c>
      <c r="F365" t="inlineStr">
        <is>
          <t>JÖNKÖPINGS LÄN</t>
        </is>
      </c>
      <c r="G365" t="inlineStr">
        <is>
          <t>EKSJÖ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45866</v>
      </c>
      <c r="E366" s="1" t="n">
        <v>46292</v>
      </c>
      <c r="F366" t="inlineStr">
        <is>
          <t>JÖNKÖPINGS LÄN</t>
        </is>
      </c>
      <c r="G366" t="inlineStr">
        <is>
          <t>EKSJÖ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45560</v>
      </c>
      <c r="E367" s="1" t="n">
        <v>46292</v>
      </c>
      <c r="F367" t="inlineStr">
        <is>
          <t>JÖNKÖPINGS LÄN</t>
        </is>
      </c>
      <c r="G367" t="inlineStr">
        <is>
          <t>EKSJÖ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64419-2021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44511</v>
      </c>
      <c r="E368" s="1" t="n">
        <v>46292</v>
      </c>
      <c r="F368" t="inlineStr">
        <is>
          <t>JÖNKÖPINGS LÄN</t>
        </is>
      </c>
      <c r="G368" t="inlineStr">
        <is>
          <t>EKSJÖ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46292</v>
      </c>
      <c r="F369" t="inlineStr">
        <is>
          <t>JÖNKÖPINGS LÄN</t>
        </is>
      </c>
      <c r="G369" t="inlineStr">
        <is>
          <t>EKSJÖ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26222-2024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45468</v>
      </c>
      <c r="E370" s="1" t="n">
        <v>46292</v>
      </c>
      <c r="F370" t="inlineStr">
        <is>
          <t>JÖNKÖPINGS LÄN</t>
        </is>
      </c>
      <c r="G370" t="inlineStr">
        <is>
          <t>EKSJÖ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46292</v>
      </c>
      <c r="F371" t="inlineStr">
        <is>
          <t>JÖNKÖPINGS LÄN</t>
        </is>
      </c>
      <c r="G371" t="inlineStr">
        <is>
          <t>EKSJÖ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46292</v>
      </c>
      <c r="F372" t="inlineStr">
        <is>
          <t>JÖNKÖPINGS LÄN</t>
        </is>
      </c>
      <c r="G372" t="inlineStr">
        <is>
          <t>EKSJÖ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45664</v>
      </c>
      <c r="E373" s="1" t="n">
        <v>46292</v>
      </c>
      <c r="F373" t="inlineStr">
        <is>
          <t>JÖNKÖPINGS LÄN</t>
        </is>
      </c>
      <c r="G373" t="inlineStr">
        <is>
          <t>EKSJÖ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46292</v>
      </c>
      <c r="F374" t="inlineStr">
        <is>
          <t>JÖNKÖPINGS LÄN</t>
        </is>
      </c>
      <c r="G374" t="inlineStr">
        <is>
          <t>EKSJÖ</t>
        </is>
      </c>
      <c r="H374" t="inlineStr">
        <is>
          <t>Kyrkan</t>
        </is>
      </c>
      <c r="I374" t="n">
        <v>15.2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46292</v>
      </c>
      <c r="F375" t="inlineStr">
        <is>
          <t>JÖNKÖPINGS LÄN</t>
        </is>
      </c>
      <c r="G375" t="inlineStr">
        <is>
          <t>EKSJÖ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8165-2022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44609</v>
      </c>
      <c r="E376" s="1" t="n">
        <v>46292</v>
      </c>
      <c r="F376" t="inlineStr">
        <is>
          <t>JÖNKÖPINGS LÄN</t>
        </is>
      </c>
      <c r="G376" t="inlineStr">
        <is>
          <t>EKSJÖ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46184</v>
      </c>
      <c r="E377" s="1" t="n">
        <v>46292</v>
      </c>
      <c r="F377" t="inlineStr">
        <is>
          <t>JÖNKÖPINGS LÄN</t>
        </is>
      </c>
      <c r="G377" t="inlineStr">
        <is>
          <t>EKSJÖ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45251</v>
      </c>
      <c r="E378" s="1" t="n">
        <v>46292</v>
      </c>
      <c r="F378" t="inlineStr">
        <is>
          <t>JÖNKÖPINGS LÄN</t>
        </is>
      </c>
      <c r="G378" t="inlineStr">
        <is>
          <t>EKSJÖ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26650-2026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46184</v>
      </c>
      <c r="E379" s="1" t="n">
        <v>46292</v>
      </c>
      <c r="F379" t="inlineStr">
        <is>
          <t>JÖNKÖPINGS LÄN</t>
        </is>
      </c>
      <c r="G379" t="inlineStr">
        <is>
          <t>EKSJÖ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46292</v>
      </c>
      <c r="F380" t="inlineStr">
        <is>
          <t>JÖNKÖPINGS LÄN</t>
        </is>
      </c>
      <c r="G380" t="inlineStr">
        <is>
          <t>EKSJÖ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46292</v>
      </c>
      <c r="F381" t="inlineStr">
        <is>
          <t>JÖNKÖPINGS LÄN</t>
        </is>
      </c>
      <c r="G381" t="inlineStr">
        <is>
          <t>EKSJÖ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45344</v>
      </c>
      <c r="E382" s="1" t="n">
        <v>46292</v>
      </c>
      <c r="F382" t="inlineStr">
        <is>
          <t>JÖNKÖPINGS LÄN</t>
        </is>
      </c>
      <c r="G382" t="inlineStr">
        <is>
          <t>EKSJÖ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46292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46292</v>
      </c>
      <c r="F384" t="inlineStr">
        <is>
          <t>JÖNKÖPINGS LÄN</t>
        </is>
      </c>
      <c r="G384" t="inlineStr">
        <is>
          <t>EKSJÖ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46292</v>
      </c>
      <c r="F385" t="inlineStr">
        <is>
          <t>JÖNKÖPINGS LÄN</t>
        </is>
      </c>
      <c r="G385" t="inlineStr">
        <is>
          <t>EKSJÖ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45402</v>
      </c>
      <c r="E386" s="1" t="n">
        <v>46292</v>
      </c>
      <c r="F386" t="inlineStr">
        <is>
          <t>JÖNKÖPINGS LÄN</t>
        </is>
      </c>
      <c r="G386" t="inlineStr">
        <is>
          <t>EKSJÖ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45635</v>
      </c>
      <c r="E387" s="1" t="n">
        <v>46292</v>
      </c>
      <c r="F387" t="inlineStr">
        <is>
          <t>JÖNKÖPINGS LÄN</t>
        </is>
      </c>
      <c r="G387" t="inlineStr">
        <is>
          <t>EKSJÖ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46292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45523</v>
      </c>
      <c r="E389" s="1" t="n">
        <v>46292</v>
      </c>
      <c r="F389" t="inlineStr">
        <is>
          <t>JÖNKÖPINGS LÄN</t>
        </is>
      </c>
      <c r="G389" t="inlineStr">
        <is>
          <t>EKSJÖ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45875</v>
      </c>
      <c r="E390" s="1" t="n">
        <v>46292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45875</v>
      </c>
      <c r="E391" s="1" t="n">
        <v>46292</v>
      </c>
      <c r="F391" t="inlineStr">
        <is>
          <t>JÖNKÖPINGS LÄN</t>
        </is>
      </c>
      <c r="G391" t="inlineStr">
        <is>
          <t>EKSJÖ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44999</v>
      </c>
      <c r="E392" s="1" t="n">
        <v>46292</v>
      </c>
      <c r="F392" t="inlineStr">
        <is>
          <t>JÖNKÖPINGS LÄN</t>
        </is>
      </c>
      <c r="G392" t="inlineStr">
        <is>
          <t>EKSJÖ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44999</v>
      </c>
      <c r="E393" s="1" t="n">
        <v>46292</v>
      </c>
      <c r="F393" t="inlineStr">
        <is>
          <t>JÖNKÖPINGS LÄN</t>
        </is>
      </c>
      <c r="G393" t="inlineStr">
        <is>
          <t>EKSJÖ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46292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46292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45877</v>
      </c>
      <c r="E396" s="1" t="n">
        <v>46292</v>
      </c>
      <c r="F396" t="inlineStr">
        <is>
          <t>JÖNKÖPINGS LÄN</t>
        </is>
      </c>
      <c r="G396" t="inlineStr">
        <is>
          <t>EKSJÖ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45819</v>
      </c>
      <c r="E397" s="1" t="n">
        <v>46292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46197</v>
      </c>
      <c r="E398" s="1" t="n">
        <v>46292</v>
      </c>
      <c r="F398" t="inlineStr">
        <is>
          <t>JÖNKÖPINGS LÄN</t>
        </is>
      </c>
      <c r="G398" t="inlineStr">
        <is>
          <t>EKSJÖ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46197</v>
      </c>
      <c r="E399" s="1" t="n">
        <v>46292</v>
      </c>
      <c r="F399" t="inlineStr">
        <is>
          <t>JÖNKÖPINGS LÄN</t>
        </is>
      </c>
      <c r="G399" t="inlineStr">
        <is>
          <t>EKSJÖ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45842</v>
      </c>
      <c r="E400" s="1" t="n">
        <v>46292</v>
      </c>
      <c r="F400" t="inlineStr">
        <is>
          <t>JÖNKÖPINGS LÄN</t>
        </is>
      </c>
      <c r="G400" t="inlineStr">
        <is>
          <t>EKSJÖ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45706</v>
      </c>
      <c r="E401" s="1" t="n">
        <v>46292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46292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46292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46292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46292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46292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45345</v>
      </c>
      <c r="E407" s="1" t="n">
        <v>46292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46292</v>
      </c>
      <c r="F408" t="inlineStr">
        <is>
          <t>JÖNKÖPINGS LÄN</t>
        </is>
      </c>
      <c r="G408" t="inlineStr">
        <is>
          <t>EKSJÖ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46292</v>
      </c>
      <c r="F409" t="inlineStr">
        <is>
          <t>JÖNKÖPINGS LÄN</t>
        </is>
      </c>
      <c r="G409" t="inlineStr">
        <is>
          <t>EKSJÖ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44581</v>
      </c>
      <c r="E410" s="1" t="n">
        <v>46292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46292</v>
      </c>
      <c r="F411" t="inlineStr">
        <is>
          <t>JÖNKÖPINGS LÄN</t>
        </is>
      </c>
      <c r="G411" t="inlineStr">
        <is>
          <t>EKSJÖ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9058-2022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44615</v>
      </c>
      <c r="E412" s="1" t="n">
        <v>46292</v>
      </c>
      <c r="F412" t="inlineStr">
        <is>
          <t>JÖNKÖPINGS LÄN</t>
        </is>
      </c>
      <c r="G412" t="inlineStr">
        <is>
          <t>EKSJÖ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45762</v>
      </c>
      <c r="E413" s="1" t="n">
        <v>46292</v>
      </c>
      <c r="F413" t="inlineStr">
        <is>
          <t>JÖNKÖPINGS LÄN</t>
        </is>
      </c>
      <c r="G413" t="inlineStr">
        <is>
          <t>EKSJÖ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45232</v>
      </c>
      <c r="E414" s="1" t="n">
        <v>46292</v>
      </c>
      <c r="F414" t="inlineStr">
        <is>
          <t>JÖNKÖPINGS LÄN</t>
        </is>
      </c>
      <c r="G414" t="inlineStr">
        <is>
          <t>EKSJÖ</t>
        </is>
      </c>
      <c r="I414" t="n">
        <v>18.3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41030-2023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45173</v>
      </c>
      <c r="E415" s="1" t="n">
        <v>46292</v>
      </c>
      <c r="F415" t="inlineStr">
        <is>
          <t>JÖNKÖPINGS LÄN</t>
        </is>
      </c>
      <c r="G415" t="inlineStr">
        <is>
          <t>EKSJÖ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45078</v>
      </c>
      <c r="E416" s="1" t="n">
        <v>46292</v>
      </c>
      <c r="F416" t="inlineStr">
        <is>
          <t>JÖNKÖPINGS LÄN</t>
        </is>
      </c>
      <c r="G416" t="inlineStr">
        <is>
          <t>EKSJÖ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46292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46292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46292</v>
      </c>
      <c r="F419" t="inlineStr">
        <is>
          <t>JÖNKÖPINGS LÄN</t>
        </is>
      </c>
      <c r="G419" t="inlineStr">
        <is>
          <t>EKSJÖ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45677</v>
      </c>
      <c r="E420" s="1" t="n">
        <v>46292</v>
      </c>
      <c r="F420" t="inlineStr">
        <is>
          <t>JÖNKÖPINGS LÄN</t>
        </is>
      </c>
      <c r="G420" t="inlineStr">
        <is>
          <t>EKSJÖ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46292</v>
      </c>
      <c r="F421" t="inlineStr">
        <is>
          <t>JÖNKÖPINGS LÄN</t>
        </is>
      </c>
      <c r="G421" t="inlineStr">
        <is>
          <t>EKSJÖ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41739-2023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45176</v>
      </c>
      <c r="E422" s="1" t="n">
        <v>46292</v>
      </c>
      <c r="F422" t="inlineStr">
        <is>
          <t>JÖNKÖPINGS LÄN</t>
        </is>
      </c>
      <c r="G422" t="inlineStr">
        <is>
          <t>EKSJÖ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46292</v>
      </c>
      <c r="F423" t="inlineStr">
        <is>
          <t>JÖNKÖPINGS LÄN</t>
        </is>
      </c>
      <c r="G423" t="inlineStr">
        <is>
          <t>EKSJÖ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46292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46292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46292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46292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46292</v>
      </c>
      <c r="F428" t="inlineStr">
        <is>
          <t>JÖNKÖPINGS LÄN</t>
        </is>
      </c>
      <c r="G428" t="inlineStr">
        <is>
          <t>EKSJÖ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46292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46292</v>
      </c>
      <c r="F430" t="inlineStr">
        <is>
          <t>JÖNKÖPINGS LÄN</t>
        </is>
      </c>
      <c r="G430" t="inlineStr">
        <is>
          <t>EKSJÖ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46292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46292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46292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54292-2023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45232</v>
      </c>
      <c r="E434" s="1" t="n">
        <v>46292</v>
      </c>
      <c r="F434" t="inlineStr">
        <is>
          <t>JÖNKÖPINGS LÄN</t>
        </is>
      </c>
      <c r="G434" t="inlineStr">
        <is>
          <t>EKSJÖ</t>
        </is>
      </c>
      <c r="I434" t="n">
        <v>18.3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46292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45420</v>
      </c>
      <c r="E436" s="1" t="n">
        <v>46292</v>
      </c>
      <c r="F436" t="inlineStr">
        <is>
          <t>JÖNKÖPINGS LÄN</t>
        </is>
      </c>
      <c r="G436" t="inlineStr">
        <is>
          <t>EKSJÖ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46292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46292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46292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46292</v>
      </c>
      <c r="F440" t="inlineStr">
        <is>
          <t>JÖNKÖPINGS LÄN</t>
        </is>
      </c>
      <c r="G440" t="inlineStr">
        <is>
          <t>EKSJÖ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46292</v>
      </c>
      <c r="F441" t="inlineStr">
        <is>
          <t>JÖNKÖPINGS LÄN</t>
        </is>
      </c>
      <c r="G441" t="inlineStr">
        <is>
          <t>EKSJÖ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46292</v>
      </c>
      <c r="F442" t="inlineStr">
        <is>
          <t>JÖNKÖPINGS LÄN</t>
        </is>
      </c>
      <c r="G442" t="inlineStr">
        <is>
          <t>EKSJÖ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46292</v>
      </c>
      <c r="F443" t="inlineStr">
        <is>
          <t>JÖNKÖPINGS LÄN</t>
        </is>
      </c>
      <c r="G443" t="inlineStr">
        <is>
          <t>EKSJÖ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34021-2024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46292</v>
      </c>
      <c r="F444" t="inlineStr">
        <is>
          <t>JÖNKÖPINGS LÄN</t>
        </is>
      </c>
      <c r="G444" t="inlineStr">
        <is>
          <t>EKSJÖ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34045-2024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46292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46292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46292</v>
      </c>
      <c r="F447" t="inlineStr">
        <is>
          <t>JÖNKÖPINGS LÄN</t>
        </is>
      </c>
      <c r="G447" t="inlineStr">
        <is>
          <t>EKSJÖ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46292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35021-2026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46259</v>
      </c>
      <c r="E449" s="1" t="n">
        <v>46292</v>
      </c>
      <c r="F449" t="inlineStr">
        <is>
          <t>JÖNKÖPINGS LÄN</t>
        </is>
      </c>
      <c r="G449" t="inlineStr">
        <is>
          <t>EKSJÖ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46292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46292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44685</v>
      </c>
      <c r="E452" s="1" t="n">
        <v>46292</v>
      </c>
      <c r="F452" t="inlineStr">
        <is>
          <t>JÖNKÖPINGS LÄN</t>
        </is>
      </c>
      <c r="G452" t="inlineStr">
        <is>
          <t>EKSJÖ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45236</v>
      </c>
      <c r="E453" s="1" t="n">
        <v>46292</v>
      </c>
      <c r="F453" t="inlineStr">
        <is>
          <t>JÖNKÖPINGS LÄN</t>
        </is>
      </c>
      <c r="G453" t="inlineStr">
        <is>
          <t>EKSJÖ</t>
        </is>
      </c>
      <c r="H453" t="inlineStr">
        <is>
          <t>Övriga Aktiebolag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46292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44908</v>
      </c>
      <c r="E455" s="1" t="n">
        <v>46292</v>
      </c>
      <c r="F455" t="inlineStr">
        <is>
          <t>JÖNKÖPINGS LÄN</t>
        </is>
      </c>
      <c r="G455" t="inlineStr">
        <is>
          <t>EKSJÖ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55808-2023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46292</v>
      </c>
      <c r="F456" t="inlineStr">
        <is>
          <t>JÖNKÖPINGS LÄN</t>
        </is>
      </c>
      <c r="G456" t="inlineStr">
        <is>
          <t>EKSJÖ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45315</v>
      </c>
      <c r="E457" s="1" t="n">
        <v>46292</v>
      </c>
      <c r="F457" t="inlineStr">
        <is>
          <t>JÖNKÖPINGS LÄN</t>
        </is>
      </c>
      <c r="G457" t="inlineStr">
        <is>
          <t>EKSJÖ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45314</v>
      </c>
      <c r="E458" s="1" t="n">
        <v>46292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45314</v>
      </c>
      <c r="E459" s="1" t="n">
        <v>46292</v>
      </c>
      <c r="F459" t="inlineStr">
        <is>
          <t>JÖNKÖPINGS LÄN</t>
        </is>
      </c>
      <c r="G459" t="inlineStr">
        <is>
          <t>EKSJÖ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45463</v>
      </c>
      <c r="E460" s="1" t="n">
        <v>46292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46292</v>
      </c>
      <c r="F461" t="inlineStr">
        <is>
          <t>JÖNKÖPINGS LÄN</t>
        </is>
      </c>
      <c r="G461" t="inlineStr">
        <is>
          <t>EKSJÖ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46292</v>
      </c>
      <c r="F462" t="inlineStr">
        <is>
          <t>JÖNKÖPINGS LÄN</t>
        </is>
      </c>
      <c r="G462" t="inlineStr">
        <is>
          <t>EKSJÖ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46292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9429-2025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46292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46292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36700-2026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46292</v>
      </c>
      <c r="F466" t="inlineStr">
        <is>
          <t>JÖNKÖPINGS LÄN</t>
        </is>
      </c>
      <c r="G466" t="inlineStr">
        <is>
          <t>EKSJÖ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46292</v>
      </c>
      <c r="F467" t="inlineStr">
        <is>
          <t>JÖNKÖPINGS LÄN</t>
        </is>
      </c>
      <c r="G467" t="inlineStr">
        <is>
          <t>EKSJÖ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44888</v>
      </c>
      <c r="E468" s="1" t="n">
        <v>46292</v>
      </c>
      <c r="F468" t="inlineStr">
        <is>
          <t>JÖNKÖPINGS LÄN</t>
        </is>
      </c>
      <c r="G468" t="inlineStr">
        <is>
          <t>EKSJÖ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61384-2023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45264</v>
      </c>
      <c r="E469" s="1" t="n">
        <v>46292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46292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46292</v>
      </c>
      <c r="F471" t="inlineStr">
        <is>
          <t>JÖNKÖPINGS LÄN</t>
        </is>
      </c>
      <c r="G471" t="inlineStr">
        <is>
          <t>EKSJÖ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44846</v>
      </c>
      <c r="E472" s="1" t="n">
        <v>46292</v>
      </c>
      <c r="F472" t="inlineStr">
        <is>
          <t>JÖNKÖPINGS LÄN</t>
        </is>
      </c>
      <c r="G472" t="inlineStr">
        <is>
          <t>EKSJÖ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46292</v>
      </c>
      <c r="F473" t="inlineStr">
        <is>
          <t>JÖNKÖPINGS LÄN</t>
        </is>
      </c>
      <c r="G473" t="inlineStr">
        <is>
          <t>EKSJÖ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46292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37270-2026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46292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46292</v>
      </c>
      <c r="F476" t="inlineStr">
        <is>
          <t>JÖNKÖPINGS LÄN</t>
        </is>
      </c>
      <c r="G476" t="inlineStr">
        <is>
          <t>EKSJÖ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44630</v>
      </c>
      <c r="E477" s="1" t="n">
        <v>46292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50275-2023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46292</v>
      </c>
      <c r="F478" t="inlineStr">
        <is>
          <t>JÖNKÖPINGS LÄN</t>
        </is>
      </c>
      <c r="G478" t="inlineStr">
        <is>
          <t>EKSJÖ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44851</v>
      </c>
      <c r="E479" s="1" t="n">
        <v>46292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46292</v>
      </c>
      <c r="F480" t="inlineStr">
        <is>
          <t>JÖNKÖPINGS LÄN</t>
        </is>
      </c>
      <c r="G480" t="inlineStr">
        <is>
          <t>EKSJÖ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38207-2026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46281</v>
      </c>
      <c r="E481" s="1" t="n">
        <v>46292</v>
      </c>
      <c r="F481" t="inlineStr">
        <is>
          <t>JÖNKÖPINGS LÄN</t>
        </is>
      </c>
      <c r="G481" t="inlineStr">
        <is>
          <t>EKSJÖ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46292</v>
      </c>
      <c r="F482" t="inlineStr">
        <is>
          <t>JÖNKÖPINGS LÄN</t>
        </is>
      </c>
      <c r="G482" t="inlineStr">
        <is>
          <t>EKSJÖ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46577-2022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44848</v>
      </c>
      <c r="E483" s="1" t="n">
        <v>46292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46292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46292</v>
      </c>
      <c r="F485" t="inlineStr">
        <is>
          <t>JÖNKÖPINGS LÄN</t>
        </is>
      </c>
      <c r="G485" t="inlineStr">
        <is>
          <t>EKSJÖ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46292</v>
      </c>
      <c r="F486" t="inlineStr">
        <is>
          <t>JÖNKÖPINGS LÄN</t>
        </is>
      </c>
      <c r="G486" t="inlineStr">
        <is>
          <t>EKSJÖ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46292</v>
      </c>
      <c r="F487" t="inlineStr">
        <is>
          <t>JÖNKÖPINGS LÄN</t>
        </is>
      </c>
      <c r="G487" t="inlineStr">
        <is>
          <t>EKSJÖ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45391</v>
      </c>
      <c r="E488" s="1" t="n">
        <v>46292</v>
      </c>
      <c r="F488" t="inlineStr">
        <is>
          <t>JÖNKÖPINGS LÄN</t>
        </is>
      </c>
      <c r="G488" t="inlineStr">
        <is>
          <t>EKSJÖ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46283</v>
      </c>
      <c r="E489" s="1" t="n">
        <v>46292</v>
      </c>
      <c r="F489" t="inlineStr">
        <is>
          <t>JÖNKÖPINGS LÄN</t>
        </is>
      </c>
      <c r="G489" t="inlineStr">
        <is>
          <t>EKSJÖ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46292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45576</v>
      </c>
      <c r="E491" s="1" t="n">
        <v>46292</v>
      </c>
      <c r="F491" t="inlineStr">
        <is>
          <t>JÖNKÖPINGS LÄN</t>
        </is>
      </c>
      <c r="G491" t="inlineStr">
        <is>
          <t>EKSJÖ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26706-2022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46292</v>
      </c>
      <c r="F492" t="inlineStr">
        <is>
          <t>JÖNKÖPINGS LÄN</t>
        </is>
      </c>
      <c r="G492" t="inlineStr">
        <is>
          <t>EKSJÖ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71313-2021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44539</v>
      </c>
      <c r="E493" s="1" t="n">
        <v>46292</v>
      </c>
      <c r="F493" t="inlineStr">
        <is>
          <t>JÖNKÖPINGS LÄN</t>
        </is>
      </c>
      <c r="G493" t="inlineStr">
        <is>
          <t>EKSJÖ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46292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46292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44939</v>
      </c>
      <c r="E496" s="1" t="n">
        <v>46292</v>
      </c>
      <c r="F496" t="inlineStr">
        <is>
          <t>JÖNKÖPINGS LÄN</t>
        </is>
      </c>
      <c r="G496" t="inlineStr">
        <is>
          <t>EKSJÖ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46247</v>
      </c>
      <c r="E497" s="1" t="n">
        <v>46292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46292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46292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46292</v>
      </c>
      <c r="F500" t="inlineStr">
        <is>
          <t>JÖNKÖPINGS LÄN</t>
        </is>
      </c>
      <c r="G500" t="inlineStr">
        <is>
          <t>EKSJÖ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46292</v>
      </c>
      <c r="F501" t="inlineStr">
        <is>
          <t>JÖNKÖPINGS LÄN</t>
        </is>
      </c>
      <c r="G501" t="inlineStr">
        <is>
          <t>EKSJÖ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46292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44789</v>
      </c>
      <c r="E503" s="1" t="n">
        <v>46292</v>
      </c>
      <c r="F503" t="inlineStr">
        <is>
          <t>JÖNKÖPINGS LÄN</t>
        </is>
      </c>
      <c r="G503" t="inlineStr">
        <is>
          <t>EKSJÖ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46292</v>
      </c>
      <c r="F504" t="inlineStr">
        <is>
          <t>JÖNKÖPINGS LÄN</t>
        </is>
      </c>
      <c r="G504" t="inlineStr">
        <is>
          <t>EKSJÖ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46292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46292</v>
      </c>
      <c r="F506" t="inlineStr">
        <is>
          <t>JÖNKÖPINGS LÄN</t>
        </is>
      </c>
      <c r="G506" t="inlineStr">
        <is>
          <t>EKSJÖ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46292</v>
      </c>
      <c r="F507" t="inlineStr">
        <is>
          <t>JÖNKÖPINGS LÄN</t>
        </is>
      </c>
      <c r="G507" t="inlineStr">
        <is>
          <t>EKSJÖ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46292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46292</v>
      </c>
      <c r="F509" t="inlineStr">
        <is>
          <t>JÖNKÖPINGS LÄN</t>
        </is>
      </c>
      <c r="G509" t="inlineStr">
        <is>
          <t>EKSJÖ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44925</v>
      </c>
      <c r="E510" s="1" t="n">
        <v>46292</v>
      </c>
      <c r="F510" t="inlineStr">
        <is>
          <t>JÖNKÖPINGS LÄN</t>
        </is>
      </c>
      <c r="G510" t="inlineStr">
        <is>
          <t>EKSJÖ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45078</v>
      </c>
      <c r="E511" s="1" t="n">
        <v>46292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45154</v>
      </c>
      <c r="E512" s="1" t="n">
        <v>46292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65554-2021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44516</v>
      </c>
      <c r="E513" s="1" t="n">
        <v>46292</v>
      </c>
      <c r="F513" t="inlineStr">
        <is>
          <t>JÖNKÖPINGS LÄN</t>
        </is>
      </c>
      <c r="G513" t="inlineStr">
        <is>
          <t>EKSJÖ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45278</v>
      </c>
      <c r="E514" s="1" t="n">
        <v>46292</v>
      </c>
      <c r="F514" t="inlineStr">
        <is>
          <t>JÖNKÖPINGS LÄN</t>
        </is>
      </c>
      <c r="G514" t="inlineStr">
        <is>
          <t>EKSJÖ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28024-2022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44746</v>
      </c>
      <c r="E515" s="1" t="n">
        <v>46292</v>
      </c>
      <c r="F515" t="inlineStr">
        <is>
          <t>JÖNKÖPINGS LÄN</t>
        </is>
      </c>
      <c r="G515" t="inlineStr">
        <is>
          <t>EKSJÖ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44781</v>
      </c>
      <c r="E516" s="1" t="n">
        <v>46292</v>
      </c>
      <c r="F516" t="inlineStr">
        <is>
          <t>JÖNKÖPINGS LÄN</t>
        </is>
      </c>
      <c r="G516" t="inlineStr">
        <is>
          <t>EKSJÖ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44781</v>
      </c>
      <c r="E517" s="1" t="n">
        <v>46292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45337</v>
      </c>
      <c r="E518" s="1" t="n">
        <v>46292</v>
      </c>
      <c r="F518" t="inlineStr">
        <is>
          <t>JÖNKÖPINGS LÄN</t>
        </is>
      </c>
      <c r="G518" t="inlineStr">
        <is>
          <t>EKSJÖ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45680</v>
      </c>
      <c r="E519" s="1" t="n">
        <v>46292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46292</v>
      </c>
      <c r="F520" t="inlineStr">
        <is>
          <t>JÖNKÖPINGS LÄN</t>
        </is>
      </c>
      <c r="G520" t="inlineStr">
        <is>
          <t>EKSJÖ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44974</v>
      </c>
      <c r="E521" s="1" t="n">
        <v>46292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64541-2023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46292</v>
      </c>
      <c r="F522" t="inlineStr">
        <is>
          <t>JÖNKÖPINGS LÄN</t>
        </is>
      </c>
      <c r="G522" t="inlineStr">
        <is>
          <t>EKSJÖ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44949</v>
      </c>
      <c r="E523" s="1" t="n">
        <v>46292</v>
      </c>
      <c r="F523" t="inlineStr">
        <is>
          <t>JÖNKÖPINGS LÄN</t>
        </is>
      </c>
      <c r="G523" t="inlineStr">
        <is>
          <t>EKSJÖ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46292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45057</v>
      </c>
      <c r="E525" s="1" t="n">
        <v>46292</v>
      </c>
      <c r="F525" t="inlineStr">
        <is>
          <t>JÖNKÖPINGS LÄN</t>
        </is>
      </c>
      <c r="G525" t="inlineStr">
        <is>
          <t>EKSJÖ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46292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64993-2023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45286</v>
      </c>
      <c r="E527" s="1" t="n">
        <v>46292</v>
      </c>
      <c r="F527" t="inlineStr">
        <is>
          <t>JÖNKÖPINGS LÄN</t>
        </is>
      </c>
      <c r="G527" t="inlineStr">
        <is>
          <t>EKSJÖ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45659</v>
      </c>
      <c r="E528" s="1" t="n">
        <v>46292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45762</v>
      </c>
      <c r="E529" s="1" t="n">
        <v>46292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45370</v>
      </c>
      <c r="E530" s="1" t="n">
        <v>46292</v>
      </c>
      <c r="F530" t="inlineStr">
        <is>
          <t>JÖNKÖPINGS LÄN</t>
        </is>
      </c>
      <c r="G530" t="inlineStr">
        <is>
          <t>EKSJÖ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45075</v>
      </c>
      <c r="E531" s="1" t="n">
        <v>46292</v>
      </c>
      <c r="F531" t="inlineStr">
        <is>
          <t>JÖNKÖPINGS LÄN</t>
        </is>
      </c>
      <c r="G531" t="inlineStr">
        <is>
          <t>EKSJÖ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45096</v>
      </c>
      <c r="E532" s="1" t="n">
        <v>46292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45152</v>
      </c>
      <c r="E533" s="1" t="n">
        <v>46292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53053-2021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44467</v>
      </c>
      <c r="E534" s="1" t="n">
        <v>46292</v>
      </c>
      <c r="F534" t="inlineStr">
        <is>
          <t>JÖNKÖPINGS LÄN</t>
        </is>
      </c>
      <c r="G534" t="inlineStr">
        <is>
          <t>EKSJÖ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44925</v>
      </c>
      <c r="E535" s="1" t="n">
        <v>46292</v>
      </c>
      <c r="F535" t="inlineStr">
        <is>
          <t>JÖNKÖPINGS LÄN</t>
        </is>
      </c>
      <c r="G535" t="inlineStr">
        <is>
          <t>EKSJÖ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44940</v>
      </c>
      <c r="E536" s="1" t="n">
        <v>46292</v>
      </c>
      <c r="F536" t="inlineStr">
        <is>
          <t>JÖNKÖPINGS LÄN</t>
        </is>
      </c>
      <c r="G536" t="inlineStr">
        <is>
          <t>EKSJÖ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44941</v>
      </c>
      <c r="E537" s="1" t="n">
        <v>46292</v>
      </c>
      <c r="F537" t="inlineStr">
        <is>
          <t>JÖNKÖPINGS LÄN</t>
        </is>
      </c>
      <c r="G537" t="inlineStr">
        <is>
          <t>EKSJÖ</t>
        </is>
      </c>
      <c r="H537" t="inlineStr">
        <is>
          <t>Övriga Aktiebolag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45214</v>
      </c>
      <c r="E538" s="1" t="n">
        <v>46292</v>
      </c>
      <c r="F538" t="inlineStr">
        <is>
          <t>JÖNKÖPINGS LÄN</t>
        </is>
      </c>
      <c r="G538" t="inlineStr">
        <is>
          <t>EKSJÖ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47806-2023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46292</v>
      </c>
      <c r="F539" t="inlineStr">
        <is>
          <t>JÖNKÖPINGS LÄN</t>
        </is>
      </c>
      <c r="G539" t="inlineStr">
        <is>
          <t>EKSJÖ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46292</v>
      </c>
      <c r="F540" t="inlineStr">
        <is>
          <t>JÖNKÖPINGS LÄN</t>
        </is>
      </c>
      <c r="G540" t="inlineStr">
        <is>
          <t>EKSJÖ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61850-2024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46292</v>
      </c>
      <c r="F541" t="inlineStr">
        <is>
          <t>JÖNKÖPINGS LÄN</t>
        </is>
      </c>
      <c r="G541" t="inlineStr">
        <is>
          <t>EKSJÖ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34772-2023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45141</v>
      </c>
      <c r="E542" s="1" t="n">
        <v>46292</v>
      </c>
      <c r="F542" t="inlineStr">
        <is>
          <t>JÖNKÖPINGS LÄN</t>
        </is>
      </c>
      <c r="G542" t="inlineStr">
        <is>
          <t>EKSJÖ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45054</v>
      </c>
      <c r="E543" s="1" t="n">
        <v>46292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44846</v>
      </c>
      <c r="E544" s="1" t="n">
        <v>46292</v>
      </c>
      <c r="F544" t="inlineStr">
        <is>
          <t>JÖNKÖPINGS LÄN</t>
        </is>
      </c>
      <c r="G544" t="inlineStr">
        <is>
          <t>EKSJÖ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44845</v>
      </c>
      <c r="E545" s="1" t="n">
        <v>46292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46292</v>
      </c>
      <c r="F546" t="inlineStr">
        <is>
          <t>JÖNKÖPINGS LÄN</t>
        </is>
      </c>
      <c r="G546" t="inlineStr">
        <is>
          <t>EKSJÖ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44803</v>
      </c>
      <c r="E547" s="1" t="n">
        <v>46292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46292</v>
      </c>
      <c r="F548" t="inlineStr">
        <is>
          <t>JÖNKÖPINGS LÄN</t>
        </is>
      </c>
      <c r="G548" t="inlineStr">
        <is>
          <t>EKSJÖ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46292</v>
      </c>
      <c r="F549" t="inlineStr">
        <is>
          <t>JÖNKÖPINGS LÄN</t>
        </is>
      </c>
      <c r="G549" t="inlineStr">
        <is>
          <t>EKSJÖ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44925</v>
      </c>
      <c r="E550" s="1" t="n">
        <v>46292</v>
      </c>
      <c r="F550" t="inlineStr">
        <is>
          <t>JÖNKÖPINGS LÄN</t>
        </is>
      </c>
      <c r="G550" t="inlineStr">
        <is>
          <t>EKSJÖ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11723-2024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46292</v>
      </c>
      <c r="F551" t="inlineStr">
        <is>
          <t>JÖNKÖPINGS LÄN</t>
        </is>
      </c>
      <c r="G551" t="inlineStr">
        <is>
          <t>EKSJÖ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50410-2024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45601</v>
      </c>
      <c r="E552" s="1" t="n">
        <v>46292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46292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45334</v>
      </c>
      <c r="E554" s="1" t="n">
        <v>46292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45463</v>
      </c>
      <c r="E555" s="1" t="n">
        <v>46292</v>
      </c>
      <c r="F555" t="inlineStr">
        <is>
          <t>JÖNKÖPINGS LÄN</t>
        </is>
      </c>
      <c r="G555" t="inlineStr">
        <is>
          <t>EKSJÖ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45161</v>
      </c>
      <c r="E556" s="1" t="n">
        <v>46292</v>
      </c>
      <c r="F556" t="inlineStr">
        <is>
          <t>JÖNKÖPINGS LÄN</t>
        </is>
      </c>
      <c r="G556" t="inlineStr">
        <is>
          <t>EKSJÖ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54470-2024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45617</v>
      </c>
      <c r="E557" s="1" t="n">
        <v>46292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44580</v>
      </c>
      <c r="E558" s="1" t="n">
        <v>46292</v>
      </c>
      <c r="F558" t="inlineStr">
        <is>
          <t>JÖNKÖPINGS LÄN</t>
        </is>
      </c>
      <c r="G558" t="inlineStr">
        <is>
          <t>EKSJÖ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45475</v>
      </c>
      <c r="E559" s="1" t="n">
        <v>46292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45715</v>
      </c>
      <c r="E560" s="1" t="n">
        <v>46292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45677</v>
      </c>
      <c r="E561" s="1" t="n">
        <v>46292</v>
      </c>
      <c r="F561" t="inlineStr">
        <is>
          <t>JÖNKÖPINGS LÄN</t>
        </is>
      </c>
      <c r="G561" t="inlineStr">
        <is>
          <t>EKSJÖ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46292</v>
      </c>
      <c r="F562" t="inlineStr">
        <is>
          <t>JÖNKÖPINGS LÄN</t>
        </is>
      </c>
      <c r="G562" t="inlineStr">
        <is>
          <t>EKSJÖ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46292</v>
      </c>
      <c r="F563" t="inlineStr">
        <is>
          <t>JÖNKÖPINGS LÄN</t>
        </is>
      </c>
      <c r="G563" t="inlineStr">
        <is>
          <t>EKSJÖ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45338</v>
      </c>
      <c r="E564" s="1" t="n">
        <v>46292</v>
      </c>
      <c r="F564" t="inlineStr">
        <is>
          <t>JÖNKÖPINGS LÄN</t>
        </is>
      </c>
      <c r="G564" t="inlineStr">
        <is>
          <t>EKSJÖ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45016-2024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45575</v>
      </c>
      <c r="E565" s="1" t="n">
        <v>46292</v>
      </c>
      <c r="F565" t="inlineStr">
        <is>
          <t>JÖNKÖPINGS LÄN</t>
        </is>
      </c>
      <c r="G565" t="inlineStr">
        <is>
          <t>EKSJÖ</t>
        </is>
      </c>
      <c r="H565" t="inlineStr">
        <is>
          <t>Övriga Aktiebolag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50287-2024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45600</v>
      </c>
      <c r="E566" s="1" t="n">
        <v>46292</v>
      </c>
      <c r="F566" t="inlineStr">
        <is>
          <t>JÖNKÖPINGS LÄN</t>
        </is>
      </c>
      <c r="G566" t="inlineStr">
        <is>
          <t>EKSJÖ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19469-2025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45770</v>
      </c>
      <c r="E567" s="1" t="n">
        <v>46292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46292</v>
      </c>
      <c r="F568" t="inlineStr">
        <is>
          <t>JÖNKÖPINGS LÄN</t>
        </is>
      </c>
      <c r="G568" t="inlineStr">
        <is>
          <t>EKSJÖ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46292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46292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45779</v>
      </c>
      <c r="E571" s="1" t="n">
        <v>46292</v>
      </c>
      <c r="F571" t="inlineStr">
        <is>
          <t>JÖNKÖPINGS LÄN</t>
        </is>
      </c>
      <c r="G571" t="inlineStr">
        <is>
          <t>EKSJÖ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59234-2024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45637</v>
      </c>
      <c r="E572" s="1" t="n">
        <v>46292</v>
      </c>
      <c r="F572" t="inlineStr">
        <is>
          <t>JÖNKÖPINGS LÄN</t>
        </is>
      </c>
      <c r="G572" t="inlineStr">
        <is>
          <t>EKSJÖ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42469-2023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46292</v>
      </c>
      <c r="F573" t="inlineStr">
        <is>
          <t>JÖNKÖPINGS LÄN</t>
        </is>
      </c>
      <c r="G573" t="inlineStr">
        <is>
          <t>EKSJÖ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45706</v>
      </c>
      <c r="E574" s="1" t="n">
        <v>46292</v>
      </c>
      <c r="F574" t="inlineStr">
        <is>
          <t>JÖNKÖPINGS LÄN</t>
        </is>
      </c>
      <c r="G574" t="inlineStr">
        <is>
          <t>EKSJÖ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45786</v>
      </c>
      <c r="E575" s="1" t="n">
        <v>46292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46292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46292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46292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46292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46292</v>
      </c>
      <c r="F580" t="inlineStr">
        <is>
          <t>JÖNKÖPINGS LÄN</t>
        </is>
      </c>
      <c r="G580" t="inlineStr">
        <is>
          <t>EKSJÖ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45743-2024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45579</v>
      </c>
      <c r="E581" s="1" t="n">
        <v>46292</v>
      </c>
      <c r="F581" t="inlineStr">
        <is>
          <t>JÖNKÖPINGS LÄN</t>
        </is>
      </c>
      <c r="G581" t="inlineStr">
        <is>
          <t>EKSJÖ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46292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46292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46292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46292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46292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46292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46292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46292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46292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46292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46292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46292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46292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46292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46292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46292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46292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46292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46292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46292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46292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46292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46292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46292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46292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46292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1826-2026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46292</v>
      </c>
      <c r="F608" t="inlineStr">
        <is>
          <t>JÖNKÖPINGS LÄN</t>
        </is>
      </c>
      <c r="G608" t="inlineStr">
        <is>
          <t>EKSJÖ</t>
        </is>
      </c>
      <c r="I608" t="n">
        <v>117.5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46292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1842-2026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46153</v>
      </c>
      <c r="E610" s="1" t="n">
        <v>46292</v>
      </c>
      <c r="F610" t="inlineStr">
        <is>
          <t>JÖNKÖPINGS LÄN</t>
        </is>
      </c>
      <c r="G610" t="inlineStr">
        <is>
          <t>EKSJÖ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46292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2026-09-27T02:02:59Z</dcterms:created>
  <dcterms:modified xmlns:dcterms="http://purl.org/dc/terms/" xmlns:xsi="http://www.w3.org/2001/XMLSchema-instance" xsi:type="dcterms:W3CDTF">2026-09-27T02:03:00Z</dcterms:modified>
</cp:coreProperties>
</file>